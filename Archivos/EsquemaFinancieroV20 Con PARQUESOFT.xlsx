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GitHubProyecto\anteproyecto\Archivos\"/>
    </mc:Choice>
  </mc:AlternateContent>
  <xr:revisionPtr revIDLastSave="0" documentId="13_ncr:1_{7C4C3B7F-6F2C-44A4-B85E-3E2BF6502EF4}" xr6:coauthVersionLast="47" xr6:coauthVersionMax="47" xr10:uidLastSave="{00000000-0000-0000-0000-000000000000}"/>
  <bookViews>
    <workbookView xWindow="12345" yWindow="0" windowWidth="32820" windowHeight="15600" firstSheet="1" activeTab="3" xr2:uid="{00000000-000D-0000-FFFF-FFFF00000000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4" l="1"/>
  <c r="M7" i="12"/>
  <c r="M6" i="12"/>
  <c r="D2" i="11"/>
  <c r="C2" i="11"/>
  <c r="C23" i="10"/>
  <c r="C20" i="10"/>
  <c r="C19" i="10"/>
  <c r="C18" i="10"/>
  <c r="F10" i="3"/>
  <c r="G10" i="3"/>
  <c r="J10" i="3"/>
  <c r="D13" i="8"/>
  <c r="D11" i="7"/>
  <c r="B49" i="3" l="1"/>
  <c r="B50" i="3" s="1"/>
  <c r="B48" i="3"/>
  <c r="B47" i="3"/>
  <c r="D21" i="3"/>
  <c r="C11" i="4"/>
  <c r="C27" i="10"/>
  <c r="C3" i="10" l="1"/>
  <c r="C5" i="10" s="1"/>
  <c r="C4" i="10"/>
  <c r="G13" i="3" l="1"/>
  <c r="I15" i="3"/>
  <c r="I29" i="3" s="1"/>
  <c r="G20" i="3"/>
  <c r="J20" i="3" s="1"/>
  <c r="G24" i="3"/>
  <c r="J24" i="3" s="1"/>
  <c r="I26" i="3"/>
  <c r="J32" i="3"/>
  <c r="K32" i="3" s="1"/>
  <c r="L32" i="3" s="1"/>
  <c r="M32" i="3" s="1"/>
  <c r="N32" i="3" s="1"/>
  <c r="J40" i="3"/>
  <c r="K40" i="3"/>
  <c r="L40" i="3"/>
  <c r="M40" i="3"/>
  <c r="N40" i="3"/>
  <c r="K20" i="3" l="1"/>
  <c r="D14" i="8"/>
  <c r="D11" i="9"/>
  <c r="D13" i="7"/>
  <c r="J26" i="3"/>
  <c r="D15" i="8"/>
  <c r="D12" i="9"/>
  <c r="D14" i="7"/>
  <c r="K24" i="3"/>
  <c r="E15" i="8" l="1"/>
  <c r="E12" i="9"/>
  <c r="E14" i="7"/>
  <c r="L20" i="3"/>
  <c r="E14" i="8"/>
  <c r="E11" i="9"/>
  <c r="E13" i="7"/>
  <c r="K26" i="3"/>
  <c r="L24" i="3"/>
  <c r="F15" i="8" l="1"/>
  <c r="F12" i="9"/>
  <c r="F14" i="7"/>
  <c r="M20" i="3"/>
  <c r="F14" i="8"/>
  <c r="F11" i="9"/>
  <c r="F13" i="7"/>
  <c r="M24" i="3"/>
  <c r="L26" i="3"/>
  <c r="G15" i="8" l="1"/>
  <c r="G12" i="9"/>
  <c r="G14" i="7"/>
  <c r="N20" i="3"/>
  <c r="G14" i="8"/>
  <c r="G11" i="9"/>
  <c r="G13" i="7"/>
  <c r="N24" i="3"/>
  <c r="M26" i="3"/>
  <c r="N26" i="3" l="1"/>
  <c r="H15" i="8"/>
  <c r="H12" i="9"/>
  <c r="H14" i="7"/>
  <c r="H14" i="8"/>
  <c r="H11" i="9"/>
  <c r="H13" i="7"/>
  <c r="D6" i="7" l="1"/>
  <c r="C8" i="7"/>
  <c r="B9" i="2" l="1"/>
  <c r="D21" i="9"/>
  <c r="E21" i="9"/>
  <c r="F21" i="9"/>
  <c r="G21" i="9"/>
  <c r="H21" i="9"/>
  <c r="C10" i="9"/>
  <c r="J19" i="4"/>
  <c r="J18" i="4"/>
  <c r="J21" i="4"/>
  <c r="J22" i="4" s="1"/>
  <c r="N48" i="3"/>
  <c r="M48" i="3"/>
  <c r="L48" i="3"/>
  <c r="K48" i="3"/>
  <c r="J48" i="3"/>
  <c r="H18" i="10"/>
  <c r="H27" i="10" l="1"/>
  <c r="E13" i="6"/>
  <c r="F13" i="6" s="1"/>
  <c r="G13" i="6" s="1"/>
  <c r="H13" i="6" s="1"/>
  <c r="H24" i="6"/>
  <c r="H25" i="6" s="1"/>
  <c r="C24" i="6"/>
  <c r="C25" i="6" s="1"/>
  <c r="C20" i="6"/>
  <c r="J13" i="4"/>
  <c r="K13" i="4" s="1"/>
  <c r="L13" i="4" s="1"/>
  <c r="M13" i="4" s="1"/>
  <c r="N13" i="4" s="1"/>
  <c r="C14" i="6" l="1"/>
  <c r="I6" i="10"/>
  <c r="I9" i="10" s="1"/>
  <c r="I10" i="10" l="1"/>
  <c r="I11" i="10" s="1"/>
  <c r="F28" i="5" l="1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20" i="9"/>
  <c r="F20" i="9"/>
  <c r="G20" i="9"/>
  <c r="H20" i="9"/>
  <c r="D20" i="9"/>
  <c r="B24" i="4"/>
  <c r="C23" i="9" l="1"/>
  <c r="H16" i="9"/>
  <c r="H17" i="9" s="1"/>
  <c r="G16" i="9"/>
  <c r="G17" i="9" s="1"/>
  <c r="F16" i="9"/>
  <c r="F17" i="9" s="1"/>
  <c r="E16" i="9"/>
  <c r="E17" i="9" s="1"/>
  <c r="D16" i="9"/>
  <c r="D17" i="9" s="1"/>
  <c r="D11" i="4"/>
  <c r="F11" i="4" s="1"/>
  <c r="C10" i="4"/>
  <c r="D10" i="4" s="1"/>
  <c r="C22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J12" i="4" s="1"/>
  <c r="K12" i="4" s="1"/>
  <c r="L12" i="4" s="1"/>
  <c r="M12" i="4" s="1"/>
  <c r="N12" i="4" s="1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J7" i="10" l="1"/>
  <c r="J18" i="5"/>
  <c r="K18" i="5"/>
  <c r="H18" i="5"/>
  <c r="I18" i="5"/>
  <c r="F10" i="4"/>
  <c r="E10" i="4"/>
  <c r="E12" i="4" s="1"/>
  <c r="G29" i="5"/>
  <c r="H29" i="5"/>
  <c r="J29" i="5"/>
  <c r="I29" i="5"/>
  <c r="F12" i="4" l="1"/>
  <c r="K7" i="4" l="1"/>
  <c r="E7" i="6" s="1"/>
  <c r="D7" i="6"/>
  <c r="K15" i="4"/>
  <c r="K16" i="4"/>
  <c r="K19" i="4" s="1"/>
  <c r="L7" i="4"/>
  <c r="J15" i="4"/>
  <c r="J16" i="4"/>
  <c r="E8" i="8"/>
  <c r="E9" i="8" s="1"/>
  <c r="E6" i="7"/>
  <c r="D8" i="8"/>
  <c r="D9" i="8" s="1"/>
  <c r="M7" i="4"/>
  <c r="G7" i="6" s="1"/>
  <c r="G8" i="6" s="1"/>
  <c r="E8" i="6" l="1"/>
  <c r="D8" i="6"/>
  <c r="F8" i="8"/>
  <c r="F9" i="8" s="1"/>
  <c r="F7" i="6"/>
  <c r="F8" i="6" s="1"/>
  <c r="K18" i="4"/>
  <c r="K21" i="4" s="1"/>
  <c r="K22" i="4" s="1"/>
  <c r="F6" i="7"/>
  <c r="M15" i="4"/>
  <c r="M16" i="4"/>
  <c r="M19" i="4" s="1"/>
  <c r="J24" i="4"/>
  <c r="L15" i="4"/>
  <c r="L16" i="4"/>
  <c r="L19" i="4" s="1"/>
  <c r="G6" i="7"/>
  <c r="G8" i="8"/>
  <c r="G9" i="8" s="1"/>
  <c r="N7" i="4"/>
  <c r="H7" i="6" s="1"/>
  <c r="H8" i="6" s="1"/>
  <c r="M18" i="4" l="1"/>
  <c r="M24" i="4" s="1"/>
  <c r="M21" i="4"/>
  <c r="M22" i="4" s="1"/>
  <c r="L18" i="4"/>
  <c r="L21" i="4"/>
  <c r="L22" i="4" s="1"/>
  <c r="K24" i="4"/>
  <c r="N16" i="4"/>
  <c r="N19" i="4" s="1"/>
  <c r="N15" i="4"/>
  <c r="L24" i="4"/>
  <c r="H8" i="8"/>
  <c r="H9" i="8" s="1"/>
  <c r="H6" i="7"/>
  <c r="N18" i="4" l="1"/>
  <c r="N21" i="4"/>
  <c r="N22" i="4" s="1"/>
  <c r="O22" i="4"/>
  <c r="N24" i="4"/>
  <c r="C6" i="3"/>
  <c r="B43" i="3"/>
  <c r="C23" i="3"/>
  <c r="D22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2" i="2"/>
  <c r="B8" i="2" s="1"/>
  <c r="B44" i="2"/>
  <c r="B37" i="2"/>
  <c r="B6" i="2" s="1"/>
  <c r="B31" i="2"/>
  <c r="B23" i="2"/>
  <c r="B3" i="2" s="1"/>
  <c r="D15" i="2"/>
  <c r="D14" i="2"/>
  <c r="D13" i="2"/>
  <c r="B7" i="2"/>
  <c r="O21" i="4" l="1"/>
  <c r="D16" i="2"/>
  <c r="B4" i="2"/>
  <c r="C26" i="3"/>
  <c r="D6" i="3"/>
  <c r="F4" i="3" s="1"/>
  <c r="G4" i="3" s="1"/>
  <c r="J4" i="3" s="1"/>
  <c r="D23" i="3"/>
  <c r="D17" i="3"/>
  <c r="F7" i="3" s="1"/>
  <c r="G7" i="3" s="1"/>
  <c r="J7" i="3" s="1"/>
  <c r="D7" i="7" l="1"/>
  <c r="D8" i="7" s="1"/>
  <c r="D18" i="8"/>
  <c r="D12" i="7"/>
  <c r="D17" i="8"/>
  <c r="J15" i="3"/>
  <c r="J29" i="3" s="1"/>
  <c r="D19" i="6"/>
  <c r="D20" i="6"/>
  <c r="K7" i="3"/>
  <c r="K10" i="3"/>
  <c r="K4" i="3"/>
  <c r="D26" i="3"/>
  <c r="D27" i="3" s="1"/>
  <c r="C27" i="3"/>
  <c r="E13" i="8" l="1"/>
  <c r="E7" i="7"/>
  <c r="E17" i="8"/>
  <c r="E11" i="7"/>
  <c r="K15" i="3"/>
  <c r="K29" i="3" s="1"/>
  <c r="K35" i="3" s="1"/>
  <c r="E18" i="8"/>
  <c r="E12" i="7"/>
  <c r="D15" i="7"/>
  <c r="J35" i="3"/>
  <c r="C6" i="10"/>
  <c r="C7" i="10" s="1"/>
  <c r="J4" i="10"/>
  <c r="H5" i="10" s="1"/>
  <c r="E19" i="6"/>
  <c r="L4" i="3"/>
  <c r="M4" i="3" s="1"/>
  <c r="E20" i="6"/>
  <c r="J49" i="3"/>
  <c r="L10" i="3"/>
  <c r="E8" i="7"/>
  <c r="L7" i="3"/>
  <c r="G17" i="8" l="1"/>
  <c r="G11" i="7"/>
  <c r="K44" i="3"/>
  <c r="K45" i="3" s="1"/>
  <c r="K41" i="3"/>
  <c r="F18" i="8"/>
  <c r="F12" i="7"/>
  <c r="F13" i="8"/>
  <c r="F7" i="7"/>
  <c r="F8" i="7" s="1"/>
  <c r="F15" i="7" s="1"/>
  <c r="F17" i="8"/>
  <c r="F11" i="7"/>
  <c r="L15" i="3"/>
  <c r="L29" i="3" s="1"/>
  <c r="L35" i="3" s="1"/>
  <c r="J44" i="3"/>
  <c r="J41" i="3"/>
  <c r="E15" i="7"/>
  <c r="D6" i="12" s="1"/>
  <c r="J9" i="10"/>
  <c r="J10" i="10" s="1"/>
  <c r="J11" i="10" s="1"/>
  <c r="F19" i="6"/>
  <c r="K49" i="3"/>
  <c r="F20" i="6"/>
  <c r="M7" i="3"/>
  <c r="M10" i="3"/>
  <c r="N4" i="3"/>
  <c r="H19" i="10" l="1"/>
  <c r="C21" i="10"/>
  <c r="C22" i="10" s="1"/>
  <c r="H20" i="10"/>
  <c r="H21" i="10" s="1"/>
  <c r="H22" i="10" s="1"/>
  <c r="H23" i="10" s="1"/>
  <c r="L41" i="3"/>
  <c r="L44" i="3"/>
  <c r="L45" i="3" s="1"/>
  <c r="G20" i="6"/>
  <c r="G18" i="8"/>
  <c r="G12" i="7"/>
  <c r="H17" i="8"/>
  <c r="H11" i="7"/>
  <c r="N15" i="3"/>
  <c r="N29" i="3" s="1"/>
  <c r="N35" i="3" s="1"/>
  <c r="G13" i="8"/>
  <c r="G7" i="7"/>
  <c r="G8" i="7" s="1"/>
  <c r="G15" i="7" s="1"/>
  <c r="M15" i="3"/>
  <c r="M29" i="3" s="1"/>
  <c r="M35" i="3" s="1"/>
  <c r="J45" i="3"/>
  <c r="C6" i="12"/>
  <c r="G19" i="6"/>
  <c r="L49" i="3"/>
  <c r="E6" i="12"/>
  <c r="N10" i="3"/>
  <c r="N7" i="3"/>
  <c r="M41" i="3" l="1"/>
  <c r="M44" i="3"/>
  <c r="M45" i="3" s="1"/>
  <c r="H20" i="6"/>
  <c r="H18" i="8"/>
  <c r="H12" i="7"/>
  <c r="N41" i="3"/>
  <c r="N44" i="3"/>
  <c r="N45" i="3" s="1"/>
  <c r="H13" i="8"/>
  <c r="H7" i="7"/>
  <c r="O44" i="3"/>
  <c r="H26" i="10"/>
  <c r="H28" i="10" s="1"/>
  <c r="H19" i="6"/>
  <c r="M49" i="3"/>
  <c r="F6" i="12"/>
  <c r="H8" i="7"/>
  <c r="O45" i="3" l="1"/>
  <c r="H15" i="7"/>
  <c r="H19" i="7" s="1"/>
  <c r="C26" i="10"/>
  <c r="C28" i="10" s="1"/>
  <c r="N49" i="3"/>
  <c r="O49" i="3" s="1"/>
  <c r="H22" i="7" l="1"/>
  <c r="H20" i="8" s="1"/>
  <c r="H10" i="9" s="1"/>
  <c r="G6" i="12"/>
  <c r="H21" i="6"/>
  <c r="H27" i="6" s="1"/>
  <c r="H24" i="7" l="1"/>
  <c r="G7" i="12" s="1"/>
  <c r="H32" i="6" l="1"/>
  <c r="C1" i="11"/>
  <c r="D16" i="8" l="1"/>
  <c r="D7" i="9" l="1"/>
  <c r="E16" i="8"/>
  <c r="D25" i="8"/>
  <c r="D12" i="6" s="1"/>
  <c r="D14" i="6" s="1"/>
  <c r="D16" i="6" s="1"/>
  <c r="F16" i="8" l="1"/>
  <c r="E7" i="9"/>
  <c r="E25" i="8"/>
  <c r="E12" i="6" s="1"/>
  <c r="E14" i="6" s="1"/>
  <c r="E16" i="6" s="1"/>
  <c r="G16" i="8" l="1"/>
  <c r="F7" i="9"/>
  <c r="F25" i="8"/>
  <c r="F12" i="6" s="1"/>
  <c r="F14" i="6" s="1"/>
  <c r="F16" i="6" s="1"/>
  <c r="C306" i="11" l="1"/>
  <c r="C314" i="11"/>
  <c r="C322" i="11"/>
  <c r="C330" i="11"/>
  <c r="C338" i="11"/>
  <c r="C346" i="11"/>
  <c r="C354" i="11"/>
  <c r="C362" i="11"/>
  <c r="C370" i="11"/>
  <c r="C378" i="11"/>
  <c r="C386" i="11"/>
  <c r="C394" i="11"/>
  <c r="C402" i="11"/>
  <c r="C410" i="11"/>
  <c r="C418" i="11"/>
  <c r="C426" i="11"/>
  <c r="C434" i="11"/>
  <c r="C442" i="11"/>
  <c r="C450" i="11"/>
  <c r="C458" i="11"/>
  <c r="C466" i="11"/>
  <c r="C474" i="11"/>
  <c r="C482" i="11"/>
  <c r="C490" i="11"/>
  <c r="C498" i="11"/>
  <c r="C506" i="11"/>
  <c r="C514" i="11"/>
  <c r="C522" i="11"/>
  <c r="C530" i="11"/>
  <c r="C538" i="11"/>
  <c r="C546" i="11"/>
  <c r="C554" i="11"/>
  <c r="C562" i="11"/>
  <c r="C570" i="11"/>
  <c r="C578" i="11"/>
  <c r="C586" i="11"/>
  <c r="C594" i="11"/>
  <c r="C602" i="11"/>
  <c r="C610" i="11"/>
  <c r="C618" i="11"/>
  <c r="C626" i="11"/>
  <c r="C634" i="11"/>
  <c r="C642" i="11"/>
  <c r="C650" i="11"/>
  <c r="C658" i="11"/>
  <c r="C666" i="11"/>
  <c r="C674" i="11"/>
  <c r="C682" i="11"/>
  <c r="C690" i="11"/>
  <c r="C698" i="11"/>
  <c r="C706" i="11"/>
  <c r="C714" i="11"/>
  <c r="C722" i="11"/>
  <c r="C730" i="11"/>
  <c r="C738" i="11"/>
  <c r="C746" i="11"/>
  <c r="C754" i="11"/>
  <c r="C762" i="11"/>
  <c r="C770" i="11"/>
  <c r="C778" i="11"/>
  <c r="C786" i="11"/>
  <c r="C794" i="11"/>
  <c r="C802" i="11"/>
  <c r="C810" i="11"/>
  <c r="C818" i="11"/>
  <c r="C307" i="11"/>
  <c r="C315" i="11"/>
  <c r="C323" i="11"/>
  <c r="C331" i="11"/>
  <c r="C339" i="11"/>
  <c r="C347" i="11"/>
  <c r="C355" i="11"/>
  <c r="C363" i="11"/>
  <c r="C371" i="11"/>
  <c r="C379" i="11"/>
  <c r="C387" i="11"/>
  <c r="C395" i="11"/>
  <c r="C403" i="11"/>
  <c r="C411" i="11"/>
  <c r="C419" i="11"/>
  <c r="C427" i="11"/>
  <c r="C435" i="11"/>
  <c r="C443" i="11"/>
  <c r="C451" i="11"/>
  <c r="C459" i="11"/>
  <c r="C467" i="11"/>
  <c r="C475" i="11"/>
  <c r="C483" i="11"/>
  <c r="C491" i="11"/>
  <c r="C499" i="11"/>
  <c r="C507" i="11"/>
  <c r="C515" i="11"/>
  <c r="C523" i="11"/>
  <c r="C531" i="11"/>
  <c r="C539" i="11"/>
  <c r="C547" i="11"/>
  <c r="C555" i="11"/>
  <c r="C563" i="11"/>
  <c r="C571" i="11"/>
  <c r="C579" i="11"/>
  <c r="C587" i="11"/>
  <c r="C595" i="11"/>
  <c r="C603" i="11"/>
  <c r="C611" i="11"/>
  <c r="C619" i="11"/>
  <c r="C627" i="11"/>
  <c r="C635" i="11"/>
  <c r="C643" i="11"/>
  <c r="C651" i="11"/>
  <c r="C659" i="11"/>
  <c r="C667" i="11"/>
  <c r="C675" i="11"/>
  <c r="C683" i="11"/>
  <c r="C691" i="11"/>
  <c r="C699" i="11"/>
  <c r="C707" i="11"/>
  <c r="C715" i="11"/>
  <c r="C723" i="11"/>
  <c r="C731" i="11"/>
  <c r="C739" i="11"/>
  <c r="C747" i="11"/>
  <c r="C755" i="11"/>
  <c r="C763" i="11"/>
  <c r="C771" i="11"/>
  <c r="C779" i="11"/>
  <c r="C787" i="11"/>
  <c r="C795" i="11"/>
  <c r="C803" i="11"/>
  <c r="C308" i="11"/>
  <c r="C316" i="11"/>
  <c r="C324" i="11"/>
  <c r="C332" i="11"/>
  <c r="C340" i="11"/>
  <c r="C348" i="11"/>
  <c r="C356" i="11"/>
  <c r="C364" i="11"/>
  <c r="C372" i="11"/>
  <c r="C380" i="11"/>
  <c r="C388" i="11"/>
  <c r="C396" i="11"/>
  <c r="C404" i="11"/>
  <c r="C412" i="11"/>
  <c r="C420" i="11"/>
  <c r="C428" i="11"/>
  <c r="C436" i="11"/>
  <c r="C444" i="11"/>
  <c r="C452" i="11"/>
  <c r="C460" i="11"/>
  <c r="C468" i="11"/>
  <c r="C476" i="11"/>
  <c r="C484" i="11"/>
  <c r="C492" i="11"/>
  <c r="C500" i="11"/>
  <c r="C508" i="11"/>
  <c r="C516" i="11"/>
  <c r="C524" i="11"/>
  <c r="C532" i="11"/>
  <c r="C540" i="11"/>
  <c r="C548" i="11"/>
  <c r="C556" i="11"/>
  <c r="C564" i="11"/>
  <c r="C572" i="11"/>
  <c r="C580" i="11"/>
  <c r="C588" i="11"/>
  <c r="C596" i="11"/>
  <c r="C604" i="11"/>
  <c r="C612" i="11"/>
  <c r="C620" i="11"/>
  <c r="C628" i="11"/>
  <c r="C636" i="11"/>
  <c r="C644" i="11"/>
  <c r="C652" i="11"/>
  <c r="C660" i="11"/>
  <c r="C668" i="11"/>
  <c r="C676" i="11"/>
  <c r="C684" i="11"/>
  <c r="C692" i="11"/>
  <c r="C700" i="11"/>
  <c r="C708" i="11"/>
  <c r="C716" i="11"/>
  <c r="C724" i="11"/>
  <c r="C732" i="11"/>
  <c r="C740" i="11"/>
  <c r="C748" i="11"/>
  <c r="C756" i="11"/>
  <c r="C764" i="11"/>
  <c r="C772" i="11"/>
  <c r="C309" i="11"/>
  <c r="C317" i="11"/>
  <c r="C325" i="11"/>
  <c r="C333" i="11"/>
  <c r="C341" i="11"/>
  <c r="C349" i="11"/>
  <c r="C357" i="11"/>
  <c r="C365" i="11"/>
  <c r="C373" i="11"/>
  <c r="C381" i="11"/>
  <c r="C389" i="11"/>
  <c r="C397" i="11"/>
  <c r="C405" i="11"/>
  <c r="C413" i="11"/>
  <c r="C421" i="11"/>
  <c r="C429" i="11"/>
  <c r="C437" i="11"/>
  <c r="C445" i="11"/>
  <c r="C453" i="11"/>
  <c r="C461" i="11"/>
  <c r="C469" i="11"/>
  <c r="C477" i="11"/>
  <c r="C485" i="11"/>
  <c r="C310" i="11"/>
  <c r="C318" i="11"/>
  <c r="C326" i="11"/>
  <c r="C334" i="11"/>
  <c r="C342" i="11"/>
  <c r="C350" i="11"/>
  <c r="C358" i="11"/>
  <c r="C366" i="11"/>
  <c r="C374" i="11"/>
  <c r="C382" i="11"/>
  <c r="C390" i="11"/>
  <c r="C398" i="11"/>
  <c r="C406" i="11"/>
  <c r="C414" i="11"/>
  <c r="C422" i="11"/>
  <c r="C430" i="11"/>
  <c r="C438" i="11"/>
  <c r="C446" i="11"/>
  <c r="C454" i="11"/>
  <c r="C462" i="11"/>
  <c r="C470" i="11"/>
  <c r="C478" i="11"/>
  <c r="C486" i="11"/>
  <c r="C494" i="11"/>
  <c r="C502" i="11"/>
  <c r="C510" i="11"/>
  <c r="C518" i="11"/>
  <c r="C526" i="11"/>
  <c r="C534" i="11"/>
  <c r="C542" i="11"/>
  <c r="C550" i="11"/>
  <c r="C558" i="11"/>
  <c r="C566" i="11"/>
  <c r="C574" i="11"/>
  <c r="C582" i="11"/>
  <c r="C590" i="11"/>
  <c r="C598" i="11"/>
  <c r="C606" i="11"/>
  <c r="C614" i="11"/>
  <c r="C622" i="11"/>
  <c r="C630" i="11"/>
  <c r="C638" i="11"/>
  <c r="C646" i="11"/>
  <c r="C654" i="11"/>
  <c r="C662" i="11"/>
  <c r="C311" i="11"/>
  <c r="C319" i="11"/>
  <c r="C327" i="11"/>
  <c r="C335" i="11"/>
  <c r="C343" i="11"/>
  <c r="C351" i="11"/>
  <c r="C359" i="11"/>
  <c r="C367" i="11"/>
  <c r="C375" i="11"/>
  <c r="C383" i="11"/>
  <c r="C391" i="11"/>
  <c r="C399" i="11"/>
  <c r="C407" i="11"/>
  <c r="C415" i="11"/>
  <c r="C423" i="11"/>
  <c r="C431" i="11"/>
  <c r="C439" i="11"/>
  <c r="C447" i="11"/>
  <c r="C455" i="11"/>
  <c r="C463" i="11"/>
  <c r="C471" i="11"/>
  <c r="C479" i="11"/>
  <c r="C487" i="11"/>
  <c r="C495" i="11"/>
  <c r="C503" i="11"/>
  <c r="C511" i="11"/>
  <c r="C519" i="11"/>
  <c r="C527" i="11"/>
  <c r="C535" i="11"/>
  <c r="C543" i="11"/>
  <c r="C551" i="11"/>
  <c r="C559" i="11"/>
  <c r="C567" i="11"/>
  <c r="C575" i="11"/>
  <c r="C583" i="11"/>
  <c r="C591" i="11"/>
  <c r="C599" i="11"/>
  <c r="C312" i="11"/>
  <c r="C320" i="11"/>
  <c r="C328" i="11"/>
  <c r="C336" i="11"/>
  <c r="C344" i="11"/>
  <c r="C352" i="11"/>
  <c r="C360" i="11"/>
  <c r="C368" i="11"/>
  <c r="C376" i="11"/>
  <c r="C384" i="11"/>
  <c r="C392" i="11"/>
  <c r="C400" i="11"/>
  <c r="C408" i="11"/>
  <c r="C416" i="11"/>
  <c r="C424" i="11"/>
  <c r="C432" i="11"/>
  <c r="C440" i="11"/>
  <c r="C448" i="11"/>
  <c r="C456" i="11"/>
  <c r="C464" i="11"/>
  <c r="C472" i="11"/>
  <c r="C480" i="11"/>
  <c r="C488" i="11"/>
  <c r="C496" i="11"/>
  <c r="C504" i="11"/>
  <c r="C512" i="11"/>
  <c r="C305" i="11"/>
  <c r="C313" i="11"/>
  <c r="C321" i="11"/>
  <c r="C329" i="11"/>
  <c r="C337" i="11"/>
  <c r="C345" i="11"/>
  <c r="C353" i="11"/>
  <c r="C361" i="11"/>
  <c r="C369" i="11"/>
  <c r="C377" i="11"/>
  <c r="C385" i="11"/>
  <c r="C393" i="11"/>
  <c r="C401" i="11"/>
  <c r="C409" i="11"/>
  <c r="C417" i="11"/>
  <c r="C425" i="11"/>
  <c r="C433" i="11"/>
  <c r="C441" i="11"/>
  <c r="C449" i="11"/>
  <c r="C457" i="11"/>
  <c r="C465" i="11"/>
  <c r="C473" i="11"/>
  <c r="C481" i="11"/>
  <c r="C489" i="11"/>
  <c r="C497" i="11"/>
  <c r="C525" i="11"/>
  <c r="C673" i="11"/>
  <c r="C688" i="11"/>
  <c r="C703" i="11"/>
  <c r="C718" i="11"/>
  <c r="C743" i="11"/>
  <c r="C766" i="11"/>
  <c r="C776" i="11"/>
  <c r="C806" i="11"/>
  <c r="C815" i="11"/>
  <c r="C824" i="11"/>
  <c r="C841" i="11"/>
  <c r="C858" i="11"/>
  <c r="C867" i="11"/>
  <c r="C884" i="11"/>
  <c r="C901" i="11"/>
  <c r="C918" i="11"/>
  <c r="C935" i="11"/>
  <c r="C952" i="11"/>
  <c r="C969" i="11"/>
  <c r="C986" i="11"/>
  <c r="C994" i="11"/>
  <c r="C1002" i="11"/>
  <c r="C1010" i="11"/>
  <c r="C1018" i="11"/>
  <c r="C1026" i="11"/>
  <c r="C1034" i="11"/>
  <c r="C1042" i="11"/>
  <c r="C1050" i="11"/>
  <c r="C1058" i="11"/>
  <c r="C1066" i="11"/>
  <c r="C1074" i="11"/>
  <c r="C1082" i="11"/>
  <c r="C1090" i="11"/>
  <c r="C1098" i="11"/>
  <c r="C1106" i="11"/>
  <c r="C1114" i="11"/>
  <c r="C1122" i="11"/>
  <c r="C1130" i="11"/>
  <c r="C1138" i="11"/>
  <c r="C1146" i="11"/>
  <c r="C1154" i="11"/>
  <c r="C1162" i="11"/>
  <c r="C1170" i="11"/>
  <c r="C1178" i="11"/>
  <c r="C1186" i="11"/>
  <c r="C1194" i="11"/>
  <c r="C1202" i="11"/>
  <c r="C1210" i="11"/>
  <c r="C1218" i="11"/>
  <c r="C1226" i="11"/>
  <c r="C1234" i="11"/>
  <c r="C1242" i="11"/>
  <c r="C1250" i="11"/>
  <c r="C1258" i="11"/>
  <c r="C1266" i="11"/>
  <c r="C1274" i="11"/>
  <c r="C1282" i="11"/>
  <c r="C1290" i="11"/>
  <c r="C1298" i="11"/>
  <c r="C1306" i="11"/>
  <c r="C1314" i="11"/>
  <c r="C1322" i="11"/>
  <c r="C552" i="11"/>
  <c r="C528" i="11"/>
  <c r="C677" i="11"/>
  <c r="C689" i="11"/>
  <c r="C704" i="11"/>
  <c r="C719" i="11"/>
  <c r="C744" i="11"/>
  <c r="C757" i="11"/>
  <c r="C767" i="11"/>
  <c r="C777" i="11"/>
  <c r="C788" i="11"/>
  <c r="C807" i="11"/>
  <c r="C816" i="11"/>
  <c r="C825" i="11"/>
  <c r="C842" i="11"/>
  <c r="C851" i="11"/>
  <c r="C868" i="11"/>
  <c r="C885" i="11"/>
  <c r="C902" i="11"/>
  <c r="C919" i="11"/>
  <c r="C936" i="11"/>
  <c r="C953" i="11"/>
  <c r="C970" i="11"/>
  <c r="C979" i="11"/>
  <c r="C987" i="11"/>
  <c r="C995" i="11"/>
  <c r="C1003" i="11"/>
  <c r="C493" i="11"/>
  <c r="C529" i="11"/>
  <c r="C553" i="11"/>
  <c r="C576" i="11"/>
  <c r="C597" i="11"/>
  <c r="C615" i="11"/>
  <c r="C631" i="11"/>
  <c r="C647" i="11"/>
  <c r="C663" i="11"/>
  <c r="C678" i="11"/>
  <c r="C734" i="11"/>
  <c r="C798" i="11"/>
  <c r="C834" i="11"/>
  <c r="C843" i="11"/>
  <c r="C860" i="11"/>
  <c r="C877" i="11"/>
  <c r="C894" i="11"/>
  <c r="C911" i="11"/>
  <c r="C928" i="11"/>
  <c r="C945" i="11"/>
  <c r="C962" i="11"/>
  <c r="C971" i="11"/>
  <c r="C693" i="11"/>
  <c r="C705" i="11"/>
  <c r="C720" i="11"/>
  <c r="C745" i="11"/>
  <c r="C758" i="11"/>
  <c r="C768" i="11"/>
  <c r="C789" i="11"/>
  <c r="C808" i="11"/>
  <c r="C817" i="11"/>
  <c r="C826" i="11"/>
  <c r="C835" i="11"/>
  <c r="C852" i="11"/>
  <c r="C869" i="11"/>
  <c r="C886" i="11"/>
  <c r="C903" i="11"/>
  <c r="C920" i="11"/>
  <c r="C937" i="11"/>
  <c r="C954" i="11"/>
  <c r="C963" i="11"/>
  <c r="C980" i="11"/>
  <c r="C988" i="11"/>
  <c r="C996" i="11"/>
  <c r="C1004" i="11"/>
  <c r="C1012" i="11"/>
  <c r="C1020" i="11"/>
  <c r="C1028" i="11"/>
  <c r="C501" i="11"/>
  <c r="C533" i="11"/>
  <c r="C557" i="11"/>
  <c r="C577" i="11"/>
  <c r="C600" i="11"/>
  <c r="C616" i="11"/>
  <c r="C632" i="11"/>
  <c r="C648" i="11"/>
  <c r="C664" i="11"/>
  <c r="C679" i="11"/>
  <c r="C694" i="11"/>
  <c r="C735" i="11"/>
  <c r="C780" i="11"/>
  <c r="C799" i="11"/>
  <c r="C827" i="11"/>
  <c r="C844" i="11"/>
  <c r="C861" i="11"/>
  <c r="C878" i="11"/>
  <c r="C895" i="11"/>
  <c r="C912" i="11"/>
  <c r="C929" i="11"/>
  <c r="C505" i="11"/>
  <c r="C709" i="11"/>
  <c r="C721" i="11"/>
  <c r="C759" i="11"/>
  <c r="C769" i="11"/>
  <c r="C790" i="11"/>
  <c r="C809" i="11"/>
  <c r="C819" i="11"/>
  <c r="C836" i="11"/>
  <c r="C853" i="11"/>
  <c r="C870" i="11"/>
  <c r="C536" i="11"/>
  <c r="C560" i="11"/>
  <c r="C581" i="11"/>
  <c r="C601" i="11"/>
  <c r="C617" i="11"/>
  <c r="C633" i="11"/>
  <c r="C649" i="11"/>
  <c r="C665" i="11"/>
  <c r="C680" i="11"/>
  <c r="C695" i="11"/>
  <c r="C710" i="11"/>
  <c r="C736" i="11"/>
  <c r="C749" i="11"/>
  <c r="C781" i="11"/>
  <c r="C800" i="11"/>
  <c r="C828" i="11"/>
  <c r="C845" i="11"/>
  <c r="C862" i="11"/>
  <c r="C879" i="11"/>
  <c r="C509" i="11"/>
  <c r="C537" i="11"/>
  <c r="C725" i="11"/>
  <c r="C760" i="11"/>
  <c r="C791" i="11"/>
  <c r="C811" i="11"/>
  <c r="C820" i="11"/>
  <c r="C837" i="11"/>
  <c r="C854" i="11"/>
  <c r="C871" i="11"/>
  <c r="C888" i="11"/>
  <c r="C513" i="11"/>
  <c r="C561" i="11"/>
  <c r="C584" i="11"/>
  <c r="C605" i="11"/>
  <c r="C621" i="11"/>
  <c r="C637" i="11"/>
  <c r="C653" i="11"/>
  <c r="C669" i="11"/>
  <c r="C681" i="11"/>
  <c r="C696" i="11"/>
  <c r="C711" i="11"/>
  <c r="C726" i="11"/>
  <c r="C737" i="11"/>
  <c r="C750" i="11"/>
  <c r="C782" i="11"/>
  <c r="C541" i="11"/>
  <c r="C670" i="11"/>
  <c r="C761" i="11"/>
  <c r="C773" i="11"/>
  <c r="C792" i="11"/>
  <c r="C517" i="11"/>
  <c r="C565" i="11"/>
  <c r="C585" i="11"/>
  <c r="C607" i="11"/>
  <c r="C623" i="11"/>
  <c r="C639" i="11"/>
  <c r="C655" i="11"/>
  <c r="C685" i="11"/>
  <c r="C697" i="11"/>
  <c r="C712" i="11"/>
  <c r="C727" i="11"/>
  <c r="C751" i="11"/>
  <c r="C544" i="11"/>
  <c r="C671" i="11"/>
  <c r="C520" i="11"/>
  <c r="C545" i="11"/>
  <c r="C568" i="11"/>
  <c r="C589" i="11"/>
  <c r="C608" i="11"/>
  <c r="C624" i="11"/>
  <c r="C640" i="11"/>
  <c r="C656" i="11"/>
  <c r="C701" i="11"/>
  <c r="C521" i="11"/>
  <c r="C573" i="11"/>
  <c r="C687" i="11"/>
  <c r="C733" i="11"/>
  <c r="C832" i="11"/>
  <c r="C849" i="11"/>
  <c r="C866" i="11"/>
  <c r="C898" i="11"/>
  <c r="C910" i="11"/>
  <c r="C948" i="11"/>
  <c r="C982" i="11"/>
  <c r="C992" i="11"/>
  <c r="C1039" i="11"/>
  <c r="C1056" i="11"/>
  <c r="C1073" i="11"/>
  <c r="C1099" i="11"/>
  <c r="C1116" i="11"/>
  <c r="C1133" i="11"/>
  <c r="C1150" i="11"/>
  <c r="C1167" i="11"/>
  <c r="C1184" i="11"/>
  <c r="C1201" i="11"/>
  <c r="C1227" i="11"/>
  <c r="C1244" i="11"/>
  <c r="C1261" i="11"/>
  <c r="C1278" i="11"/>
  <c r="C1295" i="11"/>
  <c r="C1312" i="11"/>
  <c r="C1329" i="11"/>
  <c r="C1337" i="11"/>
  <c r="C1345" i="11"/>
  <c r="C1353" i="11"/>
  <c r="C1361" i="11"/>
  <c r="C1369" i="11"/>
  <c r="C1377" i="11"/>
  <c r="C1385" i="11"/>
  <c r="C1393" i="11"/>
  <c r="C1401" i="11"/>
  <c r="C1409" i="11"/>
  <c r="C1417" i="11"/>
  <c r="C1425" i="11"/>
  <c r="C1433" i="11"/>
  <c r="C1441" i="11"/>
  <c r="C1449" i="11"/>
  <c r="C1457" i="11"/>
  <c r="C1465" i="11"/>
  <c r="C1473" i="11"/>
  <c r="C1481" i="11"/>
  <c r="C1489" i="11"/>
  <c r="C1497" i="11"/>
  <c r="C1505" i="11"/>
  <c r="C1513" i="11"/>
  <c r="C1521" i="11"/>
  <c r="C1529" i="11"/>
  <c r="C1537" i="11"/>
  <c r="C1545" i="11"/>
  <c r="C1553" i="11"/>
  <c r="C1561" i="11"/>
  <c r="C1569" i="11"/>
  <c r="C1577" i="11"/>
  <c r="C1585" i="11"/>
  <c r="C1593" i="11"/>
  <c r="C1601" i="11"/>
  <c r="C1609" i="11"/>
  <c r="C1617" i="11"/>
  <c r="C1625" i="11"/>
  <c r="C1633" i="11"/>
  <c r="C1641" i="11"/>
  <c r="C1649" i="11"/>
  <c r="C1657" i="11"/>
  <c r="C1665" i="11"/>
  <c r="C1673" i="11"/>
  <c r="C1681" i="11"/>
  <c r="C1689" i="11"/>
  <c r="C1697" i="11"/>
  <c r="C1705" i="11"/>
  <c r="C1713" i="11"/>
  <c r="C1721" i="11"/>
  <c r="C1729" i="11"/>
  <c r="C1737" i="11"/>
  <c r="C1745" i="11"/>
  <c r="C1753" i="11"/>
  <c r="C1761" i="11"/>
  <c r="C1769" i="11"/>
  <c r="C1777" i="11"/>
  <c r="C1785" i="11"/>
  <c r="C1793" i="11"/>
  <c r="C1801" i="11"/>
  <c r="C1809" i="11"/>
  <c r="C1817" i="11"/>
  <c r="C1825" i="11"/>
  <c r="C1833" i="11"/>
  <c r="C1841" i="11"/>
  <c r="C1849" i="11"/>
  <c r="C1857" i="11"/>
  <c r="C1865" i="11"/>
  <c r="C1873" i="11"/>
  <c r="C1881" i="11"/>
  <c r="C1889" i="11"/>
  <c r="C1897" i="11"/>
  <c r="C1905" i="11"/>
  <c r="C1913" i="11"/>
  <c r="C1921" i="11"/>
  <c r="C1929" i="11"/>
  <c r="C1937" i="11"/>
  <c r="C1945" i="11"/>
  <c r="C592" i="11"/>
  <c r="C741" i="11"/>
  <c r="C774" i="11"/>
  <c r="C796" i="11"/>
  <c r="C833" i="11"/>
  <c r="C850" i="11"/>
  <c r="C899" i="11"/>
  <c r="C924" i="11"/>
  <c r="C959" i="11"/>
  <c r="C972" i="11"/>
  <c r="C1013" i="11"/>
  <c r="C1022" i="11"/>
  <c r="C1031" i="11"/>
  <c r="C1048" i="11"/>
  <c r="C1065" i="11"/>
  <c r="C1091" i="11"/>
  <c r="C1108" i="11"/>
  <c r="C1125" i="11"/>
  <c r="C1142" i="11"/>
  <c r="C1159" i="11"/>
  <c r="C1176" i="11"/>
  <c r="C1193" i="11"/>
  <c r="C1219" i="11"/>
  <c r="C1236" i="11"/>
  <c r="C1253" i="11"/>
  <c r="C1270" i="11"/>
  <c r="C1287" i="11"/>
  <c r="C1304" i="11"/>
  <c r="C1321" i="11"/>
  <c r="C593" i="11"/>
  <c r="C797" i="11"/>
  <c r="C887" i="11"/>
  <c r="C913" i="11"/>
  <c r="C938" i="11"/>
  <c r="C949" i="11"/>
  <c r="C983" i="11"/>
  <c r="C993" i="11"/>
  <c r="C1040" i="11"/>
  <c r="C1057" i="11"/>
  <c r="C1083" i="11"/>
  <c r="C1100" i="11"/>
  <c r="C1117" i="11"/>
  <c r="C1134" i="11"/>
  <c r="C1151" i="11"/>
  <c r="C1168" i="11"/>
  <c r="C1185" i="11"/>
  <c r="C1211" i="11"/>
  <c r="C1228" i="11"/>
  <c r="C1245" i="11"/>
  <c r="C1262" i="11"/>
  <c r="C1279" i="11"/>
  <c r="C1296" i="11"/>
  <c r="C1313" i="11"/>
  <c r="C1330" i="11"/>
  <c r="C1338" i="11"/>
  <c r="C1346" i="11"/>
  <c r="C1354" i="11"/>
  <c r="C1362" i="11"/>
  <c r="C1370" i="11"/>
  <c r="C1378" i="11"/>
  <c r="C1386" i="11"/>
  <c r="C1394" i="11"/>
  <c r="C1402" i="11"/>
  <c r="C1410" i="11"/>
  <c r="C1418" i="11"/>
  <c r="C1426" i="11"/>
  <c r="C1434" i="11"/>
  <c r="C1442" i="11"/>
  <c r="C1450" i="11"/>
  <c r="C1458" i="11"/>
  <c r="C1466" i="11"/>
  <c r="C1474" i="11"/>
  <c r="C1482" i="11"/>
  <c r="C1490" i="11"/>
  <c r="C1498" i="11"/>
  <c r="C1506" i="11"/>
  <c r="C1514" i="11"/>
  <c r="C1522" i="11"/>
  <c r="C1530" i="11"/>
  <c r="C1538" i="11"/>
  <c r="C1546" i="11"/>
  <c r="C609" i="11"/>
  <c r="C742" i="11"/>
  <c r="C775" i="11"/>
  <c r="C801" i="11"/>
  <c r="C821" i="11"/>
  <c r="C838" i="11"/>
  <c r="C855" i="11"/>
  <c r="C872" i="11"/>
  <c r="C900" i="11"/>
  <c r="C925" i="11"/>
  <c r="C939" i="11"/>
  <c r="C960" i="11"/>
  <c r="C973" i="11"/>
  <c r="C1005" i="11"/>
  <c r="C1014" i="11"/>
  <c r="C1023" i="11"/>
  <c r="C1032" i="11"/>
  <c r="C1049" i="11"/>
  <c r="C1075" i="11"/>
  <c r="C1092" i="11"/>
  <c r="C1109" i="11"/>
  <c r="C1126" i="11"/>
  <c r="C1143" i="11"/>
  <c r="C1160" i="11"/>
  <c r="C1177" i="11"/>
  <c r="C1203" i="11"/>
  <c r="C1220" i="11"/>
  <c r="C1237" i="11"/>
  <c r="C1254" i="11"/>
  <c r="C1271" i="11"/>
  <c r="C1288" i="11"/>
  <c r="C1305" i="11"/>
  <c r="C613" i="11"/>
  <c r="C702" i="11"/>
  <c r="C889" i="11"/>
  <c r="C914" i="11"/>
  <c r="C950" i="11"/>
  <c r="C961" i="11"/>
  <c r="C984" i="11"/>
  <c r="C1041" i="11"/>
  <c r="C1067" i="11"/>
  <c r="C1084" i="11"/>
  <c r="C1101" i="11"/>
  <c r="C1118" i="11"/>
  <c r="C1135" i="11"/>
  <c r="C1152" i="11"/>
  <c r="C1169" i="11"/>
  <c r="C1195" i="11"/>
  <c r="C1212" i="11"/>
  <c r="C1229" i="11"/>
  <c r="C1246" i="11"/>
  <c r="C1263" i="11"/>
  <c r="C1280" i="11"/>
  <c r="C1297" i="11"/>
  <c r="C1323" i="11"/>
  <c r="C1331" i="11"/>
  <c r="C1339" i="11"/>
  <c r="C1347" i="11"/>
  <c r="C1355" i="11"/>
  <c r="C1363" i="11"/>
  <c r="C1371" i="11"/>
  <c r="C1379" i="11"/>
  <c r="C1387" i="11"/>
  <c r="C1395" i="11"/>
  <c r="C1403" i="11"/>
  <c r="C1411" i="11"/>
  <c r="C1419" i="11"/>
  <c r="C1427" i="11"/>
  <c r="C1435" i="11"/>
  <c r="C1443" i="11"/>
  <c r="C1451" i="11"/>
  <c r="C1459" i="11"/>
  <c r="C1467" i="11"/>
  <c r="C1475" i="11"/>
  <c r="C1483" i="11"/>
  <c r="C1491" i="11"/>
  <c r="C1499" i="11"/>
  <c r="C1507" i="11"/>
  <c r="C1515" i="11"/>
  <c r="C1523" i="11"/>
  <c r="C625" i="11"/>
  <c r="C804" i="11"/>
  <c r="C822" i="11"/>
  <c r="C839" i="11"/>
  <c r="C856" i="11"/>
  <c r="C873" i="11"/>
  <c r="C915" i="11"/>
  <c r="C926" i="11"/>
  <c r="C940" i="11"/>
  <c r="C974" i="11"/>
  <c r="C1006" i="11"/>
  <c r="C1015" i="11"/>
  <c r="C1024" i="11"/>
  <c r="C1033" i="11"/>
  <c r="C1059" i="11"/>
  <c r="C1076" i="11"/>
  <c r="C1093" i="11"/>
  <c r="C1110" i="11"/>
  <c r="C1127" i="11"/>
  <c r="C1144" i="11"/>
  <c r="C1161" i="11"/>
  <c r="C1187" i="11"/>
  <c r="C1204" i="11"/>
  <c r="C1221" i="11"/>
  <c r="C1238" i="11"/>
  <c r="C1255" i="11"/>
  <c r="C1272" i="11"/>
  <c r="C1289" i="11"/>
  <c r="C1315" i="11"/>
  <c r="C629" i="11"/>
  <c r="C783" i="11"/>
  <c r="C890" i="11"/>
  <c r="C904" i="11"/>
  <c r="C927" i="11"/>
  <c r="C951" i="11"/>
  <c r="C964" i="11"/>
  <c r="C985" i="11"/>
  <c r="C997" i="11"/>
  <c r="C1051" i="11"/>
  <c r="C1068" i="11"/>
  <c r="C1085" i="11"/>
  <c r="C1102" i="11"/>
  <c r="C1119" i="11"/>
  <c r="C1136" i="11"/>
  <c r="C1153" i="11"/>
  <c r="C1179" i="11"/>
  <c r="C1196" i="11"/>
  <c r="C1213" i="11"/>
  <c r="C1230" i="11"/>
  <c r="C1247" i="11"/>
  <c r="C1264" i="11"/>
  <c r="C1281" i="11"/>
  <c r="C1307" i="11"/>
  <c r="C1324" i="11"/>
  <c r="C1332" i="11"/>
  <c r="C1340" i="11"/>
  <c r="C1348" i="11"/>
  <c r="C1356" i="11"/>
  <c r="C1364" i="11"/>
  <c r="C1372" i="11"/>
  <c r="C1380" i="11"/>
  <c r="C1388" i="11"/>
  <c r="C1396" i="11"/>
  <c r="C1404" i="11"/>
  <c r="C1412" i="11"/>
  <c r="C1420" i="11"/>
  <c r="C1428" i="11"/>
  <c r="C1436" i="11"/>
  <c r="C1444" i="11"/>
  <c r="C1452" i="11"/>
  <c r="C1460" i="11"/>
  <c r="C1468" i="11"/>
  <c r="C641" i="11"/>
  <c r="C752" i="11"/>
  <c r="C805" i="11"/>
  <c r="C823" i="11"/>
  <c r="C840" i="11"/>
  <c r="C857" i="11"/>
  <c r="C874" i="11"/>
  <c r="C891" i="11"/>
  <c r="C916" i="11"/>
  <c r="C941" i="11"/>
  <c r="C975" i="11"/>
  <c r="C1007" i="11"/>
  <c r="C1016" i="11"/>
  <c r="C1025" i="11"/>
  <c r="C1043" i="11"/>
  <c r="C1060" i="11"/>
  <c r="C1077" i="11"/>
  <c r="C1094" i="11"/>
  <c r="C1111" i="11"/>
  <c r="C1128" i="11"/>
  <c r="C1145" i="11"/>
  <c r="C1171" i="11"/>
  <c r="C1188" i="11"/>
  <c r="C1205" i="11"/>
  <c r="C1222" i="11"/>
  <c r="C1239" i="11"/>
  <c r="C1256" i="11"/>
  <c r="C1273" i="11"/>
  <c r="C1299" i="11"/>
  <c r="C1316" i="11"/>
  <c r="C645" i="11"/>
  <c r="C713" i="11"/>
  <c r="C784" i="11"/>
  <c r="C875" i="11"/>
  <c r="C905" i="11"/>
  <c r="C930" i="11"/>
  <c r="C965" i="11"/>
  <c r="C998" i="11"/>
  <c r="C1035" i="11"/>
  <c r="C1052" i="11"/>
  <c r="C1069" i="11"/>
  <c r="C1086" i="11"/>
  <c r="C1103" i="11"/>
  <c r="C1120" i="11"/>
  <c r="C1137" i="11"/>
  <c r="C1163" i="11"/>
  <c r="C1180" i="11"/>
  <c r="C1197" i="11"/>
  <c r="C1214" i="11"/>
  <c r="C1231" i="11"/>
  <c r="C1248" i="11"/>
  <c r="C1265" i="11"/>
  <c r="C1291" i="11"/>
  <c r="C1308" i="11"/>
  <c r="C1325" i="11"/>
  <c r="C1333" i="11"/>
  <c r="C1341" i="11"/>
  <c r="C1349" i="11"/>
  <c r="C1357" i="11"/>
  <c r="C1365" i="11"/>
  <c r="C753" i="11"/>
  <c r="C859" i="11"/>
  <c r="C876" i="11"/>
  <c r="C892" i="11"/>
  <c r="C917" i="11"/>
  <c r="C931" i="11"/>
  <c r="C942" i="11"/>
  <c r="C955" i="11"/>
  <c r="C976" i="11"/>
  <c r="C1008" i="11"/>
  <c r="C1017" i="11"/>
  <c r="C1044" i="11"/>
  <c r="C1061" i="11"/>
  <c r="C1078" i="11"/>
  <c r="C1095" i="11"/>
  <c r="C1112" i="11"/>
  <c r="C1129" i="11"/>
  <c r="C1155" i="11"/>
  <c r="C1172" i="11"/>
  <c r="C1189" i="11"/>
  <c r="C1206" i="11"/>
  <c r="C1223" i="11"/>
  <c r="C1240" i="11"/>
  <c r="C1257" i="11"/>
  <c r="C1283" i="11"/>
  <c r="C1300" i="11"/>
  <c r="C657" i="11"/>
  <c r="C717" i="11"/>
  <c r="C785" i="11"/>
  <c r="C829" i="11"/>
  <c r="C846" i="11"/>
  <c r="C863" i="11"/>
  <c r="C880" i="11"/>
  <c r="C893" i="11"/>
  <c r="C906" i="11"/>
  <c r="C966" i="11"/>
  <c r="C989" i="11"/>
  <c r="C999" i="11"/>
  <c r="C1027" i="11"/>
  <c r="C1036" i="11"/>
  <c r="C1053" i="11"/>
  <c r="C1070" i="11"/>
  <c r="C1087" i="11"/>
  <c r="C1104" i="11"/>
  <c r="C1121" i="11"/>
  <c r="C1147" i="11"/>
  <c r="C1164" i="11"/>
  <c r="C1181" i="11"/>
  <c r="C1198" i="11"/>
  <c r="C1215" i="11"/>
  <c r="C1232" i="11"/>
  <c r="C1249" i="11"/>
  <c r="C1275" i="11"/>
  <c r="C1292" i="11"/>
  <c r="C1309" i="11"/>
  <c r="C1326" i="11"/>
  <c r="C1334" i="11"/>
  <c r="C1342" i="11"/>
  <c r="C661" i="11"/>
  <c r="C812" i="11"/>
  <c r="C907" i="11"/>
  <c r="C932" i="11"/>
  <c r="C943" i="11"/>
  <c r="C956" i="11"/>
  <c r="C977" i="11"/>
  <c r="C1009" i="11"/>
  <c r="C1045" i="11"/>
  <c r="C1062" i="11"/>
  <c r="C1079" i="11"/>
  <c r="C1096" i="11"/>
  <c r="C1113" i="11"/>
  <c r="C1139" i="11"/>
  <c r="C1156" i="11"/>
  <c r="C1173" i="11"/>
  <c r="C1190" i="11"/>
  <c r="C1207" i="11"/>
  <c r="C1224" i="11"/>
  <c r="C1241" i="11"/>
  <c r="C1267" i="11"/>
  <c r="C672" i="11"/>
  <c r="C830" i="11"/>
  <c r="C847" i="11"/>
  <c r="C864" i="11"/>
  <c r="C881" i="11"/>
  <c r="C896" i="11"/>
  <c r="C921" i="11"/>
  <c r="C944" i="11"/>
  <c r="C967" i="11"/>
  <c r="C978" i="11"/>
  <c r="C990" i="11"/>
  <c r="C1000" i="11"/>
  <c r="C1019" i="11"/>
  <c r="C1037" i="11"/>
  <c r="C1054" i="11"/>
  <c r="C1071" i="11"/>
  <c r="C1088" i="11"/>
  <c r="C1105" i="11"/>
  <c r="C1131" i="11"/>
  <c r="C1148" i="11"/>
  <c r="C1165" i="11"/>
  <c r="C1182" i="11"/>
  <c r="C1199" i="11"/>
  <c r="C1216" i="11"/>
  <c r="C728" i="11"/>
  <c r="C765" i="11"/>
  <c r="C813" i="11"/>
  <c r="C908" i="11"/>
  <c r="C933" i="11"/>
  <c r="C946" i="11"/>
  <c r="C957" i="11"/>
  <c r="C1029" i="11"/>
  <c r="C1046" i="11"/>
  <c r="C1063" i="11"/>
  <c r="C1080" i="11"/>
  <c r="C1097" i="11"/>
  <c r="C1123" i="11"/>
  <c r="C1140" i="11"/>
  <c r="C1157" i="11"/>
  <c r="C1174" i="11"/>
  <c r="C1191" i="11"/>
  <c r="C1208" i="11"/>
  <c r="C729" i="11"/>
  <c r="C1064" i="11"/>
  <c r="C1328" i="11"/>
  <c r="C1492" i="11"/>
  <c r="C1502" i="11"/>
  <c r="C1512" i="11"/>
  <c r="C1524" i="11"/>
  <c r="C1560" i="11"/>
  <c r="C1586" i="11"/>
  <c r="C1603" i="11"/>
  <c r="C1620" i="11"/>
  <c r="C1637" i="11"/>
  <c r="C1654" i="11"/>
  <c r="C1671" i="11"/>
  <c r="C1688" i="11"/>
  <c r="C1714" i="11"/>
  <c r="C1731" i="11"/>
  <c r="C1748" i="11"/>
  <c r="C1765" i="11"/>
  <c r="C1782" i="11"/>
  <c r="C1799" i="11"/>
  <c r="C1816" i="11"/>
  <c r="C1842" i="11"/>
  <c r="C1859" i="11"/>
  <c r="C1876" i="11"/>
  <c r="C1893" i="11"/>
  <c r="C1910" i="11"/>
  <c r="C1927" i="11"/>
  <c r="C1944" i="11"/>
  <c r="C1001" i="11"/>
  <c r="C1072" i="11"/>
  <c r="C1251" i="11"/>
  <c r="C1284" i="11"/>
  <c r="C1351" i="11"/>
  <c r="C1368" i="11"/>
  <c r="C1384" i="11"/>
  <c r="C1400" i="11"/>
  <c r="C1416" i="11"/>
  <c r="C1432" i="11"/>
  <c r="C1448" i="11"/>
  <c r="C1464" i="11"/>
  <c r="C1479" i="11"/>
  <c r="C1534" i="11"/>
  <c r="C1543" i="11"/>
  <c r="C1552" i="11"/>
  <c r="C1578" i="11"/>
  <c r="C1595" i="11"/>
  <c r="C1612" i="11"/>
  <c r="C1629" i="11"/>
  <c r="C1646" i="11"/>
  <c r="C1663" i="11"/>
  <c r="C1680" i="11"/>
  <c r="C1706" i="11"/>
  <c r="C1723" i="11"/>
  <c r="C1740" i="11"/>
  <c r="C1757" i="11"/>
  <c r="C1774" i="11"/>
  <c r="C1791" i="11"/>
  <c r="C1808" i="11"/>
  <c r="C1834" i="11"/>
  <c r="C1851" i="11"/>
  <c r="C1868" i="11"/>
  <c r="C1885" i="11"/>
  <c r="C1902" i="11"/>
  <c r="C1919" i="11"/>
  <c r="C1936" i="11"/>
  <c r="C1953" i="11"/>
  <c r="C1961" i="11"/>
  <c r="C1969" i="11"/>
  <c r="C1977" i="11"/>
  <c r="C1985" i="11"/>
  <c r="C1993" i="11"/>
  <c r="C2001" i="11"/>
  <c r="C909" i="11"/>
  <c r="C1141" i="11"/>
  <c r="C1209" i="11"/>
  <c r="C1310" i="11"/>
  <c r="C1493" i="11"/>
  <c r="C1503" i="11"/>
  <c r="C1525" i="11"/>
  <c r="C1570" i="11"/>
  <c r="C1587" i="11"/>
  <c r="C1604" i="11"/>
  <c r="C1621" i="11"/>
  <c r="C1638" i="11"/>
  <c r="C1655" i="11"/>
  <c r="C1672" i="11"/>
  <c r="C1698" i="11"/>
  <c r="C1715" i="11"/>
  <c r="C1732" i="11"/>
  <c r="C1749" i="11"/>
  <c r="C1766" i="11"/>
  <c r="C1783" i="11"/>
  <c r="C1800" i="11"/>
  <c r="C1826" i="11"/>
  <c r="C1843" i="11"/>
  <c r="C1860" i="11"/>
  <c r="C1877" i="11"/>
  <c r="C1894" i="11"/>
  <c r="C1911" i="11"/>
  <c r="C1928" i="11"/>
  <c r="C793" i="11"/>
  <c r="C922" i="11"/>
  <c r="C1011" i="11"/>
  <c r="C1149" i="11"/>
  <c r="C1217" i="11"/>
  <c r="C1252" i="11"/>
  <c r="C1285" i="11"/>
  <c r="C1352" i="11"/>
  <c r="C1373" i="11"/>
  <c r="C1389" i="11"/>
  <c r="C1405" i="11"/>
  <c r="C1421" i="11"/>
  <c r="C1437" i="11"/>
  <c r="C1453" i="11"/>
  <c r="C1469" i="11"/>
  <c r="C1480" i="11"/>
  <c r="C1535" i="11"/>
  <c r="C1544" i="11"/>
  <c r="C1562" i="11"/>
  <c r="C1579" i="11"/>
  <c r="C1596" i="11"/>
  <c r="C1613" i="11"/>
  <c r="C1630" i="11"/>
  <c r="C1647" i="11"/>
  <c r="C1664" i="11"/>
  <c r="C1690" i="11"/>
  <c r="C1707" i="11"/>
  <c r="C1724" i="11"/>
  <c r="C1741" i="11"/>
  <c r="C1758" i="11"/>
  <c r="C1775" i="11"/>
  <c r="C1792" i="11"/>
  <c r="C1818" i="11"/>
  <c r="C1835" i="11"/>
  <c r="C1852" i="11"/>
  <c r="C1869" i="11"/>
  <c r="C1886" i="11"/>
  <c r="C1903" i="11"/>
  <c r="C1920" i="11"/>
  <c r="C1946" i="11"/>
  <c r="C1954" i="11"/>
  <c r="C1962" i="11"/>
  <c r="C1970" i="11"/>
  <c r="C1978" i="11"/>
  <c r="C1986" i="11"/>
  <c r="C1994" i="11"/>
  <c r="C2002" i="11"/>
  <c r="C2010" i="11"/>
  <c r="C2018" i="11"/>
  <c r="C2026" i="11"/>
  <c r="C2034" i="11"/>
  <c r="C923" i="11"/>
  <c r="C1081" i="11"/>
  <c r="C1259" i="11"/>
  <c r="C1311" i="11"/>
  <c r="C1335" i="11"/>
  <c r="C1494" i="11"/>
  <c r="C1504" i="11"/>
  <c r="C1516" i="11"/>
  <c r="C1526" i="11"/>
  <c r="C1554" i="11"/>
  <c r="C1571" i="11"/>
  <c r="C1588" i="11"/>
  <c r="C1605" i="11"/>
  <c r="C1622" i="11"/>
  <c r="C1639" i="11"/>
  <c r="C1656" i="11"/>
  <c r="C1682" i="11"/>
  <c r="C1699" i="11"/>
  <c r="C1716" i="11"/>
  <c r="C1733" i="11"/>
  <c r="C1750" i="11"/>
  <c r="C1767" i="11"/>
  <c r="C1784" i="11"/>
  <c r="C1810" i="11"/>
  <c r="C1827" i="11"/>
  <c r="C1844" i="11"/>
  <c r="C1861" i="11"/>
  <c r="C1878" i="11"/>
  <c r="C1895" i="11"/>
  <c r="C1912" i="11"/>
  <c r="C1938" i="11"/>
  <c r="C1089" i="11"/>
  <c r="C1225" i="11"/>
  <c r="C1286" i="11"/>
  <c r="C1374" i="11"/>
  <c r="C1390" i="11"/>
  <c r="C1406" i="11"/>
  <c r="C1422" i="11"/>
  <c r="C1438" i="11"/>
  <c r="C1454" i="11"/>
  <c r="C1470" i="11"/>
  <c r="C1536" i="11"/>
  <c r="C1563" i="11"/>
  <c r="C1580" i="11"/>
  <c r="C1597" i="11"/>
  <c r="C1614" i="11"/>
  <c r="C1631" i="11"/>
  <c r="C1648" i="11"/>
  <c r="C1674" i="11"/>
  <c r="C1691" i="11"/>
  <c r="C1708" i="11"/>
  <c r="C1725" i="11"/>
  <c r="C1742" i="11"/>
  <c r="C1759" i="11"/>
  <c r="C1776" i="11"/>
  <c r="C1802" i="11"/>
  <c r="C1819" i="11"/>
  <c r="C1836" i="11"/>
  <c r="C1853" i="11"/>
  <c r="C1870" i="11"/>
  <c r="C1887" i="11"/>
  <c r="C1904" i="11"/>
  <c r="C1930" i="11"/>
  <c r="C1947" i="11"/>
  <c r="C1955" i="11"/>
  <c r="C1963" i="11"/>
  <c r="C1971" i="11"/>
  <c r="C1979" i="11"/>
  <c r="C1987" i="11"/>
  <c r="C1995" i="11"/>
  <c r="C2003" i="11"/>
  <c r="C814" i="11"/>
  <c r="C934" i="11"/>
  <c r="C1021" i="11"/>
  <c r="C1158" i="11"/>
  <c r="C1260" i="11"/>
  <c r="C1317" i="11"/>
  <c r="C1336" i="11"/>
  <c r="C1358" i="11"/>
  <c r="C1484" i="11"/>
  <c r="C1495" i="11"/>
  <c r="C1517" i="11"/>
  <c r="C1527" i="11"/>
  <c r="C1555" i="11"/>
  <c r="C1572" i="11"/>
  <c r="C1589" i="11"/>
  <c r="C1606" i="11"/>
  <c r="C1623" i="11"/>
  <c r="C1640" i="11"/>
  <c r="C1666" i="11"/>
  <c r="C1683" i="11"/>
  <c r="C1700" i="11"/>
  <c r="C1717" i="11"/>
  <c r="C1734" i="11"/>
  <c r="C1751" i="11"/>
  <c r="C1768" i="11"/>
  <c r="C1794" i="11"/>
  <c r="C1811" i="11"/>
  <c r="C1828" i="11"/>
  <c r="C1845" i="11"/>
  <c r="C1862" i="11"/>
  <c r="C1879" i="11"/>
  <c r="C1896" i="11"/>
  <c r="C1922" i="11"/>
  <c r="C1939" i="11"/>
  <c r="C831" i="11"/>
  <c r="C947" i="11"/>
  <c r="C1166" i="11"/>
  <c r="C1293" i="11"/>
  <c r="C1318" i="11"/>
  <c r="C1375" i="11"/>
  <c r="C1391" i="11"/>
  <c r="C1407" i="11"/>
  <c r="C1423" i="11"/>
  <c r="C1439" i="11"/>
  <c r="C1455" i="11"/>
  <c r="C1471" i="11"/>
  <c r="C1485" i="11"/>
  <c r="C1547" i="11"/>
  <c r="C1564" i="11"/>
  <c r="C1581" i="11"/>
  <c r="C1598" i="11"/>
  <c r="C1615" i="11"/>
  <c r="C1632" i="11"/>
  <c r="C1658" i="11"/>
  <c r="C1675" i="11"/>
  <c r="C1692" i="11"/>
  <c r="C1709" i="11"/>
  <c r="C1726" i="11"/>
  <c r="C1743" i="11"/>
  <c r="C1760" i="11"/>
  <c r="C1786" i="11"/>
  <c r="C1803" i="11"/>
  <c r="C1820" i="11"/>
  <c r="C1837" i="11"/>
  <c r="C1854" i="11"/>
  <c r="C1871" i="11"/>
  <c r="C1888" i="11"/>
  <c r="C1914" i="11"/>
  <c r="C1931" i="11"/>
  <c r="C1948" i="11"/>
  <c r="C1030" i="11"/>
  <c r="C1233" i="11"/>
  <c r="C1359" i="11"/>
  <c r="C1496" i="11"/>
  <c r="C1508" i="11"/>
  <c r="C1518" i="11"/>
  <c r="C1528" i="11"/>
  <c r="C1556" i="11"/>
  <c r="C1573" i="11"/>
  <c r="C1590" i="11"/>
  <c r="C1607" i="11"/>
  <c r="C1624" i="11"/>
  <c r="C1650" i="11"/>
  <c r="C1667" i="11"/>
  <c r="C1684" i="11"/>
  <c r="C1701" i="11"/>
  <c r="C1718" i="11"/>
  <c r="C1735" i="11"/>
  <c r="C1752" i="11"/>
  <c r="C1778" i="11"/>
  <c r="C1795" i="11"/>
  <c r="C1812" i="11"/>
  <c r="C1829" i="11"/>
  <c r="C1846" i="11"/>
  <c r="C1863" i="11"/>
  <c r="C1880" i="11"/>
  <c r="C1906" i="11"/>
  <c r="C1923" i="11"/>
  <c r="C1940" i="11"/>
  <c r="C848" i="11"/>
  <c r="C1038" i="11"/>
  <c r="C1268" i="11"/>
  <c r="C1294" i="11"/>
  <c r="C1319" i="11"/>
  <c r="C1376" i="11"/>
  <c r="C1392" i="11"/>
  <c r="C1408" i="11"/>
  <c r="C1424" i="11"/>
  <c r="C1440" i="11"/>
  <c r="C1456" i="11"/>
  <c r="C1472" i="11"/>
  <c r="C1486" i="11"/>
  <c r="C1539" i="11"/>
  <c r="C1548" i="11"/>
  <c r="C1565" i="11"/>
  <c r="C1582" i="11"/>
  <c r="C1599" i="11"/>
  <c r="C1616" i="11"/>
  <c r="C1642" i="11"/>
  <c r="C1659" i="11"/>
  <c r="C1676" i="11"/>
  <c r="C1693" i="11"/>
  <c r="C1710" i="11"/>
  <c r="C1727" i="11"/>
  <c r="C1744" i="11"/>
  <c r="C1770" i="11"/>
  <c r="C1787" i="11"/>
  <c r="C1804" i="11"/>
  <c r="C1821" i="11"/>
  <c r="C1838" i="11"/>
  <c r="C958" i="11"/>
  <c r="C1107" i="11"/>
  <c r="C1175" i="11"/>
  <c r="C1343" i="11"/>
  <c r="C1360" i="11"/>
  <c r="C1509" i="11"/>
  <c r="C1519" i="11"/>
  <c r="C1557" i="11"/>
  <c r="C1574" i="11"/>
  <c r="C1591" i="11"/>
  <c r="C1608" i="11"/>
  <c r="C1634" i="11"/>
  <c r="C1651" i="11"/>
  <c r="C1668" i="11"/>
  <c r="C1685" i="11"/>
  <c r="C1702" i="11"/>
  <c r="C1719" i="11"/>
  <c r="C1736" i="11"/>
  <c r="C1762" i="11"/>
  <c r="C1779" i="11"/>
  <c r="C1796" i="11"/>
  <c r="C1813" i="11"/>
  <c r="C1830" i="11"/>
  <c r="C1847" i="11"/>
  <c r="C1864" i="11"/>
  <c r="C1890" i="11"/>
  <c r="C549" i="11"/>
  <c r="C865" i="11"/>
  <c r="C968" i="11"/>
  <c r="C1115" i="11"/>
  <c r="C1183" i="11"/>
  <c r="C1235" i="11"/>
  <c r="C1269" i="11"/>
  <c r="C1301" i="11"/>
  <c r="C1320" i="11"/>
  <c r="C1381" i="11"/>
  <c r="C1397" i="11"/>
  <c r="C1413" i="11"/>
  <c r="C1429" i="11"/>
  <c r="C1445" i="11"/>
  <c r="C1461" i="11"/>
  <c r="C1487" i="11"/>
  <c r="C1531" i="11"/>
  <c r="C1540" i="11"/>
  <c r="C1549" i="11"/>
  <c r="C1566" i="11"/>
  <c r="C1583" i="11"/>
  <c r="C1600" i="11"/>
  <c r="C1626" i="11"/>
  <c r="C1643" i="11"/>
  <c r="C1660" i="11"/>
  <c r="C1677" i="11"/>
  <c r="C1694" i="11"/>
  <c r="C1711" i="11"/>
  <c r="C1728" i="11"/>
  <c r="C1754" i="11"/>
  <c r="C1771" i="11"/>
  <c r="C1788" i="11"/>
  <c r="C1805" i="11"/>
  <c r="C1822" i="11"/>
  <c r="C1839" i="11"/>
  <c r="C569" i="11"/>
  <c r="C1047" i="11"/>
  <c r="C1344" i="11"/>
  <c r="C1476" i="11"/>
  <c r="C1500" i="11"/>
  <c r="C1510" i="11"/>
  <c r="C1520" i="11"/>
  <c r="C1558" i="11"/>
  <c r="C1575" i="11"/>
  <c r="C1592" i="11"/>
  <c r="C1618" i="11"/>
  <c r="C1635" i="11"/>
  <c r="C1652" i="11"/>
  <c r="C1669" i="11"/>
  <c r="C1686" i="11"/>
  <c r="C1703" i="11"/>
  <c r="C1720" i="11"/>
  <c r="C1746" i="11"/>
  <c r="C882" i="11"/>
  <c r="C981" i="11"/>
  <c r="C1055" i="11"/>
  <c r="C1276" i="11"/>
  <c r="C1302" i="11"/>
  <c r="C1366" i="11"/>
  <c r="C1382" i="11"/>
  <c r="C1398" i="11"/>
  <c r="C1414" i="11"/>
  <c r="C1430" i="11"/>
  <c r="C1446" i="11"/>
  <c r="C1462" i="11"/>
  <c r="C1477" i="11"/>
  <c r="C1488" i="11"/>
  <c r="C1532" i="11"/>
  <c r="C1541" i="11"/>
  <c r="C1550" i="11"/>
  <c r="C1567" i="11"/>
  <c r="C1584" i="11"/>
  <c r="C1610" i="11"/>
  <c r="C1627" i="11"/>
  <c r="C1644" i="11"/>
  <c r="C1661" i="11"/>
  <c r="C1678" i="11"/>
  <c r="C1695" i="11"/>
  <c r="C1712" i="11"/>
  <c r="C1738" i="11"/>
  <c r="C1755" i="11"/>
  <c r="C1772" i="11"/>
  <c r="C686" i="11"/>
  <c r="C883" i="11"/>
  <c r="C1124" i="11"/>
  <c r="C1192" i="11"/>
  <c r="C1243" i="11"/>
  <c r="C1327" i="11"/>
  <c r="C1501" i="11"/>
  <c r="C1511" i="11"/>
  <c r="C1559" i="11"/>
  <c r="C1576" i="11"/>
  <c r="C1602" i="11"/>
  <c r="C1619" i="11"/>
  <c r="C1636" i="11"/>
  <c r="C1653" i="11"/>
  <c r="C1670" i="11"/>
  <c r="C1687" i="11"/>
  <c r="C1704" i="11"/>
  <c r="C1730" i="11"/>
  <c r="C1747" i="11"/>
  <c r="C1764" i="11"/>
  <c r="C1200" i="11"/>
  <c r="C1866" i="11"/>
  <c r="C1996" i="11"/>
  <c r="C2008" i="11"/>
  <c r="C2021" i="11"/>
  <c r="C2053" i="11"/>
  <c r="C2070" i="11"/>
  <c r="C2087" i="11"/>
  <c r="C2104" i="11"/>
  <c r="C2113" i="11"/>
  <c r="C2130" i="11"/>
  <c r="C2147" i="11"/>
  <c r="C2164" i="11"/>
  <c r="C2181" i="11"/>
  <c r="C2198" i="11"/>
  <c r="C2215" i="11"/>
  <c r="C2232" i="11"/>
  <c r="C2241" i="11"/>
  <c r="C2258" i="11"/>
  <c r="C2275" i="11"/>
  <c r="C2292" i="11"/>
  <c r="C2309" i="11"/>
  <c r="C2326" i="11"/>
  <c r="C2343" i="11"/>
  <c r="C2360" i="11"/>
  <c r="C2369" i="11"/>
  <c r="C2386" i="11"/>
  <c r="C2403" i="11"/>
  <c r="C2420" i="11"/>
  <c r="C2437" i="11"/>
  <c r="C2454" i="11"/>
  <c r="C2471" i="11"/>
  <c r="C2488" i="11"/>
  <c r="C2497" i="11"/>
  <c r="C2514" i="11"/>
  <c r="C2531" i="11"/>
  <c r="C2548" i="11"/>
  <c r="C2556" i="11"/>
  <c r="C2564" i="11"/>
  <c r="C2572" i="11"/>
  <c r="C2580" i="11"/>
  <c r="C2588" i="11"/>
  <c r="C2596" i="11"/>
  <c r="C2604" i="11"/>
  <c r="C2612" i="11"/>
  <c r="C2620" i="11"/>
  <c r="C2628" i="11"/>
  <c r="C2636" i="11"/>
  <c r="C2644" i="11"/>
  <c r="C2652" i="11"/>
  <c r="C2660" i="11"/>
  <c r="C2668" i="11"/>
  <c r="C2676" i="11"/>
  <c r="C2684" i="11"/>
  <c r="C2692" i="11"/>
  <c r="C2700" i="11"/>
  <c r="C2708" i="11"/>
  <c r="C2716" i="11"/>
  <c r="C2724" i="11"/>
  <c r="C2732" i="11"/>
  <c r="C2740" i="11"/>
  <c r="C2748" i="11"/>
  <c r="C2756" i="11"/>
  <c r="C2764" i="11"/>
  <c r="C2772" i="11"/>
  <c r="C2780" i="11"/>
  <c r="C2788" i="11"/>
  <c r="C2796" i="11"/>
  <c r="C2804" i="11"/>
  <c r="C2812" i="11"/>
  <c r="C2820" i="11"/>
  <c r="C2828" i="11"/>
  <c r="C2836" i="11"/>
  <c r="C2844" i="11"/>
  <c r="C2852" i="11"/>
  <c r="C2860" i="11"/>
  <c r="C2868" i="11"/>
  <c r="C2876" i="11"/>
  <c r="C2884" i="11"/>
  <c r="C2892" i="11"/>
  <c r="C2900" i="11"/>
  <c r="C2908" i="11"/>
  <c r="C2916" i="11"/>
  <c r="C2924" i="11"/>
  <c r="C2932" i="11"/>
  <c r="C2940" i="11"/>
  <c r="C2948" i="11"/>
  <c r="C2956" i="11"/>
  <c r="C2964" i="11"/>
  <c r="C2972" i="11"/>
  <c r="C2980" i="11"/>
  <c r="C2988" i="11"/>
  <c r="C2996" i="11"/>
  <c r="C3004" i="11"/>
  <c r="C3012" i="11"/>
  <c r="C3020" i="11"/>
  <c r="C3028" i="11"/>
  <c r="C3036" i="11"/>
  <c r="C1662" i="11"/>
  <c r="C1773" i="11"/>
  <c r="C1807" i="11"/>
  <c r="C1891" i="11"/>
  <c r="C1909" i="11"/>
  <c r="C1932" i="11"/>
  <c r="C1950" i="11"/>
  <c r="C1966" i="11"/>
  <c r="C1982" i="11"/>
  <c r="C1997" i="11"/>
  <c r="C2009" i="11"/>
  <c r="C2032" i="11"/>
  <c r="C2044" i="11"/>
  <c r="C2062" i="11"/>
  <c r="C2079" i="11"/>
  <c r="C2096" i="11"/>
  <c r="C2105" i="11"/>
  <c r="C2122" i="11"/>
  <c r="C2139" i="11"/>
  <c r="C2156" i="11"/>
  <c r="C2173" i="11"/>
  <c r="C2190" i="11"/>
  <c r="C2207" i="11"/>
  <c r="C2224" i="11"/>
  <c r="C2233" i="11"/>
  <c r="C2250" i="11"/>
  <c r="C2267" i="11"/>
  <c r="C2284" i="11"/>
  <c r="C2301" i="11"/>
  <c r="C2318" i="11"/>
  <c r="C2335" i="11"/>
  <c r="C2352" i="11"/>
  <c r="C2361" i="11"/>
  <c r="C2378" i="11"/>
  <c r="C2395" i="11"/>
  <c r="C2412" i="11"/>
  <c r="C2429" i="11"/>
  <c r="C2446" i="11"/>
  <c r="C2463" i="11"/>
  <c r="C2480" i="11"/>
  <c r="C2489" i="11"/>
  <c r="C2506" i="11"/>
  <c r="C2523" i="11"/>
  <c r="C2540" i="11"/>
  <c r="C1277" i="11"/>
  <c r="C1533" i="11"/>
  <c r="C1780" i="11"/>
  <c r="C1814" i="11"/>
  <c r="C1867" i="11"/>
  <c r="C2011" i="11"/>
  <c r="C2022" i="11"/>
  <c r="C2033" i="11"/>
  <c r="C2045" i="11"/>
  <c r="C2054" i="11"/>
  <c r="C2071" i="11"/>
  <c r="C2088" i="11"/>
  <c r="C2097" i="11"/>
  <c r="C2114" i="11"/>
  <c r="C2131" i="11"/>
  <c r="C2148" i="11"/>
  <c r="C2165" i="11"/>
  <c r="C2182" i="11"/>
  <c r="C2199" i="11"/>
  <c r="C2216" i="11"/>
  <c r="C2225" i="11"/>
  <c r="C2242" i="11"/>
  <c r="C2259" i="11"/>
  <c r="C2276" i="11"/>
  <c r="C2293" i="11"/>
  <c r="C2310" i="11"/>
  <c r="C2327" i="11"/>
  <c r="C2344" i="11"/>
  <c r="C2353" i="11"/>
  <c r="C2370" i="11"/>
  <c r="C2387" i="11"/>
  <c r="C2404" i="11"/>
  <c r="C2421" i="11"/>
  <c r="C2438" i="11"/>
  <c r="C2455" i="11"/>
  <c r="C2472" i="11"/>
  <c r="C2481" i="11"/>
  <c r="C2498" i="11"/>
  <c r="C2515" i="11"/>
  <c r="C2532" i="11"/>
  <c r="C2549" i="11"/>
  <c r="C2557" i="11"/>
  <c r="C2565" i="11"/>
  <c r="C2573" i="11"/>
  <c r="C2581" i="11"/>
  <c r="C2589" i="11"/>
  <c r="C2597" i="11"/>
  <c r="C2605" i="11"/>
  <c r="C2613" i="11"/>
  <c r="C2621" i="11"/>
  <c r="C1303" i="11"/>
  <c r="C1542" i="11"/>
  <c r="C1679" i="11"/>
  <c r="C1848" i="11"/>
  <c r="C1872" i="11"/>
  <c r="C1892" i="11"/>
  <c r="C1915" i="11"/>
  <c r="C1933" i="11"/>
  <c r="C1951" i="11"/>
  <c r="C1967" i="11"/>
  <c r="C1983" i="11"/>
  <c r="C1998" i="11"/>
  <c r="C2035" i="11"/>
  <c r="C2063" i="11"/>
  <c r="C2080" i="11"/>
  <c r="C2089" i="11"/>
  <c r="C2106" i="11"/>
  <c r="C2123" i="11"/>
  <c r="C2140" i="11"/>
  <c r="C2157" i="11"/>
  <c r="C2174" i="11"/>
  <c r="C2191" i="11"/>
  <c r="C2208" i="11"/>
  <c r="C2217" i="11"/>
  <c r="C2234" i="11"/>
  <c r="C2251" i="11"/>
  <c r="C2268" i="11"/>
  <c r="C2285" i="11"/>
  <c r="C2302" i="11"/>
  <c r="C2319" i="11"/>
  <c r="C2336" i="11"/>
  <c r="C2345" i="11"/>
  <c r="C2362" i="11"/>
  <c r="C2379" i="11"/>
  <c r="C2396" i="11"/>
  <c r="C2413" i="11"/>
  <c r="C2430" i="11"/>
  <c r="C2447" i="11"/>
  <c r="C2464" i="11"/>
  <c r="C2473" i="11"/>
  <c r="C2490" i="11"/>
  <c r="C2507" i="11"/>
  <c r="C2524" i="11"/>
  <c r="C2541" i="11"/>
  <c r="C1551" i="11"/>
  <c r="C1781" i="11"/>
  <c r="C1815" i="11"/>
  <c r="C2012" i="11"/>
  <c r="C2023" i="11"/>
  <c r="C2046" i="11"/>
  <c r="C2055" i="11"/>
  <c r="C2072" i="11"/>
  <c r="C2081" i="11"/>
  <c r="C2098" i="11"/>
  <c r="C2115" i="11"/>
  <c r="C2132" i="11"/>
  <c r="C2149" i="11"/>
  <c r="C2166" i="11"/>
  <c r="C2183" i="11"/>
  <c r="C2200" i="11"/>
  <c r="C2209" i="11"/>
  <c r="C2226" i="11"/>
  <c r="C2243" i="11"/>
  <c r="C2260" i="11"/>
  <c r="C2277" i="11"/>
  <c r="C2294" i="11"/>
  <c r="C2311" i="11"/>
  <c r="C2328" i="11"/>
  <c r="C2337" i="11"/>
  <c r="C2354" i="11"/>
  <c r="C2371" i="11"/>
  <c r="C2388" i="11"/>
  <c r="C2405" i="11"/>
  <c r="C2422" i="11"/>
  <c r="C2439" i="11"/>
  <c r="C2456" i="11"/>
  <c r="C2465" i="11"/>
  <c r="C2482" i="11"/>
  <c r="C2499" i="11"/>
  <c r="C2516" i="11"/>
  <c r="C2533" i="11"/>
  <c r="C2550" i="11"/>
  <c r="C2558" i="11"/>
  <c r="C2566" i="11"/>
  <c r="C2574" i="11"/>
  <c r="C2582" i="11"/>
  <c r="C2590" i="11"/>
  <c r="C2598" i="11"/>
  <c r="C2606" i="11"/>
  <c r="C1350" i="11"/>
  <c r="C1696" i="11"/>
  <c r="C1874" i="11"/>
  <c r="C1898" i="11"/>
  <c r="C1916" i="11"/>
  <c r="C1934" i="11"/>
  <c r="C1952" i="11"/>
  <c r="C1968" i="11"/>
  <c r="C1984" i="11"/>
  <c r="C1999" i="11"/>
  <c r="C2013" i="11"/>
  <c r="C2036" i="11"/>
  <c r="C2064" i="11"/>
  <c r="C2073" i="11"/>
  <c r="C2090" i="11"/>
  <c r="C2107" i="11"/>
  <c r="C2124" i="11"/>
  <c r="C2141" i="11"/>
  <c r="C2158" i="11"/>
  <c r="C2175" i="11"/>
  <c r="C2192" i="11"/>
  <c r="C2201" i="11"/>
  <c r="C2218" i="11"/>
  <c r="C2235" i="11"/>
  <c r="C2252" i="11"/>
  <c r="C2269" i="11"/>
  <c r="C2286" i="11"/>
  <c r="C2303" i="11"/>
  <c r="C2320" i="11"/>
  <c r="C2329" i="11"/>
  <c r="C2346" i="11"/>
  <c r="C2363" i="11"/>
  <c r="C2380" i="11"/>
  <c r="C2397" i="11"/>
  <c r="C2414" i="11"/>
  <c r="C2431" i="11"/>
  <c r="C2448" i="11"/>
  <c r="C2457" i="11"/>
  <c r="C2474" i="11"/>
  <c r="C2491" i="11"/>
  <c r="C2508" i="11"/>
  <c r="C2525" i="11"/>
  <c r="C1367" i="11"/>
  <c r="C1568" i="11"/>
  <c r="C1850" i="11"/>
  <c r="C1956" i="11"/>
  <c r="C1972" i="11"/>
  <c r="C2024" i="11"/>
  <c r="C2037" i="11"/>
  <c r="C2047" i="11"/>
  <c r="C2056" i="11"/>
  <c r="C2065" i="11"/>
  <c r="C2082" i="11"/>
  <c r="C2099" i="11"/>
  <c r="C2116" i="11"/>
  <c r="C2133" i="11"/>
  <c r="C2150" i="11"/>
  <c r="C2167" i="11"/>
  <c r="C2184" i="11"/>
  <c r="C2193" i="11"/>
  <c r="C2210" i="11"/>
  <c r="C2227" i="11"/>
  <c r="C2244" i="11"/>
  <c r="C2261" i="11"/>
  <c r="C2278" i="11"/>
  <c r="C2295" i="11"/>
  <c r="C2312" i="11"/>
  <c r="C2321" i="11"/>
  <c r="C2338" i="11"/>
  <c r="C2355" i="11"/>
  <c r="C2372" i="11"/>
  <c r="C2389" i="11"/>
  <c r="C2406" i="11"/>
  <c r="C2423" i="11"/>
  <c r="C2440" i="11"/>
  <c r="C2449" i="11"/>
  <c r="C2466" i="11"/>
  <c r="C2483" i="11"/>
  <c r="C1383" i="11"/>
  <c r="C1789" i="11"/>
  <c r="C1823" i="11"/>
  <c r="C1855" i="11"/>
  <c r="C1875" i="11"/>
  <c r="C1899" i="11"/>
  <c r="C1917" i="11"/>
  <c r="C1935" i="11"/>
  <c r="C1957" i="11"/>
  <c r="C1973" i="11"/>
  <c r="C1988" i="11"/>
  <c r="C2000" i="11"/>
  <c r="C2014" i="11"/>
  <c r="C2025" i="11"/>
  <c r="C2057" i="11"/>
  <c r="C2074" i="11"/>
  <c r="C2091" i="11"/>
  <c r="C2108" i="11"/>
  <c r="C2125" i="11"/>
  <c r="C2142" i="11"/>
  <c r="C2159" i="11"/>
  <c r="C2176" i="11"/>
  <c r="C2185" i="11"/>
  <c r="C2202" i="11"/>
  <c r="C2219" i="11"/>
  <c r="C2236" i="11"/>
  <c r="C2253" i="11"/>
  <c r="C2270" i="11"/>
  <c r="C2287" i="11"/>
  <c r="C2304" i="11"/>
  <c r="C2313" i="11"/>
  <c r="C2330" i="11"/>
  <c r="C2347" i="11"/>
  <c r="C2364" i="11"/>
  <c r="C2381" i="11"/>
  <c r="C2398" i="11"/>
  <c r="C2415" i="11"/>
  <c r="C2432" i="11"/>
  <c r="C2441" i="11"/>
  <c r="C2458" i="11"/>
  <c r="C2475" i="11"/>
  <c r="C2492" i="11"/>
  <c r="C2509" i="11"/>
  <c r="C2526" i="11"/>
  <c r="C2543" i="11"/>
  <c r="C1399" i="11"/>
  <c r="C1722" i="11"/>
  <c r="C1856" i="11"/>
  <c r="C1989" i="11"/>
  <c r="C2027" i="11"/>
  <c r="C2038" i="11"/>
  <c r="C2048" i="11"/>
  <c r="C2066" i="11"/>
  <c r="C2083" i="11"/>
  <c r="C2100" i="11"/>
  <c r="C2117" i="11"/>
  <c r="C2134" i="11"/>
  <c r="C2151" i="11"/>
  <c r="C2168" i="11"/>
  <c r="C2177" i="11"/>
  <c r="C2194" i="11"/>
  <c r="C2211" i="11"/>
  <c r="C2228" i="11"/>
  <c r="C2245" i="11"/>
  <c r="C2262" i="11"/>
  <c r="C2279" i="11"/>
  <c r="C2296" i="11"/>
  <c r="C2305" i="11"/>
  <c r="C2322" i="11"/>
  <c r="C2339" i="11"/>
  <c r="C2356" i="11"/>
  <c r="C2373" i="11"/>
  <c r="C2390" i="11"/>
  <c r="C2407" i="11"/>
  <c r="C2424" i="11"/>
  <c r="C2433" i="11"/>
  <c r="C2450" i="11"/>
  <c r="C2467" i="11"/>
  <c r="C1415" i="11"/>
  <c r="C1594" i="11"/>
  <c r="C1790" i="11"/>
  <c r="C1824" i="11"/>
  <c r="C1900" i="11"/>
  <c r="C1918" i="11"/>
  <c r="C1941" i="11"/>
  <c r="C1958" i="11"/>
  <c r="C1974" i="11"/>
  <c r="C2004" i="11"/>
  <c r="C2015" i="11"/>
  <c r="C2049" i="11"/>
  <c r="C2058" i="11"/>
  <c r="C2075" i="11"/>
  <c r="C2092" i="11"/>
  <c r="C2109" i="11"/>
  <c r="C2126" i="11"/>
  <c r="C2143" i="11"/>
  <c r="C2160" i="11"/>
  <c r="C2169" i="11"/>
  <c r="C2186" i="11"/>
  <c r="C2203" i="11"/>
  <c r="C2220" i="11"/>
  <c r="C2237" i="11"/>
  <c r="C2254" i="11"/>
  <c r="C2271" i="11"/>
  <c r="C2288" i="11"/>
  <c r="C2297" i="11"/>
  <c r="C2314" i="11"/>
  <c r="C2331" i="11"/>
  <c r="C2348" i="11"/>
  <c r="C2365" i="11"/>
  <c r="C2382" i="11"/>
  <c r="C2399" i="11"/>
  <c r="C1431" i="11"/>
  <c r="C1739" i="11"/>
  <c r="C1797" i="11"/>
  <c r="C1831" i="11"/>
  <c r="C1882" i="11"/>
  <c r="C1990" i="11"/>
  <c r="C2005" i="11"/>
  <c r="C2028" i="11"/>
  <c r="C2039" i="11"/>
  <c r="C2067" i="11"/>
  <c r="C2084" i="11"/>
  <c r="C2101" i="11"/>
  <c r="C2118" i="11"/>
  <c r="C2135" i="11"/>
  <c r="C2152" i="11"/>
  <c r="C2161" i="11"/>
  <c r="C2178" i="11"/>
  <c r="C2195" i="11"/>
  <c r="C2212" i="11"/>
  <c r="C2229" i="11"/>
  <c r="C2246" i="11"/>
  <c r="C2263" i="11"/>
  <c r="C2280" i="11"/>
  <c r="C2289" i="11"/>
  <c r="C2306" i="11"/>
  <c r="C2323" i="11"/>
  <c r="C2340" i="11"/>
  <c r="C2357" i="11"/>
  <c r="C2374" i="11"/>
  <c r="C2391" i="11"/>
  <c r="C2408" i="11"/>
  <c r="C2417" i="11"/>
  <c r="C2434" i="11"/>
  <c r="C1447" i="11"/>
  <c r="C1611" i="11"/>
  <c r="C1858" i="11"/>
  <c r="C1901" i="11"/>
  <c r="C1924" i="11"/>
  <c r="C1942" i="11"/>
  <c r="C1959" i="11"/>
  <c r="C1975" i="11"/>
  <c r="C2016" i="11"/>
  <c r="C2029" i="11"/>
  <c r="C2050" i="11"/>
  <c r="C2059" i="11"/>
  <c r="C2076" i="11"/>
  <c r="C2093" i="11"/>
  <c r="C2110" i="11"/>
  <c r="C2127" i="11"/>
  <c r="C2144" i="11"/>
  <c r="C2153" i="11"/>
  <c r="C2170" i="11"/>
  <c r="C2187" i="11"/>
  <c r="C2204" i="11"/>
  <c r="C2221" i="11"/>
  <c r="C2238" i="11"/>
  <c r="C2255" i="11"/>
  <c r="C2272" i="11"/>
  <c r="C2281" i="11"/>
  <c r="C2298" i="11"/>
  <c r="C2315" i="11"/>
  <c r="C2332" i="11"/>
  <c r="C2349" i="11"/>
  <c r="C2366" i="11"/>
  <c r="C897" i="11"/>
  <c r="C1463" i="11"/>
  <c r="C1798" i="11"/>
  <c r="C1832" i="11"/>
  <c r="C1883" i="11"/>
  <c r="C1991" i="11"/>
  <c r="C2006" i="11"/>
  <c r="C2017" i="11"/>
  <c r="C2040" i="11"/>
  <c r="C2068" i="11"/>
  <c r="C2085" i="11"/>
  <c r="C2102" i="11"/>
  <c r="C2119" i="11"/>
  <c r="C2136" i="11"/>
  <c r="C2145" i="11"/>
  <c r="C2162" i="11"/>
  <c r="C2179" i="11"/>
  <c r="C2196" i="11"/>
  <c r="C2213" i="11"/>
  <c r="C2230" i="11"/>
  <c r="C2247" i="11"/>
  <c r="C2264" i="11"/>
  <c r="C2273" i="11"/>
  <c r="C2290" i="11"/>
  <c r="C2307" i="11"/>
  <c r="C2324" i="11"/>
  <c r="C2341" i="11"/>
  <c r="C991" i="11"/>
  <c r="C1478" i="11"/>
  <c r="C1628" i="11"/>
  <c r="C1756" i="11"/>
  <c r="C1907" i="11"/>
  <c r="C1925" i="11"/>
  <c r="C1943" i="11"/>
  <c r="C1960" i="11"/>
  <c r="C1976" i="11"/>
  <c r="C2019" i="11"/>
  <c r="C2030" i="11"/>
  <c r="C2041" i="11"/>
  <c r="C2051" i="11"/>
  <c r="C2060" i="11"/>
  <c r="C2077" i="11"/>
  <c r="C2094" i="11"/>
  <c r="C2111" i="11"/>
  <c r="C2128" i="11"/>
  <c r="C2137" i="11"/>
  <c r="C2154" i="11"/>
  <c r="C2171" i="11"/>
  <c r="C2188" i="11"/>
  <c r="C2205" i="11"/>
  <c r="C2222" i="11"/>
  <c r="C2239" i="11"/>
  <c r="C2256" i="11"/>
  <c r="C2265" i="11"/>
  <c r="C2282" i="11"/>
  <c r="C2299" i="11"/>
  <c r="C1763" i="11"/>
  <c r="C1884" i="11"/>
  <c r="C1964" i="11"/>
  <c r="C1980" i="11"/>
  <c r="C1992" i="11"/>
  <c r="C2007" i="11"/>
  <c r="C2042" i="11"/>
  <c r="C2069" i="11"/>
  <c r="C2086" i="11"/>
  <c r="C2103" i="11"/>
  <c r="C2120" i="11"/>
  <c r="C2129" i="11"/>
  <c r="C2146" i="11"/>
  <c r="C2163" i="11"/>
  <c r="C2180" i="11"/>
  <c r="C2197" i="11"/>
  <c r="C2214" i="11"/>
  <c r="C2231" i="11"/>
  <c r="C2248" i="11"/>
  <c r="C2257" i="11"/>
  <c r="C2274" i="11"/>
  <c r="C2291" i="11"/>
  <c r="C2308" i="11"/>
  <c r="C1132" i="11"/>
  <c r="C1645" i="11"/>
  <c r="C1806" i="11"/>
  <c r="C1840" i="11"/>
  <c r="C1908" i="11"/>
  <c r="C1926" i="11"/>
  <c r="C1949" i="11"/>
  <c r="C1965" i="11"/>
  <c r="C1981" i="11"/>
  <c r="C2020" i="11"/>
  <c r="C2031" i="11"/>
  <c r="C2043" i="11"/>
  <c r="C2052" i="11"/>
  <c r="C2061" i="11"/>
  <c r="C2078" i="11"/>
  <c r="C2095" i="11"/>
  <c r="C2112" i="11"/>
  <c r="C2121" i="11"/>
  <c r="C2138" i="11"/>
  <c r="C2155" i="11"/>
  <c r="C2172" i="11"/>
  <c r="C2189" i="11"/>
  <c r="C2206" i="11"/>
  <c r="C2223" i="11"/>
  <c r="C2240" i="11"/>
  <c r="C2249" i="11"/>
  <c r="C2358" i="11"/>
  <c r="C2385" i="11"/>
  <c r="C2435" i="11"/>
  <c r="C2453" i="11"/>
  <c r="C2505" i="11"/>
  <c r="C2521" i="11"/>
  <c r="C2537" i="11"/>
  <c r="C2551" i="11"/>
  <c r="C2611" i="11"/>
  <c r="C2630" i="11"/>
  <c r="C2647" i="11"/>
  <c r="C2664" i="11"/>
  <c r="C2681" i="11"/>
  <c r="C2698" i="11"/>
  <c r="C2715" i="11"/>
  <c r="C2741" i="11"/>
  <c r="C2758" i="11"/>
  <c r="C2775" i="11"/>
  <c r="C2792" i="11"/>
  <c r="C2809" i="11"/>
  <c r="C2826" i="11"/>
  <c r="C2843" i="11"/>
  <c r="C2869" i="11"/>
  <c r="C2886" i="11"/>
  <c r="C2903" i="11"/>
  <c r="C2920" i="11"/>
  <c r="C2937" i="11"/>
  <c r="C2954" i="11"/>
  <c r="C2971" i="11"/>
  <c r="C2997" i="11"/>
  <c r="C3014" i="11"/>
  <c r="C3031" i="11"/>
  <c r="C2316" i="11"/>
  <c r="C2411" i="11"/>
  <c r="C2476" i="11"/>
  <c r="C2493" i="11"/>
  <c r="C2552" i="11"/>
  <c r="C2563" i="11"/>
  <c r="C2577" i="11"/>
  <c r="C2359" i="11"/>
  <c r="C2416" i="11"/>
  <c r="C2436" i="11"/>
  <c r="C2459" i="11"/>
  <c r="C2522" i="11"/>
  <c r="C2538" i="11"/>
  <c r="C2631" i="11"/>
  <c r="C2648" i="11"/>
  <c r="C2665" i="11"/>
  <c r="C2682" i="11"/>
  <c r="C2699" i="11"/>
  <c r="C2725" i="11"/>
  <c r="C2742" i="11"/>
  <c r="C2759" i="11"/>
  <c r="C2776" i="11"/>
  <c r="C2793" i="11"/>
  <c r="C2810" i="11"/>
  <c r="C2827" i="11"/>
  <c r="C2853" i="11"/>
  <c r="C2870" i="11"/>
  <c r="C2887" i="11"/>
  <c r="C2904" i="11"/>
  <c r="C2921" i="11"/>
  <c r="C2938" i="11"/>
  <c r="C2955" i="11"/>
  <c r="C2981" i="11"/>
  <c r="C2998" i="11"/>
  <c r="C3015" i="11"/>
  <c r="C3032" i="11"/>
  <c r="C2317" i="11"/>
  <c r="C2392" i="11"/>
  <c r="C2477" i="11"/>
  <c r="C2494" i="11"/>
  <c r="C2510" i="11"/>
  <c r="C2553" i="11"/>
  <c r="C2578" i="11"/>
  <c r="C2591" i="11"/>
  <c r="C2602" i="11"/>
  <c r="C2623" i="11"/>
  <c r="C2640" i="11"/>
  <c r="C2657" i="11"/>
  <c r="C2674" i="11"/>
  <c r="C2691" i="11"/>
  <c r="C2717" i="11"/>
  <c r="C2734" i="11"/>
  <c r="C2751" i="11"/>
  <c r="C2768" i="11"/>
  <c r="C2785" i="11"/>
  <c r="C2802" i="11"/>
  <c r="C2819" i="11"/>
  <c r="C2845" i="11"/>
  <c r="C2862" i="11"/>
  <c r="C2879" i="11"/>
  <c r="C2896" i="11"/>
  <c r="C2913" i="11"/>
  <c r="C2930" i="11"/>
  <c r="C2947" i="11"/>
  <c r="C2973" i="11"/>
  <c r="C2990" i="11"/>
  <c r="C3007" i="11"/>
  <c r="C3024" i="11"/>
  <c r="C3041" i="11"/>
  <c r="C3049" i="11"/>
  <c r="C3057" i="11"/>
  <c r="C3065" i="11"/>
  <c r="C3073" i="11"/>
  <c r="C3081" i="11"/>
  <c r="C3089" i="11"/>
  <c r="C3097" i="11"/>
  <c r="C3105" i="11"/>
  <c r="C3113" i="11"/>
  <c r="C3121" i="11"/>
  <c r="C3129" i="11"/>
  <c r="C3137" i="11"/>
  <c r="C3145" i="11"/>
  <c r="C3153" i="11"/>
  <c r="C3161" i="11"/>
  <c r="C3169" i="11"/>
  <c r="C3177" i="11"/>
  <c r="C3185" i="11"/>
  <c r="C2393" i="11"/>
  <c r="C2418" i="11"/>
  <c r="C2442" i="11"/>
  <c r="C2460" i="11"/>
  <c r="C2539" i="11"/>
  <c r="C2567" i="11"/>
  <c r="C2592" i="11"/>
  <c r="C2614" i="11"/>
  <c r="C2632" i="11"/>
  <c r="C2649" i="11"/>
  <c r="C2666" i="11"/>
  <c r="C2683" i="11"/>
  <c r="C2709" i="11"/>
  <c r="C2726" i="11"/>
  <c r="C2743" i="11"/>
  <c r="C2760" i="11"/>
  <c r="C2777" i="11"/>
  <c r="C2794" i="11"/>
  <c r="C2811" i="11"/>
  <c r="C2837" i="11"/>
  <c r="C2854" i="11"/>
  <c r="C2871" i="11"/>
  <c r="C2888" i="11"/>
  <c r="C2905" i="11"/>
  <c r="C2922" i="11"/>
  <c r="C2939" i="11"/>
  <c r="C2965" i="11"/>
  <c r="C2982" i="11"/>
  <c r="C2999" i="11"/>
  <c r="C3016" i="11"/>
  <c r="C3033" i="11"/>
  <c r="C2325" i="11"/>
  <c r="C2367" i="11"/>
  <c r="C2478" i="11"/>
  <c r="C2495" i="11"/>
  <c r="C2511" i="11"/>
  <c r="C2527" i="11"/>
  <c r="C2542" i="11"/>
  <c r="C2554" i="11"/>
  <c r="C2568" i="11"/>
  <c r="C2579" i="11"/>
  <c r="C2603" i="11"/>
  <c r="C2624" i="11"/>
  <c r="C2641" i="11"/>
  <c r="C2658" i="11"/>
  <c r="C2675" i="11"/>
  <c r="C2701" i="11"/>
  <c r="C2718" i="11"/>
  <c r="C2735" i="11"/>
  <c r="C2752" i="11"/>
  <c r="C2769" i="11"/>
  <c r="C2786" i="11"/>
  <c r="C2803" i="11"/>
  <c r="C2829" i="11"/>
  <c r="C2846" i="11"/>
  <c r="C2863" i="11"/>
  <c r="C2880" i="11"/>
  <c r="C2897" i="11"/>
  <c r="C2914" i="11"/>
  <c r="C2931" i="11"/>
  <c r="C2957" i="11"/>
  <c r="C2974" i="11"/>
  <c r="C2991" i="11"/>
  <c r="C3008" i="11"/>
  <c r="C3025" i="11"/>
  <c r="C3042" i="11"/>
  <c r="C3050" i="11"/>
  <c r="C3058" i="11"/>
  <c r="C3066" i="11"/>
  <c r="C3074" i="11"/>
  <c r="C3082" i="11"/>
  <c r="C3090" i="11"/>
  <c r="C3098" i="11"/>
  <c r="C3106" i="11"/>
  <c r="C3114" i="11"/>
  <c r="C3122" i="11"/>
  <c r="C3130" i="11"/>
  <c r="C3138" i="11"/>
  <c r="C3146" i="11"/>
  <c r="C3154" i="11"/>
  <c r="C2394" i="11"/>
  <c r="C2419" i="11"/>
  <c r="C2443" i="11"/>
  <c r="C2461" i="11"/>
  <c r="C2593" i="11"/>
  <c r="C2615" i="11"/>
  <c r="C2633" i="11"/>
  <c r="C2650" i="11"/>
  <c r="C2667" i="11"/>
  <c r="C2693" i="11"/>
  <c r="C2710" i="11"/>
  <c r="C2727" i="11"/>
  <c r="C2744" i="11"/>
  <c r="C2761" i="11"/>
  <c r="C2778" i="11"/>
  <c r="C2795" i="11"/>
  <c r="C2821" i="11"/>
  <c r="C2838" i="11"/>
  <c r="C2855" i="11"/>
  <c r="C2872" i="11"/>
  <c r="C2889" i="11"/>
  <c r="C2906" i="11"/>
  <c r="C2923" i="11"/>
  <c r="C2949" i="11"/>
  <c r="C2966" i="11"/>
  <c r="C2983" i="11"/>
  <c r="C2333" i="11"/>
  <c r="C2368" i="11"/>
  <c r="C2400" i="11"/>
  <c r="C2479" i="11"/>
  <c r="C2496" i="11"/>
  <c r="C2512" i="11"/>
  <c r="C2528" i="11"/>
  <c r="C2555" i="11"/>
  <c r="C2569" i="11"/>
  <c r="C2616" i="11"/>
  <c r="C2625" i="11"/>
  <c r="C2642" i="11"/>
  <c r="C2659" i="11"/>
  <c r="C2685" i="11"/>
  <c r="C2702" i="11"/>
  <c r="C2719" i="11"/>
  <c r="C2736" i="11"/>
  <c r="C2753" i="11"/>
  <c r="C2770" i="11"/>
  <c r="C2787" i="11"/>
  <c r="C2813" i="11"/>
  <c r="C2830" i="11"/>
  <c r="C2847" i="11"/>
  <c r="C2864" i="11"/>
  <c r="C2881" i="11"/>
  <c r="C2898" i="11"/>
  <c r="C2915" i="11"/>
  <c r="C2941" i="11"/>
  <c r="C2958" i="11"/>
  <c r="C2975" i="11"/>
  <c r="C2992" i="11"/>
  <c r="C3009" i="11"/>
  <c r="C3026" i="11"/>
  <c r="C3043" i="11"/>
  <c r="C3051" i="11"/>
  <c r="C3059" i="11"/>
  <c r="C3067" i="11"/>
  <c r="C3075" i="11"/>
  <c r="C3083" i="11"/>
  <c r="C2401" i="11"/>
  <c r="C2425" i="11"/>
  <c r="C2444" i="11"/>
  <c r="C2462" i="11"/>
  <c r="C2484" i="11"/>
  <c r="C2500" i="11"/>
  <c r="C2513" i="11"/>
  <c r="C2529" i="11"/>
  <c r="C2544" i="11"/>
  <c r="C2583" i="11"/>
  <c r="C2594" i="11"/>
  <c r="C2634" i="11"/>
  <c r="C2651" i="11"/>
  <c r="C2677" i="11"/>
  <c r="C2694" i="11"/>
  <c r="C2711" i="11"/>
  <c r="C2728" i="11"/>
  <c r="C2745" i="11"/>
  <c r="C2762" i="11"/>
  <c r="C2779" i="11"/>
  <c r="C2805" i="11"/>
  <c r="C2822" i="11"/>
  <c r="C2839" i="11"/>
  <c r="C2856" i="11"/>
  <c r="C2873" i="11"/>
  <c r="C2890" i="11"/>
  <c r="C2907" i="11"/>
  <c r="C2933" i="11"/>
  <c r="C2950" i="11"/>
  <c r="C2967" i="11"/>
  <c r="C2984" i="11"/>
  <c r="C3001" i="11"/>
  <c r="C3018" i="11"/>
  <c r="C3035" i="11"/>
  <c r="C2334" i="11"/>
  <c r="C2375" i="11"/>
  <c r="C2426" i="11"/>
  <c r="C2501" i="11"/>
  <c r="C2545" i="11"/>
  <c r="C2570" i="11"/>
  <c r="C2584" i="11"/>
  <c r="C2607" i="11"/>
  <c r="C2617" i="11"/>
  <c r="C2626" i="11"/>
  <c r="C2643" i="11"/>
  <c r="C2669" i="11"/>
  <c r="C2686" i="11"/>
  <c r="C2703" i="11"/>
  <c r="C2720" i="11"/>
  <c r="C2737" i="11"/>
  <c r="C2754" i="11"/>
  <c r="C2771" i="11"/>
  <c r="C2797" i="11"/>
  <c r="C2814" i="11"/>
  <c r="C2831" i="11"/>
  <c r="C2848" i="11"/>
  <c r="C2865" i="11"/>
  <c r="C2402" i="11"/>
  <c r="C2445" i="11"/>
  <c r="C2468" i="11"/>
  <c r="C2485" i="11"/>
  <c r="C2517" i="11"/>
  <c r="C2530" i="11"/>
  <c r="C2559" i="11"/>
  <c r="C2595" i="11"/>
  <c r="C2608" i="11"/>
  <c r="C2635" i="11"/>
  <c r="C2661" i="11"/>
  <c r="C2678" i="11"/>
  <c r="C2695" i="11"/>
  <c r="C2712" i="11"/>
  <c r="C2729" i="11"/>
  <c r="C2746" i="11"/>
  <c r="C2763" i="11"/>
  <c r="C2789" i="11"/>
  <c r="C2806" i="11"/>
  <c r="C2823" i="11"/>
  <c r="C2840" i="11"/>
  <c r="C2857" i="11"/>
  <c r="C2874" i="11"/>
  <c r="C2891" i="11"/>
  <c r="C2917" i="11"/>
  <c r="C2934" i="11"/>
  <c r="C2951" i="11"/>
  <c r="C2968" i="11"/>
  <c r="C2266" i="11"/>
  <c r="C2342" i="11"/>
  <c r="C2376" i="11"/>
  <c r="C2427" i="11"/>
  <c r="C2502" i="11"/>
  <c r="C2518" i="11"/>
  <c r="C2546" i="11"/>
  <c r="C2560" i="11"/>
  <c r="C2571" i="11"/>
  <c r="C2585" i="11"/>
  <c r="C2618" i="11"/>
  <c r="C2627" i="11"/>
  <c r="C2653" i="11"/>
  <c r="C2670" i="11"/>
  <c r="C2687" i="11"/>
  <c r="C2704" i="11"/>
  <c r="C2721" i="11"/>
  <c r="C2738" i="11"/>
  <c r="C2755" i="11"/>
  <c r="C2781" i="11"/>
  <c r="C2798" i="11"/>
  <c r="C2815" i="11"/>
  <c r="C2832" i="11"/>
  <c r="C2849" i="11"/>
  <c r="C2866" i="11"/>
  <c r="C2883" i="11"/>
  <c r="C2909" i="11"/>
  <c r="C2926" i="11"/>
  <c r="C2377" i="11"/>
  <c r="C2451" i="11"/>
  <c r="C2469" i="11"/>
  <c r="C2486" i="11"/>
  <c r="C2534" i="11"/>
  <c r="C2609" i="11"/>
  <c r="C2645" i="11"/>
  <c r="C2662" i="11"/>
  <c r="C2679" i="11"/>
  <c r="C2696" i="11"/>
  <c r="C2713" i="11"/>
  <c r="C2730" i="11"/>
  <c r="C2747" i="11"/>
  <c r="C2773" i="11"/>
  <c r="C2790" i="11"/>
  <c r="C2807" i="11"/>
  <c r="C2824" i="11"/>
  <c r="C2841" i="11"/>
  <c r="C2283" i="11"/>
  <c r="C2350" i="11"/>
  <c r="C2383" i="11"/>
  <c r="C2409" i="11"/>
  <c r="C2428" i="11"/>
  <c r="C2503" i="11"/>
  <c r="C2519" i="11"/>
  <c r="C2535" i="11"/>
  <c r="C2547" i="11"/>
  <c r="C2561" i="11"/>
  <c r="C2586" i="11"/>
  <c r="C2619" i="11"/>
  <c r="C2637" i="11"/>
  <c r="C2654" i="11"/>
  <c r="C2671" i="11"/>
  <c r="C2688" i="11"/>
  <c r="C2705" i="11"/>
  <c r="C2722" i="11"/>
  <c r="C2739" i="11"/>
  <c r="C2765" i="11"/>
  <c r="C2782" i="11"/>
  <c r="C2799" i="11"/>
  <c r="C2816" i="11"/>
  <c r="C2833" i="11"/>
  <c r="C2850" i="11"/>
  <c r="C2452" i="11"/>
  <c r="C2470" i="11"/>
  <c r="C2487" i="11"/>
  <c r="C2575" i="11"/>
  <c r="C2599" i="11"/>
  <c r="C2610" i="11"/>
  <c r="C2629" i="11"/>
  <c r="C2646" i="11"/>
  <c r="C2663" i="11"/>
  <c r="C2680" i="11"/>
  <c r="C2697" i="11"/>
  <c r="C2714" i="11"/>
  <c r="C2731" i="11"/>
  <c r="C2757" i="11"/>
  <c r="C2774" i="11"/>
  <c r="C2791" i="11"/>
  <c r="C2808" i="11"/>
  <c r="C2825" i="11"/>
  <c r="C2622" i="11"/>
  <c r="C2690" i="11"/>
  <c r="C2893" i="11"/>
  <c r="C2959" i="11"/>
  <c r="C2977" i="11"/>
  <c r="C2994" i="11"/>
  <c r="C3010" i="11"/>
  <c r="C3023" i="11"/>
  <c r="C3117" i="11"/>
  <c r="C3128" i="11"/>
  <c r="C3151" i="11"/>
  <c r="C3184" i="11"/>
  <c r="C3194" i="11"/>
  <c r="C3203" i="11"/>
  <c r="C3212" i="11"/>
  <c r="C3221" i="11"/>
  <c r="C3230" i="11"/>
  <c r="C3239" i="11"/>
  <c r="C3249" i="11"/>
  <c r="C3258" i="11"/>
  <c r="C3267" i="11"/>
  <c r="C3276" i="11"/>
  <c r="C3285" i="11"/>
  <c r="C3294" i="11"/>
  <c r="C3303" i="11"/>
  <c r="C3313" i="11"/>
  <c r="C3322" i="11"/>
  <c r="C3331" i="11"/>
  <c r="C3340" i="11"/>
  <c r="C3349" i="11"/>
  <c r="C3358" i="11"/>
  <c r="C3367" i="11"/>
  <c r="C3377" i="11"/>
  <c r="C3386" i="11"/>
  <c r="C3395" i="11"/>
  <c r="C3404" i="11"/>
  <c r="C3421" i="11"/>
  <c r="C3438" i="11"/>
  <c r="C3455" i="11"/>
  <c r="C3464" i="11"/>
  <c r="C3481" i="11"/>
  <c r="C3498" i="11"/>
  <c r="C3515" i="11"/>
  <c r="C3532" i="11"/>
  <c r="C3549" i="11"/>
  <c r="C3566" i="11"/>
  <c r="C2766" i="11"/>
  <c r="C2834" i="11"/>
  <c r="C2918" i="11"/>
  <c r="C2960" i="11"/>
  <c r="C3039" i="11"/>
  <c r="C3054" i="11"/>
  <c r="C3069" i="11"/>
  <c r="C3094" i="11"/>
  <c r="C3107" i="11"/>
  <c r="C3141" i="11"/>
  <c r="C3152" i="11"/>
  <c r="C3164" i="11"/>
  <c r="C3174" i="11"/>
  <c r="C3240" i="11"/>
  <c r="C3304" i="11"/>
  <c r="C3368" i="11"/>
  <c r="C3413" i="11"/>
  <c r="C3430" i="11"/>
  <c r="C3447" i="11"/>
  <c r="C3456" i="11"/>
  <c r="C3473" i="11"/>
  <c r="C3490" i="11"/>
  <c r="C3507" i="11"/>
  <c r="C3524" i="11"/>
  <c r="C3541" i="11"/>
  <c r="C3558" i="11"/>
  <c r="C3575" i="11"/>
  <c r="C3583" i="11"/>
  <c r="C3591" i="11"/>
  <c r="C3599" i="11"/>
  <c r="C3607" i="11"/>
  <c r="C3615" i="11"/>
  <c r="C3623" i="11"/>
  <c r="C2767" i="11"/>
  <c r="C2835" i="11"/>
  <c r="C2894" i="11"/>
  <c r="C2942" i="11"/>
  <c r="C2978" i="11"/>
  <c r="C2995" i="11"/>
  <c r="C3011" i="11"/>
  <c r="C3027" i="11"/>
  <c r="C3040" i="11"/>
  <c r="C3084" i="11"/>
  <c r="C3118" i="11"/>
  <c r="C3131" i="11"/>
  <c r="C3186" i="11"/>
  <c r="C3195" i="11"/>
  <c r="C3204" i="11"/>
  <c r="C3213" i="11"/>
  <c r="C3222" i="11"/>
  <c r="C3231" i="11"/>
  <c r="C3241" i="11"/>
  <c r="C3250" i="11"/>
  <c r="C3259" i="11"/>
  <c r="C3268" i="11"/>
  <c r="C3277" i="11"/>
  <c r="C3286" i="11"/>
  <c r="C3295" i="11"/>
  <c r="C3305" i="11"/>
  <c r="C3314" i="11"/>
  <c r="C3323" i="11"/>
  <c r="C3332" i="11"/>
  <c r="C3341" i="11"/>
  <c r="C3350" i="11"/>
  <c r="C3359" i="11"/>
  <c r="C3369" i="11"/>
  <c r="C3378" i="11"/>
  <c r="C3387" i="11"/>
  <c r="C3396" i="11"/>
  <c r="C3405" i="11"/>
  <c r="C3422" i="11"/>
  <c r="C3439" i="11"/>
  <c r="C3448" i="11"/>
  <c r="C3465" i="11"/>
  <c r="C3482" i="11"/>
  <c r="C3499" i="11"/>
  <c r="C3516" i="11"/>
  <c r="C3533" i="11"/>
  <c r="C3550" i="11"/>
  <c r="C3567" i="11"/>
  <c r="C2504" i="11"/>
  <c r="C2638" i="11"/>
  <c r="C2706" i="11"/>
  <c r="C2842" i="11"/>
  <c r="C2875" i="11"/>
  <c r="C2895" i="11"/>
  <c r="C2919" i="11"/>
  <c r="C2943" i="11"/>
  <c r="C2961" i="11"/>
  <c r="C3055" i="11"/>
  <c r="C3070" i="11"/>
  <c r="C3095" i="11"/>
  <c r="C3108" i="11"/>
  <c r="C3142" i="11"/>
  <c r="C3155" i="11"/>
  <c r="C3165" i="11"/>
  <c r="C3175" i="11"/>
  <c r="C3232" i="11"/>
  <c r="C3296" i="11"/>
  <c r="C3360" i="11"/>
  <c r="C3414" i="11"/>
  <c r="C3431" i="11"/>
  <c r="C3440" i="11"/>
  <c r="C3457" i="11"/>
  <c r="C3474" i="11"/>
  <c r="C3491" i="11"/>
  <c r="C3508" i="11"/>
  <c r="C3525" i="11"/>
  <c r="C3542" i="11"/>
  <c r="C2520" i="11"/>
  <c r="C2639" i="11"/>
  <c r="C2707" i="11"/>
  <c r="C2899" i="11"/>
  <c r="C2979" i="11"/>
  <c r="C3044" i="11"/>
  <c r="C3056" i="11"/>
  <c r="C3085" i="11"/>
  <c r="C3096" i="11"/>
  <c r="C3119" i="11"/>
  <c r="C3132" i="11"/>
  <c r="C3176" i="11"/>
  <c r="C3187" i="11"/>
  <c r="C3196" i="11"/>
  <c r="C3205" i="11"/>
  <c r="C3214" i="11"/>
  <c r="C3223" i="11"/>
  <c r="C3233" i="11"/>
  <c r="C3242" i="11"/>
  <c r="C3251" i="11"/>
  <c r="C3260" i="11"/>
  <c r="C3269" i="11"/>
  <c r="C3278" i="11"/>
  <c r="C3287" i="11"/>
  <c r="C3297" i="11"/>
  <c r="C3306" i="11"/>
  <c r="C3315" i="11"/>
  <c r="C3324" i="11"/>
  <c r="C3333" i="11"/>
  <c r="C3342" i="11"/>
  <c r="C3351" i="11"/>
  <c r="C3361" i="11"/>
  <c r="C3370" i="11"/>
  <c r="C3379" i="11"/>
  <c r="C3388" i="11"/>
  <c r="C3397" i="11"/>
  <c r="C3406" i="11"/>
  <c r="C3423" i="11"/>
  <c r="C3432" i="11"/>
  <c r="C3449" i="11"/>
  <c r="C3466" i="11"/>
  <c r="C3483" i="11"/>
  <c r="C3500" i="11"/>
  <c r="C3517" i="11"/>
  <c r="C3534" i="11"/>
  <c r="C3551" i="11"/>
  <c r="C3560" i="11"/>
  <c r="C2536" i="11"/>
  <c r="C2783" i="11"/>
  <c r="C2901" i="11"/>
  <c r="C2944" i="11"/>
  <c r="C2962" i="11"/>
  <c r="C3013" i="11"/>
  <c r="C3029" i="11"/>
  <c r="C3071" i="11"/>
  <c r="C3109" i="11"/>
  <c r="C3120" i="11"/>
  <c r="C3143" i="11"/>
  <c r="C3156" i="11"/>
  <c r="C3166" i="11"/>
  <c r="C3178" i="11"/>
  <c r="C3224" i="11"/>
  <c r="C3288" i="11"/>
  <c r="C3352" i="11"/>
  <c r="C3415" i="11"/>
  <c r="C3424" i="11"/>
  <c r="C3441" i="11"/>
  <c r="C3458" i="11"/>
  <c r="C3475" i="11"/>
  <c r="C3492" i="11"/>
  <c r="C3509" i="11"/>
  <c r="C3526" i="11"/>
  <c r="C3543" i="11"/>
  <c r="C3552" i="11"/>
  <c r="C3569" i="11"/>
  <c r="C3577" i="11"/>
  <c r="C3585" i="11"/>
  <c r="C3593" i="11"/>
  <c r="C3601" i="11"/>
  <c r="C3609" i="11"/>
  <c r="C3617" i="11"/>
  <c r="C3625" i="11"/>
  <c r="C3633" i="11"/>
  <c r="C3641" i="11"/>
  <c r="C3649" i="11"/>
  <c r="C3657" i="11"/>
  <c r="C3665" i="11"/>
  <c r="C3673" i="11"/>
  <c r="C3681" i="11"/>
  <c r="C3689" i="11"/>
  <c r="C2784" i="11"/>
  <c r="C2877" i="11"/>
  <c r="C2925" i="11"/>
  <c r="C2963" i="11"/>
  <c r="C3000" i="11"/>
  <c r="C3045" i="11"/>
  <c r="C3060" i="11"/>
  <c r="C3072" i="11"/>
  <c r="C3086" i="11"/>
  <c r="C3099" i="11"/>
  <c r="C3133" i="11"/>
  <c r="C3144" i="11"/>
  <c r="C3188" i="11"/>
  <c r="C3197" i="11"/>
  <c r="C3206" i="11"/>
  <c r="C3215" i="11"/>
  <c r="C3225" i="11"/>
  <c r="C3234" i="11"/>
  <c r="C3243" i="11"/>
  <c r="C3252" i="11"/>
  <c r="C3261" i="11"/>
  <c r="C3270" i="11"/>
  <c r="C3279" i="11"/>
  <c r="C3289" i="11"/>
  <c r="C3298" i="11"/>
  <c r="C3307" i="11"/>
  <c r="C3316" i="11"/>
  <c r="C3325" i="11"/>
  <c r="C3334" i="11"/>
  <c r="C3343" i="11"/>
  <c r="C3353" i="11"/>
  <c r="C3362" i="11"/>
  <c r="C3371" i="11"/>
  <c r="C3380" i="11"/>
  <c r="C3389" i="11"/>
  <c r="C3398" i="11"/>
  <c r="C3407" i="11"/>
  <c r="C3416" i="11"/>
  <c r="C3433" i="11"/>
  <c r="C3450" i="11"/>
  <c r="C3467" i="11"/>
  <c r="C3484" i="11"/>
  <c r="C3501" i="11"/>
  <c r="C3518" i="11"/>
  <c r="C3535" i="11"/>
  <c r="C3544" i="11"/>
  <c r="C3561" i="11"/>
  <c r="C2562" i="11"/>
  <c r="C2655" i="11"/>
  <c r="C2723" i="11"/>
  <c r="C2851" i="11"/>
  <c r="C2878" i="11"/>
  <c r="C2902" i="11"/>
  <c r="C2945" i="11"/>
  <c r="C2985" i="11"/>
  <c r="C3030" i="11"/>
  <c r="C3110" i="11"/>
  <c r="C3123" i="11"/>
  <c r="C3157" i="11"/>
  <c r="C3167" i="11"/>
  <c r="C3179" i="11"/>
  <c r="C3216" i="11"/>
  <c r="C3280" i="11"/>
  <c r="C3344" i="11"/>
  <c r="C3408" i="11"/>
  <c r="C3425" i="11"/>
  <c r="C3442" i="11"/>
  <c r="C3459" i="11"/>
  <c r="C3476" i="11"/>
  <c r="C3493" i="11"/>
  <c r="C3510" i="11"/>
  <c r="C3527" i="11"/>
  <c r="C3536" i="11"/>
  <c r="C2576" i="11"/>
  <c r="C2656" i="11"/>
  <c r="C2882" i="11"/>
  <c r="C2927" i="11"/>
  <c r="C2946" i="11"/>
  <c r="C3002" i="11"/>
  <c r="C3017" i="11"/>
  <c r="C3046" i="11"/>
  <c r="C3061" i="11"/>
  <c r="C3076" i="11"/>
  <c r="C3087" i="11"/>
  <c r="C3100" i="11"/>
  <c r="C3134" i="11"/>
  <c r="C3147" i="11"/>
  <c r="C3168" i="11"/>
  <c r="C3189" i="11"/>
  <c r="C3198" i="11"/>
  <c r="C3207" i="11"/>
  <c r="C3217" i="11"/>
  <c r="C3226" i="11"/>
  <c r="C3235" i="11"/>
  <c r="C3244" i="11"/>
  <c r="C3253" i="11"/>
  <c r="C3262" i="11"/>
  <c r="C3271" i="11"/>
  <c r="C3281" i="11"/>
  <c r="C3290" i="11"/>
  <c r="C3299" i="11"/>
  <c r="C3308" i="11"/>
  <c r="C3317" i="11"/>
  <c r="C3326" i="11"/>
  <c r="C3335" i="11"/>
  <c r="C3345" i="11"/>
  <c r="C3354" i="11"/>
  <c r="C3363" i="11"/>
  <c r="C3372" i="11"/>
  <c r="C3381" i="11"/>
  <c r="C3390" i="11"/>
  <c r="C3399" i="11"/>
  <c r="C3417" i="11"/>
  <c r="C3434" i="11"/>
  <c r="C3451" i="11"/>
  <c r="C3468" i="11"/>
  <c r="C2587" i="11"/>
  <c r="C2800" i="11"/>
  <c r="C2858" i="11"/>
  <c r="C2969" i="11"/>
  <c r="C2986" i="11"/>
  <c r="C3088" i="11"/>
  <c r="C3111" i="11"/>
  <c r="C3124" i="11"/>
  <c r="C3158" i="11"/>
  <c r="C3170" i="11"/>
  <c r="C3180" i="11"/>
  <c r="C3208" i="11"/>
  <c r="C3272" i="11"/>
  <c r="C3336" i="11"/>
  <c r="C2733" i="11"/>
  <c r="C2801" i="11"/>
  <c r="C2928" i="11"/>
  <c r="C3003" i="11"/>
  <c r="C3019" i="11"/>
  <c r="C3034" i="11"/>
  <c r="C3047" i="11"/>
  <c r="C3062" i="11"/>
  <c r="C3077" i="11"/>
  <c r="C3101" i="11"/>
  <c r="C3112" i="11"/>
  <c r="C3135" i="11"/>
  <c r="C3148" i="11"/>
  <c r="C3190" i="11"/>
  <c r="C3199" i="11"/>
  <c r="C3209" i="11"/>
  <c r="C3218" i="11"/>
  <c r="C3227" i="11"/>
  <c r="C3236" i="11"/>
  <c r="C3245" i="11"/>
  <c r="C3254" i="11"/>
  <c r="C3263" i="11"/>
  <c r="C3273" i="11"/>
  <c r="C3282" i="11"/>
  <c r="C3291" i="11"/>
  <c r="C3300" i="11"/>
  <c r="C3309" i="11"/>
  <c r="C3318" i="11"/>
  <c r="C3327" i="11"/>
  <c r="C3337" i="11"/>
  <c r="C3346" i="11"/>
  <c r="C3355" i="11"/>
  <c r="C3364" i="11"/>
  <c r="C3373" i="11"/>
  <c r="C3382" i="11"/>
  <c r="C3391" i="11"/>
  <c r="C3401" i="11"/>
  <c r="C3418" i="11"/>
  <c r="C3435" i="11"/>
  <c r="C3452" i="11"/>
  <c r="C3469" i="11"/>
  <c r="C3486" i="11"/>
  <c r="C2300" i="11"/>
  <c r="C2600" i="11"/>
  <c r="C2672" i="11"/>
  <c r="C2859" i="11"/>
  <c r="C2885" i="11"/>
  <c r="C2929" i="11"/>
  <c r="C2952" i="11"/>
  <c r="C2970" i="11"/>
  <c r="C2987" i="11"/>
  <c r="C3048" i="11"/>
  <c r="C3091" i="11"/>
  <c r="C3125" i="11"/>
  <c r="C3136" i="11"/>
  <c r="C3159" i="11"/>
  <c r="C3171" i="11"/>
  <c r="C3181" i="11"/>
  <c r="C3200" i="11"/>
  <c r="C3264" i="11"/>
  <c r="C3328" i="11"/>
  <c r="C3392" i="11"/>
  <c r="C3410" i="11"/>
  <c r="C3427" i="11"/>
  <c r="C3444" i="11"/>
  <c r="C3461" i="11"/>
  <c r="C3478" i="11"/>
  <c r="C2351" i="11"/>
  <c r="C2601" i="11"/>
  <c r="C2673" i="11"/>
  <c r="C2910" i="11"/>
  <c r="C3063" i="11"/>
  <c r="C3078" i="11"/>
  <c r="C3102" i="11"/>
  <c r="C3115" i="11"/>
  <c r="C3149" i="11"/>
  <c r="C3160" i="11"/>
  <c r="C3191" i="11"/>
  <c r="C3201" i="11"/>
  <c r="C3210" i="11"/>
  <c r="C3219" i="11"/>
  <c r="C3228" i="11"/>
  <c r="C3237" i="11"/>
  <c r="C3246" i="11"/>
  <c r="C3255" i="11"/>
  <c r="C3265" i="11"/>
  <c r="C3274" i="11"/>
  <c r="C3283" i="11"/>
  <c r="C3292" i="11"/>
  <c r="C3301" i="11"/>
  <c r="C3310" i="11"/>
  <c r="C3319" i="11"/>
  <c r="C3329" i="11"/>
  <c r="C3338" i="11"/>
  <c r="C3347" i="11"/>
  <c r="C3356" i="11"/>
  <c r="C3365" i="11"/>
  <c r="C3374" i="11"/>
  <c r="C3383" i="11"/>
  <c r="C3393" i="11"/>
  <c r="C3402" i="11"/>
  <c r="C2384" i="11"/>
  <c r="C2749" i="11"/>
  <c r="C2817" i="11"/>
  <c r="C2861" i="11"/>
  <c r="C2935" i="11"/>
  <c r="C2953" i="11"/>
  <c r="C2989" i="11"/>
  <c r="C3005" i="11"/>
  <c r="C3021" i="11"/>
  <c r="C3037" i="11"/>
  <c r="C3052" i="11"/>
  <c r="C3064" i="11"/>
  <c r="C3092" i="11"/>
  <c r="C3126" i="11"/>
  <c r="C3139" i="11"/>
  <c r="C3162" i="11"/>
  <c r="C3172" i="11"/>
  <c r="C3182" i="11"/>
  <c r="C3192" i="11"/>
  <c r="C3256" i="11"/>
  <c r="C3320" i="11"/>
  <c r="C2410" i="11"/>
  <c r="C2750" i="11"/>
  <c r="C2818" i="11"/>
  <c r="C2911" i="11"/>
  <c r="C2867" i="11"/>
  <c r="C3053" i="11"/>
  <c r="C3488" i="11"/>
  <c r="C3505" i="11"/>
  <c r="C3522" i="11"/>
  <c r="C3539" i="11"/>
  <c r="C3555" i="11"/>
  <c r="C3570" i="11"/>
  <c r="C3581" i="11"/>
  <c r="C3605" i="11"/>
  <c r="C3627" i="11"/>
  <c r="C3646" i="11"/>
  <c r="C3666" i="11"/>
  <c r="C3675" i="11"/>
  <c r="C3684" i="11"/>
  <c r="C3693" i="11"/>
  <c r="C3710" i="11"/>
  <c r="C3719" i="11"/>
  <c r="C3736" i="11"/>
  <c r="C3753" i="11"/>
  <c r="C3770" i="11"/>
  <c r="C3787" i="11"/>
  <c r="C3804" i="11"/>
  <c r="C3821" i="11"/>
  <c r="C3838" i="11"/>
  <c r="C3847" i="11"/>
  <c r="C3864" i="11"/>
  <c r="C3881" i="11"/>
  <c r="C3898" i="11"/>
  <c r="C3915" i="11"/>
  <c r="C3932" i="11"/>
  <c r="C3949" i="11"/>
  <c r="C3966" i="11"/>
  <c r="C3975" i="11"/>
  <c r="C3992" i="11"/>
  <c r="C4009" i="11"/>
  <c r="C4026" i="11"/>
  <c r="C4043" i="11"/>
  <c r="C4060" i="11"/>
  <c r="C4077" i="11"/>
  <c r="C4094" i="11"/>
  <c r="C4103" i="11"/>
  <c r="C4120" i="11"/>
  <c r="C3238" i="11"/>
  <c r="C3311" i="11"/>
  <c r="C3375" i="11"/>
  <c r="C3411" i="11"/>
  <c r="C3437" i="11"/>
  <c r="C3463" i="11"/>
  <c r="C3595" i="11"/>
  <c r="C3637" i="11"/>
  <c r="C3647" i="11"/>
  <c r="C3702" i="11"/>
  <c r="C3711" i="11"/>
  <c r="C3728" i="11"/>
  <c r="C3745" i="11"/>
  <c r="C3762" i="11"/>
  <c r="C3779" i="11"/>
  <c r="C3796" i="11"/>
  <c r="C3813" i="11"/>
  <c r="C3830" i="11"/>
  <c r="C3839" i="11"/>
  <c r="C3856" i="11"/>
  <c r="C3873" i="11"/>
  <c r="C3890" i="11"/>
  <c r="C3907" i="11"/>
  <c r="C3924" i="11"/>
  <c r="C3941" i="11"/>
  <c r="C3958" i="11"/>
  <c r="C3967" i="11"/>
  <c r="C3984" i="11"/>
  <c r="C4001" i="11"/>
  <c r="C4018" i="11"/>
  <c r="C4035" i="11"/>
  <c r="C4052" i="11"/>
  <c r="C4069" i="11"/>
  <c r="C4086" i="11"/>
  <c r="C4095" i="11"/>
  <c r="C4112" i="11"/>
  <c r="C2912" i="11"/>
  <c r="C3068" i="11"/>
  <c r="C3163" i="11"/>
  <c r="C3312" i="11"/>
  <c r="C3376" i="11"/>
  <c r="C3489" i="11"/>
  <c r="C3506" i="11"/>
  <c r="C3523" i="11"/>
  <c r="C3540" i="11"/>
  <c r="C3556" i="11"/>
  <c r="C3571" i="11"/>
  <c r="C3582" i="11"/>
  <c r="C3606" i="11"/>
  <c r="C3618" i="11"/>
  <c r="C3628" i="11"/>
  <c r="C3648" i="11"/>
  <c r="C3658" i="11"/>
  <c r="C3667" i="11"/>
  <c r="C3676" i="11"/>
  <c r="C3685" i="11"/>
  <c r="C3694" i="11"/>
  <c r="C3703" i="11"/>
  <c r="C3720" i="11"/>
  <c r="C3737" i="11"/>
  <c r="C3754" i="11"/>
  <c r="C3771" i="11"/>
  <c r="C3788" i="11"/>
  <c r="C3805" i="11"/>
  <c r="C3822" i="11"/>
  <c r="C3831" i="11"/>
  <c r="C3848" i="11"/>
  <c r="C3865" i="11"/>
  <c r="C3882" i="11"/>
  <c r="C3899" i="11"/>
  <c r="C3916" i="11"/>
  <c r="C3933" i="11"/>
  <c r="C3950" i="11"/>
  <c r="C3959" i="11"/>
  <c r="C3976" i="11"/>
  <c r="C3993" i="11"/>
  <c r="C4010" i="11"/>
  <c r="C4027" i="11"/>
  <c r="C4044" i="11"/>
  <c r="C4061" i="11"/>
  <c r="C4078" i="11"/>
  <c r="C4087" i="11"/>
  <c r="C4104" i="11"/>
  <c r="C4121" i="11"/>
  <c r="C2936" i="11"/>
  <c r="C3079" i="11"/>
  <c r="C3247" i="11"/>
  <c r="C3321" i="11"/>
  <c r="C3412" i="11"/>
  <c r="C3443" i="11"/>
  <c r="C3470" i="11"/>
  <c r="C3528" i="11"/>
  <c r="C3584" i="11"/>
  <c r="C3596" i="11"/>
  <c r="C3608" i="11"/>
  <c r="C3638" i="11"/>
  <c r="C3695" i="11"/>
  <c r="C3712" i="11"/>
  <c r="C3729" i="11"/>
  <c r="C3746" i="11"/>
  <c r="C3763" i="11"/>
  <c r="C3780" i="11"/>
  <c r="C3797" i="11"/>
  <c r="C3814" i="11"/>
  <c r="C3823" i="11"/>
  <c r="C3840" i="11"/>
  <c r="C3857" i="11"/>
  <c r="C3874" i="11"/>
  <c r="C3891" i="11"/>
  <c r="C3908" i="11"/>
  <c r="C3925" i="11"/>
  <c r="C3942" i="11"/>
  <c r="C3951" i="11"/>
  <c r="C3968" i="11"/>
  <c r="C3985" i="11"/>
  <c r="C4002" i="11"/>
  <c r="C4019" i="11"/>
  <c r="C4036" i="11"/>
  <c r="C4053" i="11"/>
  <c r="C4070" i="11"/>
  <c r="C4079" i="11"/>
  <c r="C4096" i="11"/>
  <c r="C4113" i="11"/>
  <c r="C4130" i="11"/>
  <c r="C4138" i="11"/>
  <c r="C4146" i="11"/>
  <c r="C3080" i="11"/>
  <c r="C3173" i="11"/>
  <c r="C3248" i="11"/>
  <c r="C3384" i="11"/>
  <c r="C3494" i="11"/>
  <c r="C3511" i="11"/>
  <c r="C3545" i="11"/>
  <c r="C3557" i="11"/>
  <c r="C3572" i="11"/>
  <c r="C3586" i="11"/>
  <c r="C3619" i="11"/>
  <c r="C3629" i="11"/>
  <c r="C3639" i="11"/>
  <c r="C3659" i="11"/>
  <c r="C3668" i="11"/>
  <c r="C3677" i="11"/>
  <c r="C3686" i="11"/>
  <c r="C3704" i="11"/>
  <c r="C3721" i="11"/>
  <c r="C3738" i="11"/>
  <c r="C3755" i="11"/>
  <c r="C3772" i="11"/>
  <c r="C3789" i="11"/>
  <c r="C3806" i="11"/>
  <c r="C3815" i="11"/>
  <c r="C3832" i="11"/>
  <c r="C3849" i="11"/>
  <c r="C3866" i="11"/>
  <c r="C3883" i="11"/>
  <c r="C3900" i="11"/>
  <c r="C3917" i="11"/>
  <c r="C3934" i="11"/>
  <c r="C3943" i="11"/>
  <c r="C3960" i="11"/>
  <c r="C3977" i="11"/>
  <c r="C3994" i="11"/>
  <c r="C4011" i="11"/>
  <c r="C4028" i="11"/>
  <c r="C4045" i="11"/>
  <c r="C4062" i="11"/>
  <c r="C4071" i="11"/>
  <c r="C4088" i="11"/>
  <c r="C4105" i="11"/>
  <c r="C4122" i="11"/>
  <c r="C2976" i="11"/>
  <c r="C3257" i="11"/>
  <c r="C3330" i="11"/>
  <c r="C3385" i="11"/>
  <c r="C3419" i="11"/>
  <c r="C3445" i="11"/>
  <c r="C3471" i="11"/>
  <c r="C3512" i="11"/>
  <c r="C3529" i="11"/>
  <c r="C3559" i="11"/>
  <c r="C3597" i="11"/>
  <c r="C3640" i="11"/>
  <c r="C3650" i="11"/>
  <c r="C3687" i="11"/>
  <c r="C3696" i="11"/>
  <c r="C3713" i="11"/>
  <c r="C3730" i="11"/>
  <c r="C3747" i="11"/>
  <c r="C3764" i="11"/>
  <c r="C3781" i="11"/>
  <c r="C3798" i="11"/>
  <c r="C3807" i="11"/>
  <c r="C3824" i="11"/>
  <c r="C3841" i="11"/>
  <c r="C3858" i="11"/>
  <c r="C3875" i="11"/>
  <c r="C3892" i="11"/>
  <c r="C3909" i="11"/>
  <c r="C3926" i="11"/>
  <c r="C3935" i="11"/>
  <c r="C3952" i="11"/>
  <c r="C3969" i="11"/>
  <c r="C3986" i="11"/>
  <c r="C4003" i="11"/>
  <c r="C4020" i="11"/>
  <c r="C4037" i="11"/>
  <c r="C4054" i="11"/>
  <c r="C4063" i="11"/>
  <c r="C4080" i="11"/>
  <c r="C4097" i="11"/>
  <c r="C4114" i="11"/>
  <c r="C4131" i="11"/>
  <c r="C4139" i="11"/>
  <c r="C4147" i="11"/>
  <c r="C4155" i="11"/>
  <c r="C4163" i="11"/>
  <c r="C4171" i="11"/>
  <c r="C4179" i="11"/>
  <c r="C4187" i="11"/>
  <c r="C4195" i="11"/>
  <c r="C3093" i="11"/>
  <c r="C3183" i="11"/>
  <c r="C3472" i="11"/>
  <c r="C3495" i="11"/>
  <c r="C3546" i="11"/>
  <c r="C3573" i="11"/>
  <c r="C3587" i="11"/>
  <c r="C3610" i="11"/>
  <c r="C3620" i="11"/>
  <c r="C3630" i="11"/>
  <c r="C3660" i="11"/>
  <c r="C3669" i="11"/>
  <c r="C3678" i="11"/>
  <c r="C3705" i="11"/>
  <c r="C3722" i="11"/>
  <c r="C3739" i="11"/>
  <c r="C3756" i="11"/>
  <c r="C3773" i="11"/>
  <c r="C3790" i="11"/>
  <c r="C3799" i="11"/>
  <c r="C3816" i="11"/>
  <c r="C3833" i="11"/>
  <c r="C3850" i="11"/>
  <c r="C3867" i="11"/>
  <c r="C3884" i="11"/>
  <c r="C3901" i="11"/>
  <c r="C3918" i="11"/>
  <c r="C3927" i="11"/>
  <c r="C3944" i="11"/>
  <c r="C3961" i="11"/>
  <c r="C3978" i="11"/>
  <c r="C3995" i="11"/>
  <c r="C4012" i="11"/>
  <c r="C4029" i="11"/>
  <c r="C4046" i="11"/>
  <c r="C4055" i="11"/>
  <c r="C4072" i="11"/>
  <c r="C2993" i="11"/>
  <c r="C3103" i="11"/>
  <c r="C3193" i="11"/>
  <c r="C3266" i="11"/>
  <c r="C3339" i="11"/>
  <c r="C3420" i="11"/>
  <c r="C3446" i="11"/>
  <c r="C3496" i="11"/>
  <c r="C3513" i="11"/>
  <c r="C3530" i="11"/>
  <c r="C3562" i="11"/>
  <c r="C3598" i="11"/>
  <c r="C3631" i="11"/>
  <c r="C3651" i="11"/>
  <c r="C3679" i="11"/>
  <c r="C3688" i="11"/>
  <c r="C3697" i="11"/>
  <c r="C3714" i="11"/>
  <c r="C3731" i="11"/>
  <c r="C3748" i="11"/>
  <c r="C3765" i="11"/>
  <c r="C3782" i="11"/>
  <c r="C3791" i="11"/>
  <c r="C3808" i="11"/>
  <c r="C3825" i="11"/>
  <c r="C3842" i="11"/>
  <c r="C3859" i="11"/>
  <c r="C3876" i="11"/>
  <c r="C3893" i="11"/>
  <c r="C3910" i="11"/>
  <c r="C3919" i="11"/>
  <c r="C3936" i="11"/>
  <c r="C3953" i="11"/>
  <c r="C3970" i="11"/>
  <c r="C3987" i="11"/>
  <c r="C4004" i="11"/>
  <c r="C4021" i="11"/>
  <c r="C4038" i="11"/>
  <c r="C4047" i="11"/>
  <c r="C4064" i="11"/>
  <c r="C4081" i="11"/>
  <c r="C4098" i="11"/>
  <c r="C4115" i="11"/>
  <c r="C4132" i="11"/>
  <c r="C4140" i="11"/>
  <c r="C4148" i="11"/>
  <c r="C4156" i="11"/>
  <c r="C4164" i="11"/>
  <c r="C4172" i="11"/>
  <c r="C4180" i="11"/>
  <c r="C4188" i="11"/>
  <c r="C4196" i="11"/>
  <c r="C4204" i="11"/>
  <c r="C4212" i="11"/>
  <c r="C4220" i="11"/>
  <c r="C4228" i="11"/>
  <c r="C3104" i="11"/>
  <c r="C3477" i="11"/>
  <c r="C3547" i="11"/>
  <c r="C3574" i="11"/>
  <c r="C3588" i="11"/>
  <c r="C3600" i="11"/>
  <c r="C3611" i="11"/>
  <c r="C3621" i="11"/>
  <c r="C3632" i="11"/>
  <c r="C3642" i="11"/>
  <c r="C3661" i="11"/>
  <c r="C3670" i="11"/>
  <c r="C3706" i="11"/>
  <c r="C3723" i="11"/>
  <c r="C3740" i="11"/>
  <c r="C3757" i="11"/>
  <c r="C3774" i="11"/>
  <c r="C3783" i="11"/>
  <c r="C3800" i="11"/>
  <c r="C3817" i="11"/>
  <c r="C3834" i="11"/>
  <c r="C3851" i="11"/>
  <c r="C3868" i="11"/>
  <c r="C3885" i="11"/>
  <c r="C3902" i="11"/>
  <c r="C3911" i="11"/>
  <c r="C3928" i="11"/>
  <c r="C3945" i="11"/>
  <c r="C3962" i="11"/>
  <c r="C3979" i="11"/>
  <c r="C3996" i="11"/>
  <c r="C4013" i="11"/>
  <c r="C4030" i="11"/>
  <c r="C4039" i="11"/>
  <c r="C4056" i="11"/>
  <c r="C4073" i="11"/>
  <c r="C4090" i="11"/>
  <c r="C3006" i="11"/>
  <c r="C3116" i="11"/>
  <c r="C3202" i="11"/>
  <c r="C3275" i="11"/>
  <c r="C3348" i="11"/>
  <c r="C3394" i="11"/>
  <c r="C3426" i="11"/>
  <c r="C3453" i="11"/>
  <c r="C3497" i="11"/>
  <c r="C3514" i="11"/>
  <c r="C3531" i="11"/>
  <c r="C3563" i="11"/>
  <c r="C3576" i="11"/>
  <c r="C3652" i="11"/>
  <c r="C3671" i="11"/>
  <c r="C3680" i="11"/>
  <c r="C3698" i="11"/>
  <c r="C3715" i="11"/>
  <c r="C3732" i="11"/>
  <c r="C3749" i="11"/>
  <c r="C3766" i="11"/>
  <c r="C3775" i="11"/>
  <c r="C3792" i="11"/>
  <c r="C3809" i="11"/>
  <c r="C3826" i="11"/>
  <c r="C3843" i="11"/>
  <c r="C3860" i="11"/>
  <c r="C3877" i="11"/>
  <c r="C3894" i="11"/>
  <c r="C3903" i="11"/>
  <c r="C3920" i="11"/>
  <c r="C3937" i="11"/>
  <c r="C3479" i="11"/>
  <c r="C3548" i="11"/>
  <c r="C3578" i="11"/>
  <c r="C3589" i="11"/>
  <c r="C3602" i="11"/>
  <c r="C3612" i="11"/>
  <c r="C3622" i="11"/>
  <c r="C3643" i="11"/>
  <c r="C3662" i="11"/>
  <c r="C3690" i="11"/>
  <c r="C3707" i="11"/>
  <c r="C3724" i="11"/>
  <c r="C3741" i="11"/>
  <c r="C3758" i="11"/>
  <c r="C3767" i="11"/>
  <c r="C3784" i="11"/>
  <c r="C3801" i="11"/>
  <c r="C3818" i="11"/>
  <c r="C3835" i="11"/>
  <c r="C3852" i="11"/>
  <c r="C3869" i="11"/>
  <c r="C3886" i="11"/>
  <c r="C3895" i="11"/>
  <c r="C3912" i="11"/>
  <c r="C3929" i="11"/>
  <c r="C3211" i="11"/>
  <c r="C3284" i="11"/>
  <c r="C3357" i="11"/>
  <c r="C3400" i="11"/>
  <c r="C3428" i="11"/>
  <c r="C3454" i="11"/>
  <c r="C3480" i="11"/>
  <c r="C3502" i="11"/>
  <c r="C3519" i="11"/>
  <c r="C3564" i="11"/>
  <c r="C3624" i="11"/>
  <c r="C3634" i="11"/>
  <c r="C3653" i="11"/>
  <c r="C3663" i="11"/>
  <c r="C3672" i="11"/>
  <c r="C3699" i="11"/>
  <c r="C3716" i="11"/>
  <c r="C3733" i="11"/>
  <c r="C3750" i="11"/>
  <c r="C3759" i="11"/>
  <c r="C3776" i="11"/>
  <c r="C3793" i="11"/>
  <c r="C3810" i="11"/>
  <c r="C3827" i="11"/>
  <c r="C3844" i="11"/>
  <c r="C3861" i="11"/>
  <c r="C3878" i="11"/>
  <c r="C3887" i="11"/>
  <c r="C3904" i="11"/>
  <c r="C3921" i="11"/>
  <c r="C3938" i="11"/>
  <c r="C3955" i="11"/>
  <c r="C3972" i="11"/>
  <c r="C3989" i="11"/>
  <c r="C4006" i="11"/>
  <c r="C3022" i="11"/>
  <c r="C3127" i="11"/>
  <c r="C3520" i="11"/>
  <c r="C3537" i="11"/>
  <c r="C3553" i="11"/>
  <c r="C3579" i="11"/>
  <c r="C3590" i="11"/>
  <c r="C3603" i="11"/>
  <c r="C3613" i="11"/>
  <c r="C3644" i="11"/>
  <c r="C3682" i="11"/>
  <c r="C3691" i="11"/>
  <c r="C3708" i="11"/>
  <c r="C3725" i="11"/>
  <c r="C3742" i="11"/>
  <c r="C3751" i="11"/>
  <c r="C3768" i="11"/>
  <c r="C3785" i="11"/>
  <c r="C3802" i="11"/>
  <c r="C3819" i="11"/>
  <c r="C3836" i="11"/>
  <c r="C3853" i="11"/>
  <c r="C3870" i="11"/>
  <c r="C3879" i="11"/>
  <c r="C3896" i="11"/>
  <c r="C3913" i="11"/>
  <c r="C3930" i="11"/>
  <c r="C3947" i="11"/>
  <c r="C3964" i="11"/>
  <c r="C3981" i="11"/>
  <c r="C3998" i="11"/>
  <c r="C2689" i="11"/>
  <c r="C3220" i="11"/>
  <c r="C3293" i="11"/>
  <c r="C3403" i="11"/>
  <c r="C3429" i="11"/>
  <c r="C3460" i="11"/>
  <c r="C3485" i="11"/>
  <c r="C3503" i="11"/>
  <c r="C3565" i="11"/>
  <c r="C3592" i="11"/>
  <c r="C3635" i="11"/>
  <c r="C3654" i="11"/>
  <c r="C3664" i="11"/>
  <c r="C3700" i="11"/>
  <c r="C3717" i="11"/>
  <c r="C3734" i="11"/>
  <c r="C3743" i="11"/>
  <c r="C3760" i="11"/>
  <c r="C3777" i="11"/>
  <c r="C3794" i="11"/>
  <c r="C3811" i="11"/>
  <c r="C3828" i="11"/>
  <c r="C3845" i="11"/>
  <c r="C3862" i="11"/>
  <c r="C3871" i="11"/>
  <c r="C3888" i="11"/>
  <c r="C3905" i="11"/>
  <c r="C3922" i="11"/>
  <c r="C3150" i="11"/>
  <c r="C3616" i="11"/>
  <c r="C3761" i="11"/>
  <c r="C3829" i="11"/>
  <c r="C3948" i="11"/>
  <c r="C3974" i="11"/>
  <c r="C4005" i="11"/>
  <c r="C4024" i="11"/>
  <c r="C4042" i="11"/>
  <c r="C4065" i="11"/>
  <c r="C4099" i="11"/>
  <c r="C4127" i="11"/>
  <c r="C4141" i="11"/>
  <c r="C4152" i="11"/>
  <c r="C4165" i="11"/>
  <c r="C4208" i="11"/>
  <c r="C4265" i="11"/>
  <c r="C4329" i="11"/>
  <c r="C4347" i="11"/>
  <c r="C4364" i="11"/>
  <c r="C4381" i="11"/>
  <c r="C4398" i="11"/>
  <c r="C4415" i="11"/>
  <c r="C4432" i="11"/>
  <c r="C4441" i="11"/>
  <c r="C4458" i="11"/>
  <c r="C4475" i="11"/>
  <c r="C4492" i="11"/>
  <c r="C4509" i="11"/>
  <c r="C4526" i="11"/>
  <c r="C4543" i="11"/>
  <c r="C4560" i="11"/>
  <c r="C4569" i="11"/>
  <c r="C4586" i="11"/>
  <c r="C4603" i="11"/>
  <c r="C4620" i="11"/>
  <c r="C4637" i="11"/>
  <c r="C4654" i="11"/>
  <c r="C4671" i="11"/>
  <c r="C4688" i="11"/>
  <c r="C4535" i="11"/>
  <c r="C4612" i="11"/>
  <c r="C4689" i="11"/>
  <c r="C4705" i="11"/>
  <c r="C4721" i="11"/>
  <c r="C4729" i="11"/>
  <c r="C4745" i="11"/>
  <c r="C3521" i="11"/>
  <c r="C3626" i="11"/>
  <c r="C3769" i="11"/>
  <c r="C3837" i="11"/>
  <c r="C4083" i="11"/>
  <c r="C4153" i="11"/>
  <c r="C4176" i="11"/>
  <c r="C4189" i="11"/>
  <c r="C4199" i="11"/>
  <c r="C4209" i="11"/>
  <c r="C4219" i="11"/>
  <c r="C4229" i="11"/>
  <c r="C4238" i="11"/>
  <c r="C4247" i="11"/>
  <c r="C4256" i="11"/>
  <c r="C4266" i="11"/>
  <c r="C4275" i="11"/>
  <c r="C4284" i="11"/>
  <c r="C4293" i="11"/>
  <c r="C4302" i="11"/>
  <c r="C4311" i="11"/>
  <c r="C4320" i="11"/>
  <c r="C4330" i="11"/>
  <c r="C4339" i="11"/>
  <c r="C4356" i="11"/>
  <c r="C4373" i="11"/>
  <c r="C4390" i="11"/>
  <c r="C4407" i="11"/>
  <c r="C4424" i="11"/>
  <c r="C4433" i="11"/>
  <c r="C4450" i="11"/>
  <c r="C4467" i="11"/>
  <c r="C4484" i="11"/>
  <c r="C4501" i="11"/>
  <c r="C4518" i="11"/>
  <c r="C4552" i="11"/>
  <c r="C4561" i="11"/>
  <c r="C4578" i="11"/>
  <c r="C4595" i="11"/>
  <c r="C4629" i="11"/>
  <c r="C4646" i="11"/>
  <c r="C4663" i="11"/>
  <c r="C4680" i="11"/>
  <c r="C4697" i="11"/>
  <c r="C4713" i="11"/>
  <c r="C4737" i="11"/>
  <c r="C4753" i="11"/>
  <c r="C3229" i="11"/>
  <c r="C3701" i="11"/>
  <c r="C3906" i="11"/>
  <c r="C3954" i="11"/>
  <c r="C3980" i="11"/>
  <c r="C4007" i="11"/>
  <c r="C4025" i="11"/>
  <c r="C4048" i="11"/>
  <c r="C4066" i="11"/>
  <c r="C4100" i="11"/>
  <c r="C4116" i="11"/>
  <c r="C4128" i="11"/>
  <c r="C4142" i="11"/>
  <c r="C4154" i="11"/>
  <c r="C4166" i="11"/>
  <c r="C4177" i="11"/>
  <c r="C4210" i="11"/>
  <c r="C4257" i="11"/>
  <c r="C4321" i="11"/>
  <c r="C4348" i="11"/>
  <c r="C4365" i="11"/>
  <c r="C4382" i="11"/>
  <c r="C4399" i="11"/>
  <c r="C4416" i="11"/>
  <c r="C4425" i="11"/>
  <c r="C4442" i="11"/>
  <c r="C4459" i="11"/>
  <c r="C4476" i="11"/>
  <c r="C4493" i="11"/>
  <c r="C4510" i="11"/>
  <c r="C4527" i="11"/>
  <c r="C4544" i="11"/>
  <c r="C4553" i="11"/>
  <c r="C4570" i="11"/>
  <c r="C4587" i="11"/>
  <c r="C4604" i="11"/>
  <c r="C4621" i="11"/>
  <c r="C4638" i="11"/>
  <c r="C4655" i="11"/>
  <c r="C3538" i="11"/>
  <c r="C3709" i="11"/>
  <c r="C3914" i="11"/>
  <c r="C4084" i="11"/>
  <c r="C4129" i="11"/>
  <c r="C4178" i="11"/>
  <c r="C4190" i="11"/>
  <c r="C4200" i="11"/>
  <c r="C4230" i="11"/>
  <c r="C4239" i="11"/>
  <c r="C4248" i="11"/>
  <c r="C4258" i="11"/>
  <c r="C4267" i="11"/>
  <c r="C4276" i="11"/>
  <c r="C4285" i="11"/>
  <c r="C4294" i="11"/>
  <c r="C4303" i="11"/>
  <c r="C4312" i="11"/>
  <c r="C4322" i="11"/>
  <c r="C4331" i="11"/>
  <c r="C4340" i="11"/>
  <c r="C4357" i="11"/>
  <c r="C4374" i="11"/>
  <c r="C4391" i="11"/>
  <c r="C4408" i="11"/>
  <c r="C4417" i="11"/>
  <c r="C4434" i="11"/>
  <c r="C4451" i="11"/>
  <c r="C4468" i="11"/>
  <c r="C4485" i="11"/>
  <c r="C4502" i="11"/>
  <c r="C4519" i="11"/>
  <c r="C4536" i="11"/>
  <c r="C4545" i="11"/>
  <c r="C4562" i="11"/>
  <c r="C4579" i="11"/>
  <c r="C4596" i="11"/>
  <c r="C3302" i="11"/>
  <c r="C3636" i="11"/>
  <c r="C3778" i="11"/>
  <c r="C3846" i="11"/>
  <c r="C3956" i="11"/>
  <c r="C3982" i="11"/>
  <c r="C4008" i="11"/>
  <c r="C4031" i="11"/>
  <c r="C4049" i="11"/>
  <c r="C4067" i="11"/>
  <c r="C4101" i="11"/>
  <c r="C4117" i="11"/>
  <c r="C4143" i="11"/>
  <c r="C4167" i="11"/>
  <c r="C4201" i="11"/>
  <c r="C4211" i="11"/>
  <c r="C4221" i="11"/>
  <c r="C4249" i="11"/>
  <c r="C4313" i="11"/>
  <c r="C4349" i="11"/>
  <c r="C4366" i="11"/>
  <c r="C4383" i="11"/>
  <c r="C4400" i="11"/>
  <c r="C4409" i="11"/>
  <c r="C4426" i="11"/>
  <c r="C4443" i="11"/>
  <c r="C4460" i="11"/>
  <c r="C4477" i="11"/>
  <c r="C4494" i="11"/>
  <c r="C4511" i="11"/>
  <c r="C4528" i="11"/>
  <c r="C4537" i="11"/>
  <c r="C4554" i="11"/>
  <c r="C4571" i="11"/>
  <c r="C4588" i="11"/>
  <c r="C4605" i="11"/>
  <c r="C4622" i="11"/>
  <c r="C4639" i="11"/>
  <c r="C4656" i="11"/>
  <c r="C4665" i="11"/>
  <c r="C4682" i="11"/>
  <c r="C3366" i="11"/>
  <c r="C3554" i="11"/>
  <c r="C3645" i="11"/>
  <c r="C3786" i="11"/>
  <c r="C3854" i="11"/>
  <c r="C3983" i="11"/>
  <c r="C4085" i="11"/>
  <c r="C4157" i="11"/>
  <c r="C4191" i="11"/>
  <c r="C4202" i="11"/>
  <c r="C4231" i="11"/>
  <c r="C4240" i="11"/>
  <c r="C4250" i="11"/>
  <c r="C4259" i="11"/>
  <c r="C4268" i="11"/>
  <c r="C4277" i="11"/>
  <c r="C4286" i="11"/>
  <c r="C4295" i="11"/>
  <c r="C4304" i="11"/>
  <c r="C4314" i="11"/>
  <c r="C4323" i="11"/>
  <c r="C4332" i="11"/>
  <c r="C4341" i="11"/>
  <c r="C4358" i="11"/>
  <c r="C4375" i="11"/>
  <c r="C4392" i="11"/>
  <c r="C4401" i="11"/>
  <c r="C4418" i="11"/>
  <c r="C4435" i="11"/>
  <c r="C4452" i="11"/>
  <c r="C4469" i="11"/>
  <c r="C4486" i="11"/>
  <c r="C4503" i="11"/>
  <c r="C4520" i="11"/>
  <c r="C4529" i="11"/>
  <c r="C4546" i="11"/>
  <c r="C4563" i="11"/>
  <c r="C4580" i="11"/>
  <c r="C4597" i="11"/>
  <c r="C4614" i="11"/>
  <c r="C4631" i="11"/>
  <c r="C4648" i="11"/>
  <c r="C4657" i="11"/>
  <c r="C4674" i="11"/>
  <c r="C4691" i="11"/>
  <c r="C4699" i="11"/>
  <c r="C4707" i="11"/>
  <c r="C4715" i="11"/>
  <c r="C4723" i="11"/>
  <c r="C4731" i="11"/>
  <c r="C4739" i="11"/>
  <c r="C4747" i="11"/>
  <c r="C4755" i="11"/>
  <c r="C4763" i="11"/>
  <c r="C4771" i="11"/>
  <c r="C4779" i="11"/>
  <c r="C3718" i="11"/>
  <c r="C3855" i="11"/>
  <c r="C3923" i="11"/>
  <c r="C3957" i="11"/>
  <c r="C3988" i="11"/>
  <c r="C4032" i="11"/>
  <c r="C4050" i="11"/>
  <c r="C4068" i="11"/>
  <c r="C4089" i="11"/>
  <c r="C4102" i="11"/>
  <c r="C4118" i="11"/>
  <c r="C4133" i="11"/>
  <c r="C4144" i="11"/>
  <c r="C4168" i="11"/>
  <c r="C4181" i="11"/>
  <c r="C4222" i="11"/>
  <c r="C4241" i="11"/>
  <c r="C4305" i="11"/>
  <c r="C4350" i="11"/>
  <c r="C4367" i="11"/>
  <c r="C4384" i="11"/>
  <c r="C4393" i="11"/>
  <c r="C4410" i="11"/>
  <c r="C4427" i="11"/>
  <c r="C4444" i="11"/>
  <c r="C4461" i="11"/>
  <c r="C4478" i="11"/>
  <c r="C4495" i="11"/>
  <c r="C4512" i="11"/>
  <c r="C4521" i="11"/>
  <c r="C4538" i="11"/>
  <c r="C4555" i="11"/>
  <c r="C4572" i="11"/>
  <c r="C4589" i="11"/>
  <c r="C4606" i="11"/>
  <c r="C4623" i="11"/>
  <c r="C4640" i="11"/>
  <c r="C4649" i="11"/>
  <c r="C4666" i="11"/>
  <c r="C4683" i="11"/>
  <c r="C3655" i="11"/>
  <c r="C3726" i="11"/>
  <c r="C3863" i="11"/>
  <c r="C4014" i="11"/>
  <c r="C4106" i="11"/>
  <c r="C4119" i="11"/>
  <c r="C4145" i="11"/>
  <c r="C4158" i="11"/>
  <c r="C4169" i="11"/>
  <c r="C4192" i="11"/>
  <c r="C4203" i="11"/>
  <c r="C4213" i="11"/>
  <c r="C4232" i="11"/>
  <c r="C4242" i="11"/>
  <c r="C4251" i="11"/>
  <c r="C4260" i="11"/>
  <c r="C4269" i="11"/>
  <c r="C4278" i="11"/>
  <c r="C4287" i="11"/>
  <c r="C4296" i="11"/>
  <c r="C4306" i="11"/>
  <c r="C4315" i="11"/>
  <c r="C4324" i="11"/>
  <c r="C4333" i="11"/>
  <c r="C4342" i="11"/>
  <c r="C4359" i="11"/>
  <c r="C4376" i="11"/>
  <c r="C4385" i="11"/>
  <c r="C4402" i="11"/>
  <c r="C4419" i="11"/>
  <c r="C4436" i="11"/>
  <c r="C4453" i="11"/>
  <c r="C4470" i="11"/>
  <c r="C4487" i="11"/>
  <c r="C4504" i="11"/>
  <c r="C4513" i="11"/>
  <c r="C4530" i="11"/>
  <c r="C4547" i="11"/>
  <c r="C4564" i="11"/>
  <c r="C4581" i="11"/>
  <c r="C4598" i="11"/>
  <c r="C4615" i="11"/>
  <c r="C4632" i="11"/>
  <c r="C4641" i="11"/>
  <c r="C4658" i="11"/>
  <c r="C3409" i="11"/>
  <c r="C3568" i="11"/>
  <c r="C3656" i="11"/>
  <c r="C3727" i="11"/>
  <c r="C3795" i="11"/>
  <c r="C3931" i="11"/>
  <c r="C3963" i="11"/>
  <c r="C3990" i="11"/>
  <c r="C4015" i="11"/>
  <c r="C4033" i="11"/>
  <c r="C4051" i="11"/>
  <c r="C4074" i="11"/>
  <c r="C4091" i="11"/>
  <c r="C4107" i="11"/>
  <c r="C4134" i="11"/>
  <c r="C4170" i="11"/>
  <c r="C4182" i="11"/>
  <c r="C4193" i="11"/>
  <c r="C4223" i="11"/>
  <c r="C4233" i="11"/>
  <c r="C4297" i="11"/>
  <c r="C4351" i="11"/>
  <c r="C4368" i="11"/>
  <c r="C4377" i="11"/>
  <c r="C4394" i="11"/>
  <c r="C4411" i="11"/>
  <c r="C4428" i="11"/>
  <c r="C4445" i="11"/>
  <c r="C4462" i="11"/>
  <c r="C4479" i="11"/>
  <c r="C4496" i="11"/>
  <c r="C4505" i="11"/>
  <c r="C4522" i="11"/>
  <c r="C4539" i="11"/>
  <c r="C4556" i="11"/>
  <c r="C4573" i="11"/>
  <c r="C3580" i="11"/>
  <c r="C3735" i="11"/>
  <c r="C3803" i="11"/>
  <c r="C3991" i="11"/>
  <c r="C4159" i="11"/>
  <c r="C4194" i="11"/>
  <c r="C4214" i="11"/>
  <c r="C4234" i="11"/>
  <c r="C4243" i="11"/>
  <c r="C4252" i="11"/>
  <c r="C4261" i="11"/>
  <c r="C4270" i="11"/>
  <c r="C4279" i="11"/>
  <c r="C4288" i="11"/>
  <c r="C4298" i="11"/>
  <c r="C4307" i="11"/>
  <c r="C4316" i="11"/>
  <c r="C4325" i="11"/>
  <c r="C4334" i="11"/>
  <c r="C4343" i="11"/>
  <c r="C4360" i="11"/>
  <c r="C4369" i="11"/>
  <c r="C4386" i="11"/>
  <c r="C4403" i="11"/>
  <c r="C4420" i="11"/>
  <c r="C4437" i="11"/>
  <c r="C4454" i="11"/>
  <c r="C4471" i="11"/>
  <c r="C4488" i="11"/>
  <c r="C4497" i="11"/>
  <c r="C4514" i="11"/>
  <c r="C4531" i="11"/>
  <c r="C4548" i="11"/>
  <c r="C4565" i="11"/>
  <c r="C4582" i="11"/>
  <c r="C3436" i="11"/>
  <c r="C3872" i="11"/>
  <c r="C3939" i="11"/>
  <c r="C3965" i="11"/>
  <c r="C4016" i="11"/>
  <c r="C4034" i="11"/>
  <c r="C4057" i="11"/>
  <c r="C4075" i="11"/>
  <c r="C4092" i="11"/>
  <c r="C4108" i="11"/>
  <c r="C4123" i="11"/>
  <c r="C4135" i="11"/>
  <c r="C4149" i="11"/>
  <c r="C4183" i="11"/>
  <c r="C4205" i="11"/>
  <c r="C4224" i="11"/>
  <c r="C4289" i="11"/>
  <c r="C4352" i="11"/>
  <c r="C4361" i="11"/>
  <c r="C4378" i="11"/>
  <c r="C4395" i="11"/>
  <c r="C4412" i="11"/>
  <c r="C4429" i="11"/>
  <c r="C4446" i="11"/>
  <c r="C4463" i="11"/>
  <c r="C4480" i="11"/>
  <c r="C4489" i="11"/>
  <c r="C4506" i="11"/>
  <c r="C4523" i="11"/>
  <c r="C3674" i="11"/>
  <c r="C3880" i="11"/>
  <c r="C4124" i="11"/>
  <c r="C4160" i="11"/>
  <c r="C4173" i="11"/>
  <c r="C4215" i="11"/>
  <c r="C4225" i="11"/>
  <c r="C4235" i="11"/>
  <c r="C4244" i="11"/>
  <c r="C4253" i="11"/>
  <c r="C4262" i="11"/>
  <c r="C4271" i="11"/>
  <c r="C4280" i="11"/>
  <c r="C4290" i="11"/>
  <c r="C4299" i="11"/>
  <c r="C4308" i="11"/>
  <c r="C4317" i="11"/>
  <c r="C4326" i="11"/>
  <c r="C4335" i="11"/>
  <c r="C4344" i="11"/>
  <c r="C4353" i="11"/>
  <c r="C4370" i="11"/>
  <c r="C4387" i="11"/>
  <c r="C4404" i="11"/>
  <c r="C4421" i="11"/>
  <c r="C4438" i="11"/>
  <c r="C4455" i="11"/>
  <c r="C4472" i="11"/>
  <c r="C4481" i="11"/>
  <c r="C4498" i="11"/>
  <c r="C4515" i="11"/>
  <c r="C3462" i="11"/>
  <c r="C3594" i="11"/>
  <c r="C3744" i="11"/>
  <c r="C3812" i="11"/>
  <c r="C3940" i="11"/>
  <c r="C3971" i="11"/>
  <c r="C3997" i="11"/>
  <c r="C4017" i="11"/>
  <c r="C4040" i="11"/>
  <c r="C4058" i="11"/>
  <c r="C4076" i="11"/>
  <c r="C4093" i="11"/>
  <c r="C4109" i="11"/>
  <c r="C4136" i="11"/>
  <c r="C4150" i="11"/>
  <c r="C4161" i="11"/>
  <c r="C4184" i="11"/>
  <c r="C4206" i="11"/>
  <c r="C4226" i="11"/>
  <c r="C4281" i="11"/>
  <c r="C4345" i="11"/>
  <c r="C4362" i="11"/>
  <c r="C4379" i="11"/>
  <c r="C4396" i="11"/>
  <c r="C3038" i="11"/>
  <c r="C3604" i="11"/>
  <c r="C3683" i="11"/>
  <c r="C3752" i="11"/>
  <c r="C3820" i="11"/>
  <c r="C3999" i="11"/>
  <c r="C4022" i="11"/>
  <c r="C4125" i="11"/>
  <c r="C4137" i="11"/>
  <c r="C4162" i="11"/>
  <c r="C4174" i="11"/>
  <c r="C4185" i="11"/>
  <c r="C4197" i="11"/>
  <c r="C4216" i="11"/>
  <c r="C4236" i="11"/>
  <c r="C4245" i="11"/>
  <c r="C4254" i="11"/>
  <c r="C4263" i="11"/>
  <c r="C4272" i="11"/>
  <c r="C4282" i="11"/>
  <c r="C4291" i="11"/>
  <c r="C4300" i="11"/>
  <c r="C4309" i="11"/>
  <c r="C4318" i="11"/>
  <c r="C4327" i="11"/>
  <c r="C4336" i="11"/>
  <c r="C4354" i="11"/>
  <c r="C4371" i="11"/>
  <c r="C4388" i="11"/>
  <c r="C4405" i="11"/>
  <c r="C4422" i="11"/>
  <c r="C4439" i="11"/>
  <c r="C4456" i="11"/>
  <c r="C4465" i="11"/>
  <c r="C4482" i="11"/>
  <c r="C4499" i="11"/>
  <c r="C3487" i="11"/>
  <c r="C3889" i="11"/>
  <c r="C3946" i="11"/>
  <c r="C3973" i="11"/>
  <c r="C4023" i="11"/>
  <c r="C4041" i="11"/>
  <c r="C4059" i="11"/>
  <c r="C4110" i="11"/>
  <c r="C4151" i="11"/>
  <c r="C4186" i="11"/>
  <c r="C4207" i="11"/>
  <c r="C4217" i="11"/>
  <c r="C4227" i="11"/>
  <c r="C4273" i="11"/>
  <c r="C4337" i="11"/>
  <c r="C4346" i="11"/>
  <c r="C4363" i="11"/>
  <c r="C4380" i="11"/>
  <c r="C4397" i="11"/>
  <c r="C4414" i="11"/>
  <c r="C4431" i="11"/>
  <c r="C4448" i="11"/>
  <c r="C4457" i="11"/>
  <c r="C4474" i="11"/>
  <c r="C4491" i="11"/>
  <c r="C4508" i="11"/>
  <c r="C4338" i="11"/>
  <c r="C4507" i="11"/>
  <c r="C4601" i="11"/>
  <c r="C4647" i="11"/>
  <c r="C4676" i="11"/>
  <c r="C4687" i="11"/>
  <c r="C4751" i="11"/>
  <c r="C4761" i="11"/>
  <c r="C4770" i="11"/>
  <c r="C4788" i="11"/>
  <c r="C4805" i="11"/>
  <c r="C4822" i="11"/>
  <c r="C4839" i="11"/>
  <c r="C4856" i="11"/>
  <c r="C4865" i="11"/>
  <c r="C4882" i="11"/>
  <c r="C4899" i="11"/>
  <c r="C4916" i="11"/>
  <c r="C4933" i="11"/>
  <c r="C4950" i="11"/>
  <c r="C4967" i="11"/>
  <c r="C4984" i="11"/>
  <c r="C4993" i="11"/>
  <c r="C4944" i="11"/>
  <c r="C4979" i="11"/>
  <c r="C4989" i="11"/>
  <c r="C4922" i="11"/>
  <c r="C4897" i="11"/>
  <c r="C4965" i="11"/>
  <c r="C4957" i="11"/>
  <c r="C4741" i="11"/>
  <c r="C3897" i="11"/>
  <c r="C4198" i="11"/>
  <c r="C4440" i="11"/>
  <c r="C4541" i="11"/>
  <c r="C4584" i="11"/>
  <c r="C4618" i="11"/>
  <c r="C4634" i="11"/>
  <c r="C4650" i="11"/>
  <c r="C4662" i="11"/>
  <c r="C4700" i="11"/>
  <c r="C4710" i="11"/>
  <c r="C4720" i="11"/>
  <c r="C4732" i="11"/>
  <c r="C4742" i="11"/>
  <c r="C4780" i="11"/>
  <c r="C4797" i="11"/>
  <c r="C4814" i="11"/>
  <c r="C4831" i="11"/>
  <c r="C4848" i="11"/>
  <c r="C4857" i="11"/>
  <c r="C4874" i="11"/>
  <c r="C4891" i="11"/>
  <c r="C4908" i="11"/>
  <c r="C4925" i="11"/>
  <c r="C4942" i="11"/>
  <c r="C4959" i="11"/>
  <c r="C4976" i="11"/>
  <c r="C4985" i="11"/>
  <c r="C5002" i="11"/>
  <c r="C4978" i="11"/>
  <c r="C4980" i="11"/>
  <c r="C4854" i="11"/>
  <c r="C4813" i="11"/>
  <c r="C4355" i="11"/>
  <c r="C4447" i="11"/>
  <c r="C4566" i="11"/>
  <c r="C4585" i="11"/>
  <c r="C4602" i="11"/>
  <c r="C4664" i="11"/>
  <c r="C4677" i="11"/>
  <c r="C4752" i="11"/>
  <c r="C4762" i="11"/>
  <c r="C4789" i="11"/>
  <c r="C4806" i="11"/>
  <c r="C4823" i="11"/>
  <c r="C4840" i="11"/>
  <c r="C4849" i="11"/>
  <c r="C4866" i="11"/>
  <c r="C4883" i="11"/>
  <c r="C4900" i="11"/>
  <c r="C4917" i="11"/>
  <c r="C4934" i="11"/>
  <c r="C4951" i="11"/>
  <c r="C4968" i="11"/>
  <c r="C4977" i="11"/>
  <c r="C4994" i="11"/>
  <c r="C4901" i="11"/>
  <c r="C4935" i="11"/>
  <c r="C4961" i="11"/>
  <c r="C4995" i="11"/>
  <c r="C4970" i="11"/>
  <c r="C4936" i="11"/>
  <c r="C4963" i="11"/>
  <c r="C4931" i="11"/>
  <c r="C4975" i="11"/>
  <c r="C4218" i="11"/>
  <c r="C4449" i="11"/>
  <c r="C4516" i="11"/>
  <c r="C4542" i="11"/>
  <c r="C4619" i="11"/>
  <c r="C4635" i="11"/>
  <c r="C4651" i="11"/>
  <c r="C4690" i="11"/>
  <c r="C4701" i="11"/>
  <c r="C4711" i="11"/>
  <c r="C4722" i="11"/>
  <c r="C4733" i="11"/>
  <c r="C4743" i="11"/>
  <c r="C4772" i="11"/>
  <c r="C4781" i="11"/>
  <c r="C4798" i="11"/>
  <c r="C4815" i="11"/>
  <c r="C4832" i="11"/>
  <c r="C4841" i="11"/>
  <c r="C4858" i="11"/>
  <c r="C4875" i="11"/>
  <c r="C4892" i="11"/>
  <c r="C4909" i="11"/>
  <c r="C4926" i="11"/>
  <c r="C4943" i="11"/>
  <c r="C4960" i="11"/>
  <c r="C4969" i="11"/>
  <c r="C4986" i="11"/>
  <c r="C5003" i="11"/>
  <c r="C4952" i="11"/>
  <c r="C5004" i="11"/>
  <c r="C4945" i="11"/>
  <c r="C4988" i="11"/>
  <c r="C4955" i="11"/>
  <c r="C4888" i="11"/>
  <c r="C4999" i="11"/>
  <c r="C4991" i="11"/>
  <c r="C4983" i="11"/>
  <c r="C4000" i="11"/>
  <c r="C4372" i="11"/>
  <c r="C4517" i="11"/>
  <c r="C4567" i="11"/>
  <c r="C4590" i="11"/>
  <c r="C4607" i="11"/>
  <c r="C4667" i="11"/>
  <c r="C4678" i="11"/>
  <c r="C4754" i="11"/>
  <c r="C4790" i="11"/>
  <c r="C4807" i="11"/>
  <c r="C4824" i="11"/>
  <c r="C4833" i="11"/>
  <c r="C4850" i="11"/>
  <c r="C4867" i="11"/>
  <c r="C4884" i="11"/>
  <c r="C4918" i="11"/>
  <c r="C4938" i="11"/>
  <c r="C4973" i="11"/>
  <c r="C4830" i="11"/>
  <c r="C4237" i="11"/>
  <c r="C4524" i="11"/>
  <c r="C4636" i="11"/>
  <c r="C4652" i="11"/>
  <c r="C4692" i="11"/>
  <c r="C4702" i="11"/>
  <c r="C4712" i="11"/>
  <c r="C4724" i="11"/>
  <c r="C4734" i="11"/>
  <c r="C4744" i="11"/>
  <c r="C4764" i="11"/>
  <c r="C4773" i="11"/>
  <c r="C4782" i="11"/>
  <c r="C4799" i="11"/>
  <c r="C4816" i="11"/>
  <c r="C4825" i="11"/>
  <c r="C4842" i="11"/>
  <c r="C4859" i="11"/>
  <c r="C4876" i="11"/>
  <c r="C4893" i="11"/>
  <c r="C4910" i="11"/>
  <c r="C4927" i="11"/>
  <c r="C4953" i="11"/>
  <c r="C4987" i="11"/>
  <c r="C4962" i="11"/>
  <c r="C4990" i="11"/>
  <c r="C4966" i="11"/>
  <c r="C4246" i="11"/>
  <c r="C4389" i="11"/>
  <c r="C4464" i="11"/>
  <c r="C4549" i="11"/>
  <c r="C4568" i="11"/>
  <c r="C4591" i="11"/>
  <c r="C4608" i="11"/>
  <c r="C4624" i="11"/>
  <c r="C4668" i="11"/>
  <c r="C4679" i="11"/>
  <c r="C4791" i="11"/>
  <c r="C4808" i="11"/>
  <c r="C4817" i="11"/>
  <c r="C4834" i="11"/>
  <c r="C4851" i="11"/>
  <c r="C4868" i="11"/>
  <c r="C4885" i="11"/>
  <c r="C4902" i="11"/>
  <c r="C4919" i="11"/>
  <c r="C4996" i="11"/>
  <c r="C4998" i="11"/>
  <c r="C4956" i="11"/>
  <c r="C4760" i="11"/>
  <c r="C4958" i="11"/>
  <c r="C4255" i="11"/>
  <c r="C4466" i="11"/>
  <c r="C4525" i="11"/>
  <c r="C4574" i="11"/>
  <c r="C4609" i="11"/>
  <c r="C4625" i="11"/>
  <c r="C4653" i="11"/>
  <c r="C4681" i="11"/>
  <c r="C4693" i="11"/>
  <c r="C4703" i="11"/>
  <c r="C4714" i="11"/>
  <c r="C4725" i="11"/>
  <c r="C4735" i="11"/>
  <c r="C4746" i="11"/>
  <c r="C4756" i="11"/>
  <c r="C4765" i="11"/>
  <c r="C4774" i="11"/>
  <c r="C4783" i="11"/>
  <c r="C4800" i="11"/>
  <c r="C4809" i="11"/>
  <c r="C4826" i="11"/>
  <c r="C4843" i="11"/>
  <c r="C4860" i="11"/>
  <c r="C4877" i="11"/>
  <c r="C4894" i="11"/>
  <c r="C4911" i="11"/>
  <c r="C4928" i="11"/>
  <c r="C4937" i="11"/>
  <c r="C4954" i="11"/>
  <c r="C4971" i="11"/>
  <c r="C4997" i="11"/>
  <c r="C4914" i="11"/>
  <c r="C4940" i="11"/>
  <c r="C4082" i="11"/>
  <c r="C4264" i="11"/>
  <c r="C4473" i="11"/>
  <c r="C4550" i="11"/>
  <c r="C4592" i="11"/>
  <c r="C4669" i="11"/>
  <c r="C4792" i="11"/>
  <c r="C4801" i="11"/>
  <c r="C4818" i="11"/>
  <c r="C4835" i="11"/>
  <c r="C4852" i="11"/>
  <c r="C4869" i="11"/>
  <c r="C4886" i="11"/>
  <c r="C4903" i="11"/>
  <c r="C4920" i="11"/>
  <c r="C4929" i="11"/>
  <c r="C4946" i="11"/>
  <c r="C4972" i="11"/>
  <c r="C4939" i="11"/>
  <c r="C4864" i="11"/>
  <c r="C4274" i="11"/>
  <c r="C4406" i="11"/>
  <c r="C4575" i="11"/>
  <c r="C4593" i="11"/>
  <c r="C4610" i="11"/>
  <c r="C4626" i="11"/>
  <c r="C4642" i="11"/>
  <c r="C4694" i="11"/>
  <c r="C4704" i="11"/>
  <c r="C4716" i="11"/>
  <c r="C4726" i="11"/>
  <c r="C4736" i="11"/>
  <c r="C4757" i="11"/>
  <c r="C4766" i="11"/>
  <c r="C4775" i="11"/>
  <c r="C4784" i="11"/>
  <c r="C4793" i="11"/>
  <c r="C4810" i="11"/>
  <c r="C4827" i="11"/>
  <c r="C4844" i="11"/>
  <c r="C4861" i="11"/>
  <c r="C4878" i="11"/>
  <c r="C4895" i="11"/>
  <c r="C4912" i="11"/>
  <c r="C4921" i="11"/>
  <c r="C4924" i="11"/>
  <c r="C4111" i="11"/>
  <c r="C4283" i="11"/>
  <c r="C4413" i="11"/>
  <c r="C4532" i="11"/>
  <c r="C4551" i="11"/>
  <c r="C4670" i="11"/>
  <c r="C4684" i="11"/>
  <c r="C4748" i="11"/>
  <c r="C4785" i="11"/>
  <c r="C4802" i="11"/>
  <c r="C4819" i="11"/>
  <c r="C4836" i="11"/>
  <c r="C4853" i="11"/>
  <c r="C4870" i="11"/>
  <c r="C4887" i="11"/>
  <c r="C4904" i="11"/>
  <c r="C4913" i="11"/>
  <c r="C4930" i="11"/>
  <c r="C4947" i="11"/>
  <c r="C4964" i="11"/>
  <c r="C4981" i="11"/>
  <c r="C4974" i="11"/>
  <c r="C5000" i="11"/>
  <c r="C3140" i="11"/>
  <c r="C4126" i="11"/>
  <c r="C4292" i="11"/>
  <c r="C4483" i="11"/>
  <c r="C4557" i="11"/>
  <c r="C4576" i="11"/>
  <c r="C4594" i="11"/>
  <c r="C4611" i="11"/>
  <c r="C4627" i="11"/>
  <c r="C4643" i="11"/>
  <c r="C4659" i="11"/>
  <c r="C4695" i="11"/>
  <c r="C4706" i="11"/>
  <c r="C4717" i="11"/>
  <c r="C4727" i="11"/>
  <c r="C4738" i="11"/>
  <c r="C4758" i="11"/>
  <c r="C4767" i="11"/>
  <c r="C4776" i="11"/>
  <c r="C4794" i="11"/>
  <c r="C4811" i="11"/>
  <c r="C4828" i="11"/>
  <c r="C4845" i="11"/>
  <c r="C4862" i="11"/>
  <c r="C4879" i="11"/>
  <c r="C4896" i="11"/>
  <c r="C4905" i="11"/>
  <c r="C4982" i="11"/>
  <c r="C4796" i="11"/>
  <c r="C3504" i="11"/>
  <c r="C4301" i="11"/>
  <c r="C4490" i="11"/>
  <c r="C4533" i="11"/>
  <c r="C4577" i="11"/>
  <c r="C4613" i="11"/>
  <c r="C4672" i="11"/>
  <c r="C4685" i="11"/>
  <c r="C4749" i="11"/>
  <c r="C4777" i="11"/>
  <c r="C4786" i="11"/>
  <c r="C4803" i="11"/>
  <c r="C4820" i="11"/>
  <c r="C4837" i="11"/>
  <c r="C4871" i="11"/>
  <c r="C4948" i="11"/>
  <c r="C4949" i="11"/>
  <c r="C4847" i="11"/>
  <c r="C4890" i="11"/>
  <c r="C3614" i="11"/>
  <c r="C4310" i="11"/>
  <c r="C4423" i="11"/>
  <c r="C4558" i="11"/>
  <c r="C4599" i="11"/>
  <c r="C4628" i="11"/>
  <c r="C4644" i="11"/>
  <c r="C4660" i="11"/>
  <c r="C4673" i="11"/>
  <c r="C4696" i="11"/>
  <c r="C4708" i="11"/>
  <c r="C4718" i="11"/>
  <c r="C4728" i="11"/>
  <c r="C4740" i="11"/>
  <c r="C4759" i="11"/>
  <c r="C4768" i="11"/>
  <c r="C4795" i="11"/>
  <c r="C4812" i="11"/>
  <c r="C4829" i="11"/>
  <c r="C4846" i="11"/>
  <c r="C4863" i="11"/>
  <c r="C4880" i="11"/>
  <c r="C4889" i="11"/>
  <c r="C4906" i="11"/>
  <c r="C4923" i="11"/>
  <c r="C4730" i="11"/>
  <c r="C4941" i="11"/>
  <c r="C3692" i="11"/>
  <c r="C4319" i="11"/>
  <c r="C4430" i="11"/>
  <c r="C4534" i="11"/>
  <c r="C4616" i="11"/>
  <c r="C4630" i="11"/>
  <c r="C4675" i="11"/>
  <c r="C4686" i="11"/>
  <c r="C4750" i="11"/>
  <c r="C4769" i="11"/>
  <c r="C4778" i="11"/>
  <c r="C4787" i="11"/>
  <c r="C4804" i="11"/>
  <c r="C4821" i="11"/>
  <c r="C4838" i="11"/>
  <c r="C4855" i="11"/>
  <c r="C4872" i="11"/>
  <c r="C4881" i="11"/>
  <c r="C4898" i="11"/>
  <c r="C4915" i="11"/>
  <c r="C4932" i="11"/>
  <c r="C4873" i="11"/>
  <c r="C4907" i="11"/>
  <c r="C5001" i="11"/>
  <c r="C4175" i="11"/>
  <c r="C4328" i="11"/>
  <c r="C4500" i="11"/>
  <c r="C4540" i="11"/>
  <c r="C4559" i="11"/>
  <c r="C4583" i="11"/>
  <c r="C4600" i="11"/>
  <c r="C4617" i="11"/>
  <c r="C4633" i="11"/>
  <c r="C4645" i="11"/>
  <c r="C4661" i="11"/>
  <c r="C4698" i="11"/>
  <c r="C4709" i="11"/>
  <c r="C4719" i="11"/>
  <c r="C4992" i="11"/>
  <c r="G7" i="9"/>
  <c r="H16" i="8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5" i="8"/>
  <c r="G12" i="6" s="1"/>
  <c r="G14" i="6" s="1"/>
  <c r="G16" i="6" s="1"/>
  <c r="D306" i="11" l="1"/>
  <c r="D314" i="11"/>
  <c r="D322" i="11"/>
  <c r="D330" i="11"/>
  <c r="D338" i="11"/>
  <c r="D346" i="11"/>
  <c r="D354" i="11"/>
  <c r="D362" i="11"/>
  <c r="D370" i="11"/>
  <c r="D378" i="11"/>
  <c r="D386" i="11"/>
  <c r="D394" i="11"/>
  <c r="D402" i="11"/>
  <c r="D410" i="11"/>
  <c r="D418" i="11"/>
  <c r="D426" i="11"/>
  <c r="D434" i="11"/>
  <c r="D442" i="11"/>
  <c r="D450" i="11"/>
  <c r="D458" i="11"/>
  <c r="D466" i="11"/>
  <c r="D474" i="11"/>
  <c r="D482" i="11"/>
  <c r="D490" i="11"/>
  <c r="D498" i="11"/>
  <c r="D506" i="11"/>
  <c r="D514" i="11"/>
  <c r="D522" i="11"/>
  <c r="D530" i="11"/>
  <c r="D538" i="11"/>
  <c r="D546" i="11"/>
  <c r="D554" i="11"/>
  <c r="D562" i="11"/>
  <c r="D570" i="11"/>
  <c r="D578" i="11"/>
  <c r="D586" i="11"/>
  <c r="D594" i="11"/>
  <c r="D602" i="11"/>
  <c r="D610" i="11"/>
  <c r="D618" i="11"/>
  <c r="D626" i="11"/>
  <c r="D634" i="11"/>
  <c r="D642" i="11"/>
  <c r="D650" i="11"/>
  <c r="D658" i="11"/>
  <c r="D666" i="11"/>
  <c r="D674" i="11"/>
  <c r="D682" i="11"/>
  <c r="D690" i="11"/>
  <c r="D698" i="11"/>
  <c r="D706" i="11"/>
  <c r="D714" i="11"/>
  <c r="D722" i="11"/>
  <c r="D730" i="11"/>
  <c r="D738" i="11"/>
  <c r="D746" i="11"/>
  <c r="D754" i="11"/>
  <c r="D762" i="11"/>
  <c r="D770" i="11"/>
  <c r="D778" i="11"/>
  <c r="D786" i="11"/>
  <c r="D794" i="11"/>
  <c r="D802" i="11"/>
  <c r="D810" i="11"/>
  <c r="D818" i="11"/>
  <c r="D826" i="11"/>
  <c r="D834" i="11"/>
  <c r="D842" i="11"/>
  <c r="D850" i="11"/>
  <c r="D858" i="11"/>
  <c r="D866" i="11"/>
  <c r="D874" i="11"/>
  <c r="D882" i="11"/>
  <c r="D890" i="11"/>
  <c r="D898" i="11"/>
  <c r="D906" i="11"/>
  <c r="D914" i="11"/>
  <c r="D922" i="11"/>
  <c r="D930" i="11"/>
  <c r="D938" i="11"/>
  <c r="D946" i="11"/>
  <c r="D954" i="11"/>
  <c r="D962" i="11"/>
  <c r="D970" i="11"/>
  <c r="D978" i="11"/>
  <c r="D307" i="11"/>
  <c r="D315" i="11"/>
  <c r="D323" i="11"/>
  <c r="D331" i="11"/>
  <c r="D339" i="11"/>
  <c r="D347" i="11"/>
  <c r="D355" i="11"/>
  <c r="D363" i="11"/>
  <c r="D371" i="11"/>
  <c r="D379" i="11"/>
  <c r="D387" i="11"/>
  <c r="D395" i="11"/>
  <c r="D403" i="11"/>
  <c r="D411" i="11"/>
  <c r="D419" i="11"/>
  <c r="D427" i="11"/>
  <c r="D435" i="11"/>
  <c r="D443" i="11"/>
  <c r="D451" i="11"/>
  <c r="D459" i="11"/>
  <c r="D467" i="11"/>
  <c r="D475" i="11"/>
  <c r="D483" i="11"/>
  <c r="D491" i="11"/>
  <c r="D499" i="11"/>
  <c r="D507" i="11"/>
  <c r="D515" i="11"/>
  <c r="D523" i="11"/>
  <c r="D531" i="11"/>
  <c r="D539" i="11"/>
  <c r="D547" i="11"/>
  <c r="D555" i="11"/>
  <c r="D563" i="11"/>
  <c r="D571" i="11"/>
  <c r="D579" i="11"/>
  <c r="D587" i="11"/>
  <c r="D595" i="11"/>
  <c r="D603" i="11"/>
  <c r="D611" i="11"/>
  <c r="D619" i="11"/>
  <c r="D627" i="11"/>
  <c r="D635" i="11"/>
  <c r="D643" i="11"/>
  <c r="D651" i="11"/>
  <c r="D659" i="11"/>
  <c r="D667" i="11"/>
  <c r="D675" i="11"/>
  <c r="D683" i="11"/>
  <c r="D691" i="11"/>
  <c r="D699" i="11"/>
  <c r="D707" i="11"/>
  <c r="D715" i="11"/>
  <c r="D723" i="11"/>
  <c r="D731" i="11"/>
  <c r="D308" i="11"/>
  <c r="D316" i="11"/>
  <c r="D324" i="11"/>
  <c r="D332" i="11"/>
  <c r="D340" i="11"/>
  <c r="D348" i="11"/>
  <c r="D356" i="11"/>
  <c r="D364" i="11"/>
  <c r="D372" i="11"/>
  <c r="D380" i="11"/>
  <c r="D388" i="11"/>
  <c r="D396" i="11"/>
  <c r="D404" i="11"/>
  <c r="D412" i="11"/>
  <c r="D420" i="11"/>
  <c r="D428" i="11"/>
  <c r="D436" i="11"/>
  <c r="D444" i="11"/>
  <c r="D452" i="11"/>
  <c r="D460" i="11"/>
  <c r="D468" i="11"/>
  <c r="D476" i="11"/>
  <c r="D484" i="11"/>
  <c r="D492" i="11"/>
  <c r="D500" i="11"/>
  <c r="D508" i="11"/>
  <c r="D516" i="11"/>
  <c r="D524" i="11"/>
  <c r="D532" i="11"/>
  <c r="D540" i="11"/>
  <c r="D548" i="11"/>
  <c r="D556" i="11"/>
  <c r="D564" i="11"/>
  <c r="D572" i="11"/>
  <c r="D580" i="11"/>
  <c r="D588" i="11"/>
  <c r="D596" i="11"/>
  <c r="D604" i="11"/>
  <c r="D612" i="11"/>
  <c r="D620" i="11"/>
  <c r="D628" i="11"/>
  <c r="D636" i="11"/>
  <c r="D644" i="11"/>
  <c r="D652" i="11"/>
  <c r="D660" i="11"/>
  <c r="D668" i="11"/>
  <c r="D676" i="11"/>
  <c r="D684" i="11"/>
  <c r="D692" i="11"/>
  <c r="D700" i="11"/>
  <c r="D708" i="11"/>
  <c r="D716" i="11"/>
  <c r="D724" i="11"/>
  <c r="D732" i="11"/>
  <c r="D740" i="11"/>
  <c r="D748" i="11"/>
  <c r="D756" i="11"/>
  <c r="D309" i="11"/>
  <c r="D317" i="11"/>
  <c r="D325" i="11"/>
  <c r="D333" i="11"/>
  <c r="D341" i="11"/>
  <c r="D349" i="11"/>
  <c r="D357" i="11"/>
  <c r="D365" i="11"/>
  <c r="D373" i="11"/>
  <c r="D381" i="11"/>
  <c r="D389" i="11"/>
  <c r="D397" i="11"/>
  <c r="D405" i="11"/>
  <c r="D413" i="11"/>
  <c r="D421" i="11"/>
  <c r="D429" i="11"/>
  <c r="D437" i="11"/>
  <c r="D445" i="11"/>
  <c r="D453" i="11"/>
  <c r="D461" i="11"/>
  <c r="D469" i="11"/>
  <c r="D477" i="11"/>
  <c r="D485" i="11"/>
  <c r="D493" i="11"/>
  <c r="D501" i="11"/>
  <c r="D509" i="11"/>
  <c r="D517" i="11"/>
  <c r="D525" i="11"/>
  <c r="D533" i="11"/>
  <c r="D541" i="11"/>
  <c r="D549" i="11"/>
  <c r="D557" i="11"/>
  <c r="D565" i="11"/>
  <c r="D573" i="11"/>
  <c r="D581" i="11"/>
  <c r="D589" i="11"/>
  <c r="D597" i="11"/>
  <c r="D605" i="11"/>
  <c r="D613" i="11"/>
  <c r="D621" i="11"/>
  <c r="D629" i="11"/>
  <c r="D637" i="11"/>
  <c r="D645" i="11"/>
  <c r="D653" i="11"/>
  <c r="D661" i="11"/>
  <c r="D669" i="11"/>
  <c r="D677" i="11"/>
  <c r="D685" i="11"/>
  <c r="D693" i="11"/>
  <c r="D701" i="11"/>
  <c r="D709" i="11"/>
  <c r="D717" i="11"/>
  <c r="D725" i="11"/>
  <c r="D310" i="11"/>
  <c r="D318" i="11"/>
  <c r="D326" i="11"/>
  <c r="D334" i="11"/>
  <c r="D342" i="11"/>
  <c r="D350" i="11"/>
  <c r="D358" i="11"/>
  <c r="D366" i="11"/>
  <c r="D374" i="11"/>
  <c r="D382" i="11"/>
  <c r="D390" i="11"/>
  <c r="D398" i="11"/>
  <c r="D406" i="11"/>
  <c r="D414" i="11"/>
  <c r="D422" i="11"/>
  <c r="D430" i="11"/>
  <c r="D438" i="11"/>
  <c r="D446" i="11"/>
  <c r="D454" i="11"/>
  <c r="D462" i="11"/>
  <c r="D470" i="11"/>
  <c r="D478" i="11"/>
  <c r="D486" i="11"/>
  <c r="D494" i="11"/>
  <c r="D502" i="11"/>
  <c r="D510" i="11"/>
  <c r="D518" i="11"/>
  <c r="D526" i="11"/>
  <c r="D534" i="11"/>
  <c r="D542" i="11"/>
  <c r="D550" i="11"/>
  <c r="D558" i="11"/>
  <c r="D566" i="11"/>
  <c r="D574" i="11"/>
  <c r="D582" i="11"/>
  <c r="D590" i="11"/>
  <c r="D598" i="11"/>
  <c r="D311" i="11"/>
  <c r="D319" i="11"/>
  <c r="D327" i="11"/>
  <c r="D335" i="11"/>
  <c r="D343" i="11"/>
  <c r="D351" i="11"/>
  <c r="D359" i="11"/>
  <c r="D367" i="11"/>
  <c r="D375" i="11"/>
  <c r="D383" i="11"/>
  <c r="D391" i="11"/>
  <c r="D399" i="11"/>
  <c r="D407" i="11"/>
  <c r="D415" i="11"/>
  <c r="D423" i="11"/>
  <c r="D431" i="11"/>
  <c r="D439" i="11"/>
  <c r="D447" i="11"/>
  <c r="D455" i="11"/>
  <c r="D463" i="11"/>
  <c r="D471" i="11"/>
  <c r="D479" i="11"/>
  <c r="D487" i="11"/>
  <c r="D495" i="11"/>
  <c r="D503" i="11"/>
  <c r="D511" i="11"/>
  <c r="D312" i="11"/>
  <c r="D320" i="11"/>
  <c r="D328" i="11"/>
  <c r="D336" i="11"/>
  <c r="D344" i="11"/>
  <c r="D352" i="11"/>
  <c r="D360" i="11"/>
  <c r="D368" i="11"/>
  <c r="D376" i="11"/>
  <c r="D384" i="11"/>
  <c r="D392" i="11"/>
  <c r="D400" i="11"/>
  <c r="D408" i="11"/>
  <c r="D416" i="11"/>
  <c r="D424" i="11"/>
  <c r="D432" i="11"/>
  <c r="D440" i="11"/>
  <c r="D448" i="11"/>
  <c r="D456" i="11"/>
  <c r="D464" i="11"/>
  <c r="D472" i="11"/>
  <c r="D480" i="11"/>
  <c r="D488" i="11"/>
  <c r="D496" i="11"/>
  <c r="D504" i="11"/>
  <c r="D512" i="11"/>
  <c r="D520" i="11"/>
  <c r="D528" i="11"/>
  <c r="D536" i="11"/>
  <c r="D544" i="11"/>
  <c r="D345" i="11"/>
  <c r="D473" i="11"/>
  <c r="D551" i="11"/>
  <c r="D569" i="11"/>
  <c r="D592" i="11"/>
  <c r="D609" i="11"/>
  <c r="D625" i="11"/>
  <c r="D641" i="11"/>
  <c r="D657" i="11"/>
  <c r="D729" i="11"/>
  <c r="D753" i="11"/>
  <c r="D785" i="11"/>
  <c r="D796" i="11"/>
  <c r="D832" i="11"/>
  <c r="D849" i="11"/>
  <c r="D875" i="11"/>
  <c r="D892" i="11"/>
  <c r="D909" i="11"/>
  <c r="D926" i="11"/>
  <c r="D943" i="11"/>
  <c r="D960" i="11"/>
  <c r="D977" i="11"/>
  <c r="D353" i="11"/>
  <c r="D481" i="11"/>
  <c r="D527" i="11"/>
  <c r="D361" i="11"/>
  <c r="D489" i="11"/>
  <c r="D552" i="11"/>
  <c r="D575" i="11"/>
  <c r="D593" i="11"/>
  <c r="D614" i="11"/>
  <c r="D630" i="11"/>
  <c r="D646" i="11"/>
  <c r="D662" i="11"/>
  <c r="D733" i="11"/>
  <c r="D797" i="11"/>
  <c r="D833" i="11"/>
  <c r="D859" i="11"/>
  <c r="D876" i="11"/>
  <c r="D893" i="11"/>
  <c r="D910" i="11"/>
  <c r="D927" i="11"/>
  <c r="D944" i="11"/>
  <c r="D961" i="11"/>
  <c r="D369" i="11"/>
  <c r="D689" i="11"/>
  <c r="D704" i="11"/>
  <c r="D719" i="11"/>
  <c r="D744" i="11"/>
  <c r="D757" i="11"/>
  <c r="D767" i="11"/>
  <c r="D777" i="11"/>
  <c r="D788" i="11"/>
  <c r="D807" i="11"/>
  <c r="D816" i="11"/>
  <c r="D825" i="11"/>
  <c r="D851" i="11"/>
  <c r="D868" i="11"/>
  <c r="D885" i="11"/>
  <c r="D902" i="11"/>
  <c r="D919" i="11"/>
  <c r="D936" i="11"/>
  <c r="D953" i="11"/>
  <c r="D979" i="11"/>
  <c r="D987" i="11"/>
  <c r="D995" i="11"/>
  <c r="D377" i="11"/>
  <c r="D497" i="11"/>
  <c r="D529" i="11"/>
  <c r="D553" i="11"/>
  <c r="D576" i="11"/>
  <c r="D599" i="11"/>
  <c r="D615" i="11"/>
  <c r="D631" i="11"/>
  <c r="D647" i="11"/>
  <c r="D663" i="11"/>
  <c r="D678" i="11"/>
  <c r="D734" i="11"/>
  <c r="D779" i="11"/>
  <c r="D798" i="11"/>
  <c r="D843" i="11"/>
  <c r="D860" i="11"/>
  <c r="D877" i="11"/>
  <c r="D894" i="11"/>
  <c r="D911" i="11"/>
  <c r="D928" i="11"/>
  <c r="D945" i="11"/>
  <c r="D971" i="11"/>
  <c r="D385" i="11"/>
  <c r="D705" i="11"/>
  <c r="D720" i="11"/>
  <c r="D745" i="11"/>
  <c r="D758" i="11"/>
  <c r="D768" i="11"/>
  <c r="D789" i="11"/>
  <c r="D808" i="11"/>
  <c r="D817" i="11"/>
  <c r="D835" i="11"/>
  <c r="D852" i="11"/>
  <c r="D869" i="11"/>
  <c r="D886" i="11"/>
  <c r="D903" i="11"/>
  <c r="D920" i="11"/>
  <c r="D937" i="11"/>
  <c r="D393" i="11"/>
  <c r="D535" i="11"/>
  <c r="D559" i="11"/>
  <c r="D577" i="11"/>
  <c r="D600" i="11"/>
  <c r="D616" i="11"/>
  <c r="D632" i="11"/>
  <c r="D648" i="11"/>
  <c r="D664" i="11"/>
  <c r="D679" i="11"/>
  <c r="D694" i="11"/>
  <c r="D735" i="11"/>
  <c r="D747" i="11"/>
  <c r="D780" i="11"/>
  <c r="D799" i="11"/>
  <c r="D827" i="11"/>
  <c r="D844" i="11"/>
  <c r="D861" i="11"/>
  <c r="D878" i="11"/>
  <c r="D401" i="11"/>
  <c r="D505" i="11"/>
  <c r="D721" i="11"/>
  <c r="D759" i="11"/>
  <c r="D769" i="11"/>
  <c r="D790" i="11"/>
  <c r="D809" i="11"/>
  <c r="D819" i="11"/>
  <c r="D836" i="11"/>
  <c r="D853" i="11"/>
  <c r="D870" i="11"/>
  <c r="D887" i="11"/>
  <c r="D409" i="11"/>
  <c r="D560" i="11"/>
  <c r="D583" i="11"/>
  <c r="D601" i="11"/>
  <c r="D617" i="11"/>
  <c r="D633" i="11"/>
  <c r="D649" i="11"/>
  <c r="D665" i="11"/>
  <c r="D680" i="11"/>
  <c r="D695" i="11"/>
  <c r="D710" i="11"/>
  <c r="D736" i="11"/>
  <c r="D749" i="11"/>
  <c r="D771" i="11"/>
  <c r="D781" i="11"/>
  <c r="D800" i="11"/>
  <c r="D828" i="11"/>
  <c r="D845" i="11"/>
  <c r="D862" i="11"/>
  <c r="D879" i="11"/>
  <c r="D417" i="11"/>
  <c r="D537" i="11"/>
  <c r="D760" i="11"/>
  <c r="D772" i="11"/>
  <c r="D425" i="11"/>
  <c r="D513" i="11"/>
  <c r="D561" i="11"/>
  <c r="D584" i="11"/>
  <c r="D606" i="11"/>
  <c r="D622" i="11"/>
  <c r="D638" i="11"/>
  <c r="D654" i="11"/>
  <c r="D681" i="11"/>
  <c r="D696" i="11"/>
  <c r="D711" i="11"/>
  <c r="D726" i="11"/>
  <c r="D737" i="11"/>
  <c r="D750" i="11"/>
  <c r="D782" i="11"/>
  <c r="D801" i="11"/>
  <c r="D305" i="11"/>
  <c r="D433" i="11"/>
  <c r="D543" i="11"/>
  <c r="D670" i="11"/>
  <c r="D739" i="11"/>
  <c r="D761" i="11"/>
  <c r="D313" i="11"/>
  <c r="D441" i="11"/>
  <c r="D519" i="11"/>
  <c r="D567" i="11"/>
  <c r="D585" i="11"/>
  <c r="D607" i="11"/>
  <c r="D623" i="11"/>
  <c r="D639" i="11"/>
  <c r="D655" i="11"/>
  <c r="D321" i="11"/>
  <c r="D449" i="11"/>
  <c r="D671" i="11"/>
  <c r="D686" i="11"/>
  <c r="D329" i="11"/>
  <c r="D457" i="11"/>
  <c r="D545" i="11"/>
  <c r="D568" i="11"/>
  <c r="D591" i="11"/>
  <c r="D608" i="11"/>
  <c r="D624" i="11"/>
  <c r="D640" i="11"/>
  <c r="D773" i="11"/>
  <c r="D795" i="11"/>
  <c r="D814" i="11"/>
  <c r="D883" i="11"/>
  <c r="D923" i="11"/>
  <c r="D934" i="11"/>
  <c r="D958" i="11"/>
  <c r="D969" i="11"/>
  <c r="D1002" i="11"/>
  <c r="D1012" i="11"/>
  <c r="D1021" i="11"/>
  <c r="D1030" i="11"/>
  <c r="D1047" i="11"/>
  <c r="D1064" i="11"/>
  <c r="D1081" i="11"/>
  <c r="D1090" i="11"/>
  <c r="D1107" i="11"/>
  <c r="D1124" i="11"/>
  <c r="D1141" i="11"/>
  <c r="D1158" i="11"/>
  <c r="D1175" i="11"/>
  <c r="D1192" i="11"/>
  <c r="D1209" i="11"/>
  <c r="D1218" i="11"/>
  <c r="D1235" i="11"/>
  <c r="D1252" i="11"/>
  <c r="D1269" i="11"/>
  <c r="D1286" i="11"/>
  <c r="D1303" i="11"/>
  <c r="D1320" i="11"/>
  <c r="D687" i="11"/>
  <c r="D815" i="11"/>
  <c r="D867" i="11"/>
  <c r="D884" i="11"/>
  <c r="D912" i="11"/>
  <c r="D935" i="11"/>
  <c r="D948" i="11"/>
  <c r="D982" i="11"/>
  <c r="D992" i="11"/>
  <c r="D1003" i="11"/>
  <c r="D1039" i="11"/>
  <c r="D1056" i="11"/>
  <c r="D1073" i="11"/>
  <c r="D1082" i="11"/>
  <c r="D1099" i="11"/>
  <c r="D1116" i="11"/>
  <c r="D1133" i="11"/>
  <c r="D1150" i="11"/>
  <c r="D1167" i="11"/>
  <c r="D1184" i="11"/>
  <c r="D1201" i="11"/>
  <c r="D1210" i="11"/>
  <c r="D1227" i="11"/>
  <c r="D1244" i="11"/>
  <c r="D1261" i="11"/>
  <c r="D1278" i="11"/>
  <c r="D1295" i="11"/>
  <c r="D1312" i="11"/>
  <c r="D1329" i="11"/>
  <c r="D1337" i="11"/>
  <c r="D1345" i="11"/>
  <c r="D1353" i="11"/>
  <c r="D1361" i="11"/>
  <c r="D1369" i="11"/>
  <c r="D1377" i="11"/>
  <c r="D1385" i="11"/>
  <c r="D1393" i="11"/>
  <c r="D1401" i="11"/>
  <c r="D1409" i="11"/>
  <c r="D1417" i="11"/>
  <c r="D1425" i="11"/>
  <c r="D1433" i="11"/>
  <c r="D1441" i="11"/>
  <c r="D1449" i="11"/>
  <c r="D1457" i="11"/>
  <c r="D1465" i="11"/>
  <c r="D1473" i="11"/>
  <c r="D1481" i="11"/>
  <c r="D1489" i="11"/>
  <c r="D1497" i="11"/>
  <c r="D1505" i="11"/>
  <c r="D1513" i="11"/>
  <c r="D1521" i="11"/>
  <c r="D1529" i="11"/>
  <c r="D688" i="11"/>
  <c r="D741" i="11"/>
  <c r="D774" i="11"/>
  <c r="D820" i="11"/>
  <c r="D837" i="11"/>
  <c r="D854" i="11"/>
  <c r="D871" i="11"/>
  <c r="D899" i="11"/>
  <c r="D924" i="11"/>
  <c r="D959" i="11"/>
  <c r="D972" i="11"/>
  <c r="D1004" i="11"/>
  <c r="D1013" i="11"/>
  <c r="D1022" i="11"/>
  <c r="D1031" i="11"/>
  <c r="D1048" i="11"/>
  <c r="D1065" i="11"/>
  <c r="D1074" i="11"/>
  <c r="D1091" i="11"/>
  <c r="D1108" i="11"/>
  <c r="D1125" i="11"/>
  <c r="D1142" i="11"/>
  <c r="D1159" i="11"/>
  <c r="D1176" i="11"/>
  <c r="D1193" i="11"/>
  <c r="D1202" i="11"/>
  <c r="D1219" i="11"/>
  <c r="D1236" i="11"/>
  <c r="D1253" i="11"/>
  <c r="D1270" i="11"/>
  <c r="D1287" i="11"/>
  <c r="D1304" i="11"/>
  <c r="D1321" i="11"/>
  <c r="D697" i="11"/>
  <c r="D888" i="11"/>
  <c r="D913" i="11"/>
  <c r="D949" i="11"/>
  <c r="D983" i="11"/>
  <c r="D993" i="11"/>
  <c r="D1040" i="11"/>
  <c r="D1057" i="11"/>
  <c r="D1066" i="11"/>
  <c r="D1083" i="11"/>
  <c r="D1100" i="11"/>
  <c r="D1117" i="11"/>
  <c r="D1134" i="11"/>
  <c r="D1151" i="11"/>
  <c r="D1168" i="11"/>
  <c r="D1185" i="11"/>
  <c r="D1194" i="11"/>
  <c r="D1211" i="11"/>
  <c r="D1228" i="11"/>
  <c r="D1245" i="11"/>
  <c r="D1262" i="11"/>
  <c r="D1279" i="11"/>
  <c r="D1296" i="11"/>
  <c r="D1313" i="11"/>
  <c r="D1322" i="11"/>
  <c r="D1330" i="11"/>
  <c r="D1338" i="11"/>
  <c r="D1346" i="11"/>
  <c r="D1354" i="11"/>
  <c r="D1362" i="11"/>
  <c r="D1370" i="11"/>
  <c r="D1378" i="11"/>
  <c r="D1386" i="11"/>
  <c r="D1394" i="11"/>
  <c r="D1402" i="11"/>
  <c r="D1410" i="11"/>
  <c r="D1418" i="11"/>
  <c r="D1426" i="11"/>
  <c r="D1434" i="11"/>
  <c r="D1442" i="11"/>
  <c r="D1450" i="11"/>
  <c r="D1458" i="11"/>
  <c r="D1466" i="11"/>
  <c r="D742" i="11"/>
  <c r="D775" i="11"/>
  <c r="D803" i="11"/>
  <c r="D821" i="11"/>
  <c r="D838" i="11"/>
  <c r="D855" i="11"/>
  <c r="D872" i="11"/>
  <c r="D900" i="11"/>
  <c r="D925" i="11"/>
  <c r="D939" i="11"/>
  <c r="D973" i="11"/>
  <c r="D994" i="11"/>
  <c r="D1005" i="11"/>
  <c r="D1014" i="11"/>
  <c r="D1023" i="11"/>
  <c r="D1032" i="11"/>
  <c r="D1049" i="11"/>
  <c r="D1058" i="11"/>
  <c r="D1075" i="11"/>
  <c r="D1092" i="11"/>
  <c r="D1109" i="11"/>
  <c r="D1126" i="11"/>
  <c r="D1143" i="11"/>
  <c r="D1160" i="11"/>
  <c r="D1177" i="11"/>
  <c r="D1186" i="11"/>
  <c r="D1203" i="11"/>
  <c r="D1220" i="11"/>
  <c r="D1237" i="11"/>
  <c r="D1254" i="11"/>
  <c r="D1271" i="11"/>
  <c r="D1288" i="11"/>
  <c r="D1305" i="11"/>
  <c r="D1314" i="11"/>
  <c r="D702" i="11"/>
  <c r="D743" i="11"/>
  <c r="D776" i="11"/>
  <c r="D889" i="11"/>
  <c r="D901" i="11"/>
  <c r="D950" i="11"/>
  <c r="D963" i="11"/>
  <c r="D984" i="11"/>
  <c r="D996" i="11"/>
  <c r="D1041" i="11"/>
  <c r="D1050" i="11"/>
  <c r="D1067" i="11"/>
  <c r="D1084" i="11"/>
  <c r="D1101" i="11"/>
  <c r="D1118" i="11"/>
  <c r="D1135" i="11"/>
  <c r="D1152" i="11"/>
  <c r="D1169" i="11"/>
  <c r="D1178" i="11"/>
  <c r="D1195" i="11"/>
  <c r="D1212" i="11"/>
  <c r="D1229" i="11"/>
  <c r="D1246" i="11"/>
  <c r="D1263" i="11"/>
  <c r="D1280" i="11"/>
  <c r="D1297" i="11"/>
  <c r="D1306" i="11"/>
  <c r="D1323" i="11"/>
  <c r="D1331" i="11"/>
  <c r="D1339" i="11"/>
  <c r="D1347" i="11"/>
  <c r="D1355" i="11"/>
  <c r="D1363" i="11"/>
  <c r="D1371" i="11"/>
  <c r="D1379" i="11"/>
  <c r="D1387" i="11"/>
  <c r="D1395" i="11"/>
  <c r="D1403" i="11"/>
  <c r="D1411" i="11"/>
  <c r="D1419" i="11"/>
  <c r="D1427" i="11"/>
  <c r="D1435" i="11"/>
  <c r="D1443" i="11"/>
  <c r="D1451" i="11"/>
  <c r="D1459" i="11"/>
  <c r="D1467" i="11"/>
  <c r="D1475" i="11"/>
  <c r="D1483" i="11"/>
  <c r="D1491" i="11"/>
  <c r="D703" i="11"/>
  <c r="D751" i="11"/>
  <c r="D804" i="11"/>
  <c r="D822" i="11"/>
  <c r="D839" i="11"/>
  <c r="D856" i="11"/>
  <c r="D873" i="11"/>
  <c r="D915" i="11"/>
  <c r="D940" i="11"/>
  <c r="D974" i="11"/>
  <c r="D1006" i="11"/>
  <c r="D1015" i="11"/>
  <c r="D1024" i="11"/>
  <c r="D1033" i="11"/>
  <c r="D1042" i="11"/>
  <c r="D1059" i="11"/>
  <c r="D1076" i="11"/>
  <c r="D1093" i="11"/>
  <c r="D1110" i="11"/>
  <c r="D1127" i="11"/>
  <c r="D1144" i="11"/>
  <c r="D1161" i="11"/>
  <c r="D1170" i="11"/>
  <c r="D1187" i="11"/>
  <c r="D1204" i="11"/>
  <c r="D1221" i="11"/>
  <c r="D1238" i="11"/>
  <c r="D1255" i="11"/>
  <c r="D1272" i="11"/>
  <c r="D1289" i="11"/>
  <c r="D1298" i="11"/>
  <c r="D1315" i="11"/>
  <c r="D712" i="11"/>
  <c r="D783" i="11"/>
  <c r="D904" i="11"/>
  <c r="D929" i="11"/>
  <c r="D951" i="11"/>
  <c r="D964" i="11"/>
  <c r="D985" i="11"/>
  <c r="D997" i="11"/>
  <c r="D1034" i="11"/>
  <c r="D1051" i="11"/>
  <c r="D1068" i="11"/>
  <c r="D1085" i="11"/>
  <c r="D1102" i="11"/>
  <c r="D1119" i="11"/>
  <c r="D1136" i="11"/>
  <c r="D1153" i="11"/>
  <c r="D1162" i="11"/>
  <c r="D1179" i="11"/>
  <c r="D1196" i="11"/>
  <c r="D1213" i="11"/>
  <c r="D1230" i="11"/>
  <c r="D1247" i="11"/>
  <c r="D1264" i="11"/>
  <c r="D1281" i="11"/>
  <c r="D1290" i="11"/>
  <c r="D1307" i="11"/>
  <c r="D1324" i="11"/>
  <c r="D1332" i="11"/>
  <c r="D1340" i="11"/>
  <c r="D1348" i="11"/>
  <c r="D1356" i="11"/>
  <c r="D1364" i="11"/>
  <c r="D1372" i="11"/>
  <c r="D1380" i="11"/>
  <c r="D1388" i="11"/>
  <c r="D1396" i="11"/>
  <c r="D1404" i="11"/>
  <c r="D1412" i="11"/>
  <c r="D1420" i="11"/>
  <c r="D1428" i="11"/>
  <c r="D1436" i="11"/>
  <c r="D1444" i="11"/>
  <c r="D1452" i="11"/>
  <c r="D1460" i="11"/>
  <c r="D1468" i="11"/>
  <c r="D1476" i="11"/>
  <c r="D1484" i="11"/>
  <c r="D752" i="11"/>
  <c r="D805" i="11"/>
  <c r="D823" i="11"/>
  <c r="D840" i="11"/>
  <c r="D857" i="11"/>
  <c r="D891" i="11"/>
  <c r="D916" i="11"/>
  <c r="D941" i="11"/>
  <c r="D952" i="11"/>
  <c r="D975" i="11"/>
  <c r="D986" i="11"/>
  <c r="D1007" i="11"/>
  <c r="D1016" i="11"/>
  <c r="D1025" i="11"/>
  <c r="D1043" i="11"/>
  <c r="D1060" i="11"/>
  <c r="D1077" i="11"/>
  <c r="D1094" i="11"/>
  <c r="D1111" i="11"/>
  <c r="D1128" i="11"/>
  <c r="D1145" i="11"/>
  <c r="D1154" i="11"/>
  <c r="D1171" i="11"/>
  <c r="D1188" i="11"/>
  <c r="D1205" i="11"/>
  <c r="D1222" i="11"/>
  <c r="D1239" i="11"/>
  <c r="D1256" i="11"/>
  <c r="D1273" i="11"/>
  <c r="D1282" i="11"/>
  <c r="D1299" i="11"/>
  <c r="D1316" i="11"/>
  <c r="D656" i="11"/>
  <c r="D713" i="11"/>
  <c r="D784" i="11"/>
  <c r="D806" i="11"/>
  <c r="D824" i="11"/>
  <c r="D841" i="11"/>
  <c r="D905" i="11"/>
  <c r="D965" i="11"/>
  <c r="D988" i="11"/>
  <c r="D998" i="11"/>
  <c r="D1026" i="11"/>
  <c r="D1035" i="11"/>
  <c r="D1052" i="11"/>
  <c r="D1069" i="11"/>
  <c r="D1086" i="11"/>
  <c r="D1103" i="11"/>
  <c r="D1120" i="11"/>
  <c r="D1137" i="11"/>
  <c r="D1146" i="11"/>
  <c r="D1163" i="11"/>
  <c r="D1180" i="11"/>
  <c r="D1197" i="11"/>
  <c r="D1214" i="11"/>
  <c r="D1231" i="11"/>
  <c r="D1248" i="11"/>
  <c r="D1265" i="11"/>
  <c r="D1274" i="11"/>
  <c r="D1291" i="11"/>
  <c r="D755" i="11"/>
  <c r="D811" i="11"/>
  <c r="D917" i="11"/>
  <c r="D931" i="11"/>
  <c r="D942" i="11"/>
  <c r="D955" i="11"/>
  <c r="D976" i="11"/>
  <c r="D1008" i="11"/>
  <c r="D1017" i="11"/>
  <c r="D1044" i="11"/>
  <c r="D1061" i="11"/>
  <c r="D1078" i="11"/>
  <c r="D1095" i="11"/>
  <c r="D1112" i="11"/>
  <c r="D1129" i="11"/>
  <c r="D1138" i="11"/>
  <c r="D1155" i="11"/>
  <c r="D1172" i="11"/>
  <c r="D1189" i="11"/>
  <c r="D1206" i="11"/>
  <c r="D1223" i="11"/>
  <c r="D1240" i="11"/>
  <c r="D1257" i="11"/>
  <c r="D1266" i="11"/>
  <c r="D1283" i="11"/>
  <c r="D1300" i="11"/>
  <c r="D1317" i="11"/>
  <c r="D337" i="11"/>
  <c r="D718" i="11"/>
  <c r="D763" i="11"/>
  <c r="D787" i="11"/>
  <c r="D829" i="11"/>
  <c r="D846" i="11"/>
  <c r="D863" i="11"/>
  <c r="D880" i="11"/>
  <c r="D895" i="11"/>
  <c r="D918" i="11"/>
  <c r="D966" i="11"/>
  <c r="D989" i="11"/>
  <c r="D999" i="11"/>
  <c r="D1018" i="11"/>
  <c r="D1027" i="11"/>
  <c r="D1036" i="11"/>
  <c r="D1053" i="11"/>
  <c r="D1070" i="11"/>
  <c r="D1087" i="11"/>
  <c r="D1104" i="11"/>
  <c r="D1121" i="11"/>
  <c r="D1130" i="11"/>
  <c r="D1147" i="11"/>
  <c r="D1164" i="11"/>
  <c r="D1181" i="11"/>
  <c r="D1198" i="11"/>
  <c r="D1215" i="11"/>
  <c r="D1232" i="11"/>
  <c r="D1249" i="11"/>
  <c r="D1258" i="11"/>
  <c r="D465" i="11"/>
  <c r="D727" i="11"/>
  <c r="D764" i="11"/>
  <c r="D791" i="11"/>
  <c r="D812" i="11"/>
  <c r="D907" i="11"/>
  <c r="D932" i="11"/>
  <c r="D956" i="11"/>
  <c r="D1009" i="11"/>
  <c r="D1028" i="11"/>
  <c r="D1045" i="11"/>
  <c r="D1062" i="11"/>
  <c r="D1079" i="11"/>
  <c r="D1096" i="11"/>
  <c r="D1113" i="11"/>
  <c r="D1122" i="11"/>
  <c r="D1139" i="11"/>
  <c r="D1156" i="11"/>
  <c r="D1173" i="11"/>
  <c r="D1190" i="11"/>
  <c r="D1207" i="11"/>
  <c r="D1224" i="11"/>
  <c r="D521" i="11"/>
  <c r="D672" i="11"/>
  <c r="D792" i="11"/>
  <c r="D830" i="11"/>
  <c r="D847" i="11"/>
  <c r="D864" i="11"/>
  <c r="D881" i="11"/>
  <c r="D896" i="11"/>
  <c r="D921" i="11"/>
  <c r="D967" i="11"/>
  <c r="D980" i="11"/>
  <c r="D990" i="11"/>
  <c r="D1000" i="11"/>
  <c r="D1010" i="11"/>
  <c r="D1019" i="11"/>
  <c r="D1037" i="11"/>
  <c r="D1054" i="11"/>
  <c r="D1071" i="11"/>
  <c r="D1088" i="11"/>
  <c r="D1105" i="11"/>
  <c r="D1114" i="11"/>
  <c r="D1131" i="11"/>
  <c r="D1148" i="11"/>
  <c r="D1165" i="11"/>
  <c r="D1182" i="11"/>
  <c r="D1199" i="11"/>
  <c r="D1216" i="11"/>
  <c r="D897" i="11"/>
  <c r="D991" i="11"/>
  <c r="D1132" i="11"/>
  <c r="D1200" i="11"/>
  <c r="D1250" i="11"/>
  <c r="D1277" i="11"/>
  <c r="D1308" i="11"/>
  <c r="D1350" i="11"/>
  <c r="D1367" i="11"/>
  <c r="D1383" i="11"/>
  <c r="D1399" i="11"/>
  <c r="D1415" i="11"/>
  <c r="D1431" i="11"/>
  <c r="D1447" i="11"/>
  <c r="D1463" i="11"/>
  <c r="D1478" i="11"/>
  <c r="D1533" i="11"/>
  <c r="D1542" i="11"/>
  <c r="D1551" i="11"/>
  <c r="D1568" i="11"/>
  <c r="D1577" i="11"/>
  <c r="D1594" i="11"/>
  <c r="D1611" i="11"/>
  <c r="D1628" i="11"/>
  <c r="D1645" i="11"/>
  <c r="D1662" i="11"/>
  <c r="D1679" i="11"/>
  <c r="D1696" i="11"/>
  <c r="D1705" i="11"/>
  <c r="D1722" i="11"/>
  <c r="D1739" i="11"/>
  <c r="D1756" i="11"/>
  <c r="D1773" i="11"/>
  <c r="D1790" i="11"/>
  <c r="D1807" i="11"/>
  <c r="D1824" i="11"/>
  <c r="D1833" i="11"/>
  <c r="D1850" i="11"/>
  <c r="D1867" i="11"/>
  <c r="D1884" i="11"/>
  <c r="D1901" i="11"/>
  <c r="D1918" i="11"/>
  <c r="D1935" i="11"/>
  <c r="D1952" i="11"/>
  <c r="D1960" i="11"/>
  <c r="D1968" i="11"/>
  <c r="D1976" i="11"/>
  <c r="D1984" i="11"/>
  <c r="D1992" i="11"/>
  <c r="D2000" i="11"/>
  <c r="D2008" i="11"/>
  <c r="D2016" i="11"/>
  <c r="D2024" i="11"/>
  <c r="D2032" i="11"/>
  <c r="D2040" i="11"/>
  <c r="D2048" i="11"/>
  <c r="D2056" i="11"/>
  <c r="D2064" i="11"/>
  <c r="D2072" i="11"/>
  <c r="D2080" i="11"/>
  <c r="D2088" i="11"/>
  <c r="D2096" i="11"/>
  <c r="D2104" i="11"/>
  <c r="D2112" i="11"/>
  <c r="D2120" i="11"/>
  <c r="D2128" i="11"/>
  <c r="D2136" i="11"/>
  <c r="D2144" i="11"/>
  <c r="D2152" i="11"/>
  <c r="D2160" i="11"/>
  <c r="D2168" i="11"/>
  <c r="D2176" i="11"/>
  <c r="D2184" i="11"/>
  <c r="D2192" i="11"/>
  <c r="D2200" i="11"/>
  <c r="D2208" i="11"/>
  <c r="D2216" i="11"/>
  <c r="D2224" i="11"/>
  <c r="D2232" i="11"/>
  <c r="D2240" i="11"/>
  <c r="D2248" i="11"/>
  <c r="D2256" i="11"/>
  <c r="D2264" i="11"/>
  <c r="D2272" i="11"/>
  <c r="D2280" i="11"/>
  <c r="D2288" i="11"/>
  <c r="D2296" i="11"/>
  <c r="D2304" i="11"/>
  <c r="D2312" i="11"/>
  <c r="D2320" i="11"/>
  <c r="D2328" i="11"/>
  <c r="D2336" i="11"/>
  <c r="D2344" i="11"/>
  <c r="D2352" i="11"/>
  <c r="D2360" i="11"/>
  <c r="D2368" i="11"/>
  <c r="D2376" i="11"/>
  <c r="D2384" i="11"/>
  <c r="D2392" i="11"/>
  <c r="D2400" i="11"/>
  <c r="D2408" i="11"/>
  <c r="D2416" i="11"/>
  <c r="D2424" i="11"/>
  <c r="D2432" i="11"/>
  <c r="D2440" i="11"/>
  <c r="D2448" i="11"/>
  <c r="D2456" i="11"/>
  <c r="D2464" i="11"/>
  <c r="D2472" i="11"/>
  <c r="D2480" i="11"/>
  <c r="D2488" i="11"/>
  <c r="D2496" i="11"/>
  <c r="D2504" i="11"/>
  <c r="D2512" i="11"/>
  <c r="D2520" i="11"/>
  <c r="D2528" i="11"/>
  <c r="D2536" i="11"/>
  <c r="D2544" i="11"/>
  <c r="D765" i="11"/>
  <c r="D908" i="11"/>
  <c r="D1140" i="11"/>
  <c r="D1208" i="11"/>
  <c r="D1309" i="11"/>
  <c r="D1328" i="11"/>
  <c r="D1492" i="11"/>
  <c r="D1502" i="11"/>
  <c r="D1512" i="11"/>
  <c r="D1524" i="11"/>
  <c r="D1560" i="11"/>
  <c r="D1569" i="11"/>
  <c r="D1586" i="11"/>
  <c r="D1603" i="11"/>
  <c r="D1620" i="11"/>
  <c r="D1637" i="11"/>
  <c r="D1654" i="11"/>
  <c r="D1671" i="11"/>
  <c r="D1688" i="11"/>
  <c r="D1697" i="11"/>
  <c r="D1714" i="11"/>
  <c r="D1731" i="11"/>
  <c r="D1748" i="11"/>
  <c r="D1765" i="11"/>
  <c r="D1782" i="11"/>
  <c r="D1799" i="11"/>
  <c r="D1816" i="11"/>
  <c r="D1825" i="11"/>
  <c r="D1842" i="11"/>
  <c r="D1859" i="11"/>
  <c r="D1876" i="11"/>
  <c r="D1893" i="11"/>
  <c r="D1910" i="11"/>
  <c r="D1927" i="11"/>
  <c r="D1944" i="11"/>
  <c r="D766" i="11"/>
  <c r="D1001" i="11"/>
  <c r="D1072" i="11"/>
  <c r="D1251" i="11"/>
  <c r="D1284" i="11"/>
  <c r="D1333" i="11"/>
  <c r="D1351" i="11"/>
  <c r="D1368" i="11"/>
  <c r="D1384" i="11"/>
  <c r="D1400" i="11"/>
  <c r="D1416" i="11"/>
  <c r="D1432" i="11"/>
  <c r="D1448" i="11"/>
  <c r="D1464" i="11"/>
  <c r="D1479" i="11"/>
  <c r="D1514" i="11"/>
  <c r="D1534" i="11"/>
  <c r="D1543" i="11"/>
  <c r="D1552" i="11"/>
  <c r="D1561" i="11"/>
  <c r="D1578" i="11"/>
  <c r="D1595" i="11"/>
  <c r="D1612" i="11"/>
  <c r="D1629" i="11"/>
  <c r="D1646" i="11"/>
  <c r="D1663" i="11"/>
  <c r="D1680" i="11"/>
  <c r="D1689" i="11"/>
  <c r="D1706" i="11"/>
  <c r="D1723" i="11"/>
  <c r="D1740" i="11"/>
  <c r="D1757" i="11"/>
  <c r="D1774" i="11"/>
  <c r="D1791" i="11"/>
  <c r="D1808" i="11"/>
  <c r="D1817" i="11"/>
  <c r="D1834" i="11"/>
  <c r="D1851" i="11"/>
  <c r="D1868" i="11"/>
  <c r="D1885" i="11"/>
  <c r="D1902" i="11"/>
  <c r="D1919" i="11"/>
  <c r="D1936" i="11"/>
  <c r="D1945" i="11"/>
  <c r="D1953" i="11"/>
  <c r="D1961" i="11"/>
  <c r="D1969" i="11"/>
  <c r="D1977" i="11"/>
  <c r="D1985" i="11"/>
  <c r="D1993" i="11"/>
  <c r="D2001" i="11"/>
  <c r="D2009" i="11"/>
  <c r="D2017" i="11"/>
  <c r="D2025" i="11"/>
  <c r="D2033" i="11"/>
  <c r="D2041" i="11"/>
  <c r="D1080" i="11"/>
  <c r="D1310" i="11"/>
  <c r="D1334" i="11"/>
  <c r="D1493" i="11"/>
  <c r="D1503" i="11"/>
  <c r="D1515" i="11"/>
  <c r="D1525" i="11"/>
  <c r="D1553" i="11"/>
  <c r="D1570" i="11"/>
  <c r="D1587" i="11"/>
  <c r="D1604" i="11"/>
  <c r="D1621" i="11"/>
  <c r="D1638" i="11"/>
  <c r="D1655" i="11"/>
  <c r="D1672" i="11"/>
  <c r="D1681" i="11"/>
  <c r="D1698" i="11"/>
  <c r="D1715" i="11"/>
  <c r="D1732" i="11"/>
  <c r="D1749" i="11"/>
  <c r="D1766" i="11"/>
  <c r="D1783" i="11"/>
  <c r="D1800" i="11"/>
  <c r="D1809" i="11"/>
  <c r="D1826" i="11"/>
  <c r="D1843" i="11"/>
  <c r="D1860" i="11"/>
  <c r="D1877" i="11"/>
  <c r="D1894" i="11"/>
  <c r="D1911" i="11"/>
  <c r="D1928" i="11"/>
  <c r="D1937" i="11"/>
  <c r="D793" i="11"/>
  <c r="D1011" i="11"/>
  <c r="D1149" i="11"/>
  <c r="D1217" i="11"/>
  <c r="D1285" i="11"/>
  <c r="D1352" i="11"/>
  <c r="D1373" i="11"/>
  <c r="D1389" i="11"/>
  <c r="D1405" i="11"/>
  <c r="D1421" i="11"/>
  <c r="D1437" i="11"/>
  <c r="D1453" i="11"/>
  <c r="D1469" i="11"/>
  <c r="D1480" i="11"/>
  <c r="D1535" i="11"/>
  <c r="D1544" i="11"/>
  <c r="D1562" i="11"/>
  <c r="D1579" i="11"/>
  <c r="D1596" i="11"/>
  <c r="D1613" i="11"/>
  <c r="D1630" i="11"/>
  <c r="D1647" i="11"/>
  <c r="D1664" i="11"/>
  <c r="D1673" i="11"/>
  <c r="D1690" i="11"/>
  <c r="D1707" i="11"/>
  <c r="D1724" i="11"/>
  <c r="D1741" i="11"/>
  <c r="D1758" i="11"/>
  <c r="D1775" i="11"/>
  <c r="D1792" i="11"/>
  <c r="D1801" i="11"/>
  <c r="D1818" i="11"/>
  <c r="D1835" i="11"/>
  <c r="D1852" i="11"/>
  <c r="D1869" i="11"/>
  <c r="D1886" i="11"/>
  <c r="D1903" i="11"/>
  <c r="D1920" i="11"/>
  <c r="D1929" i="11"/>
  <c r="D1946" i="11"/>
  <c r="D1954" i="11"/>
  <c r="D1962" i="11"/>
  <c r="D1970" i="11"/>
  <c r="D1978" i="11"/>
  <c r="D1986" i="11"/>
  <c r="D1994" i="11"/>
  <c r="D2002" i="11"/>
  <c r="D2010" i="11"/>
  <c r="D2018" i="11"/>
  <c r="D2026" i="11"/>
  <c r="D2034" i="11"/>
  <c r="D2042" i="11"/>
  <c r="D813" i="11"/>
  <c r="D933" i="11"/>
  <c r="D1020" i="11"/>
  <c r="D1157" i="11"/>
  <c r="D1259" i="11"/>
  <c r="D1311" i="11"/>
  <c r="D1335" i="11"/>
  <c r="D1357" i="11"/>
  <c r="D1482" i="11"/>
  <c r="D1494" i="11"/>
  <c r="D1504" i="11"/>
  <c r="D1516" i="11"/>
  <c r="D1526" i="11"/>
  <c r="D1545" i="11"/>
  <c r="D1554" i="11"/>
  <c r="D1571" i="11"/>
  <c r="D1588" i="11"/>
  <c r="D1605" i="11"/>
  <c r="D1622" i="11"/>
  <c r="D1639" i="11"/>
  <c r="D1656" i="11"/>
  <c r="D1665" i="11"/>
  <c r="D1682" i="11"/>
  <c r="D1699" i="11"/>
  <c r="D1716" i="11"/>
  <c r="D1733" i="11"/>
  <c r="D1750" i="11"/>
  <c r="D1767" i="11"/>
  <c r="D1784" i="11"/>
  <c r="D1793" i="11"/>
  <c r="D1810" i="11"/>
  <c r="D1827" i="11"/>
  <c r="D1844" i="11"/>
  <c r="D1861" i="11"/>
  <c r="D1878" i="11"/>
  <c r="D1895" i="11"/>
  <c r="D1912" i="11"/>
  <c r="D1921" i="11"/>
  <c r="D1938" i="11"/>
  <c r="D1089" i="11"/>
  <c r="D1225" i="11"/>
  <c r="D1292" i="11"/>
  <c r="D1374" i="11"/>
  <c r="D1390" i="11"/>
  <c r="D1406" i="11"/>
  <c r="D1422" i="11"/>
  <c r="D1438" i="11"/>
  <c r="D1454" i="11"/>
  <c r="D1470" i="11"/>
  <c r="D1506" i="11"/>
  <c r="D1536" i="11"/>
  <c r="D1546" i="11"/>
  <c r="D1563" i="11"/>
  <c r="D1580" i="11"/>
  <c r="D1597" i="11"/>
  <c r="D1614" i="11"/>
  <c r="D1631" i="11"/>
  <c r="D1648" i="11"/>
  <c r="D1657" i="11"/>
  <c r="D1674" i="11"/>
  <c r="D1691" i="11"/>
  <c r="D1708" i="11"/>
  <c r="D1725" i="11"/>
  <c r="D1742" i="11"/>
  <c r="D1759" i="11"/>
  <c r="D1776" i="11"/>
  <c r="D1785" i="11"/>
  <c r="D1802" i="11"/>
  <c r="D1819" i="11"/>
  <c r="D1836" i="11"/>
  <c r="D1853" i="11"/>
  <c r="D1870" i="11"/>
  <c r="D1887" i="11"/>
  <c r="D1904" i="11"/>
  <c r="D1913" i="11"/>
  <c r="D1930" i="11"/>
  <c r="D1947" i="11"/>
  <c r="D1955" i="11"/>
  <c r="D1963" i="11"/>
  <c r="D1971" i="11"/>
  <c r="D1979" i="11"/>
  <c r="D1029" i="11"/>
  <c r="D1097" i="11"/>
  <c r="D1226" i="11"/>
  <c r="D1260" i="11"/>
  <c r="D1336" i="11"/>
  <c r="D1358" i="11"/>
  <c r="D1495" i="11"/>
  <c r="D1507" i="11"/>
  <c r="D1517" i="11"/>
  <c r="D1527" i="11"/>
  <c r="D1537" i="11"/>
  <c r="D1555" i="11"/>
  <c r="D1572" i="11"/>
  <c r="D1589" i="11"/>
  <c r="D1606" i="11"/>
  <c r="D1623" i="11"/>
  <c r="D1640" i="11"/>
  <c r="D1649" i="11"/>
  <c r="D1666" i="11"/>
  <c r="D1683" i="11"/>
  <c r="D1700" i="11"/>
  <c r="D1717" i="11"/>
  <c r="D1734" i="11"/>
  <c r="D1751" i="11"/>
  <c r="D1768" i="11"/>
  <c r="D1777" i="11"/>
  <c r="D1794" i="11"/>
  <c r="D1811" i="11"/>
  <c r="D1828" i="11"/>
  <c r="D1845" i="11"/>
  <c r="D1862" i="11"/>
  <c r="D1879" i="11"/>
  <c r="D1896" i="11"/>
  <c r="D1905" i="11"/>
  <c r="D1922" i="11"/>
  <c r="D1939" i="11"/>
  <c r="D831" i="11"/>
  <c r="D947" i="11"/>
  <c r="D1098" i="11"/>
  <c r="D1166" i="11"/>
  <c r="D1267" i="11"/>
  <c r="D1293" i="11"/>
  <c r="D1318" i="11"/>
  <c r="D1341" i="11"/>
  <c r="D1375" i="11"/>
  <c r="D1391" i="11"/>
  <c r="D1407" i="11"/>
  <c r="D1423" i="11"/>
  <c r="D1439" i="11"/>
  <c r="D1455" i="11"/>
  <c r="D1471" i="11"/>
  <c r="D1485" i="11"/>
  <c r="D1538" i="11"/>
  <c r="D1547" i="11"/>
  <c r="D1564" i="11"/>
  <c r="D1581" i="11"/>
  <c r="D1598" i="11"/>
  <c r="D1615" i="11"/>
  <c r="D1632" i="11"/>
  <c r="D1641" i="11"/>
  <c r="D1658" i="11"/>
  <c r="D1675" i="11"/>
  <c r="D1692" i="11"/>
  <c r="D1709" i="11"/>
  <c r="D1726" i="11"/>
  <c r="D1743" i="11"/>
  <c r="D1760" i="11"/>
  <c r="D1769" i="11"/>
  <c r="D1786" i="11"/>
  <c r="D1803" i="11"/>
  <c r="D1820" i="11"/>
  <c r="D1837" i="11"/>
  <c r="D1854" i="11"/>
  <c r="D1871" i="11"/>
  <c r="D1888" i="11"/>
  <c r="D1897" i="11"/>
  <c r="D1914" i="11"/>
  <c r="D1931" i="11"/>
  <c r="D1948" i="11"/>
  <c r="D1956" i="11"/>
  <c r="D1964" i="11"/>
  <c r="D1972" i="11"/>
  <c r="D1980" i="11"/>
  <c r="D1988" i="11"/>
  <c r="D1996" i="11"/>
  <c r="D2004" i="11"/>
  <c r="D2012" i="11"/>
  <c r="D2020" i="11"/>
  <c r="D2028" i="11"/>
  <c r="D2036" i="11"/>
  <c r="D2044" i="11"/>
  <c r="D2052" i="11"/>
  <c r="D957" i="11"/>
  <c r="D1106" i="11"/>
  <c r="D1174" i="11"/>
  <c r="D1233" i="11"/>
  <c r="D1342" i="11"/>
  <c r="D1359" i="11"/>
  <c r="D1496" i="11"/>
  <c r="D1508" i="11"/>
  <c r="D1518" i="11"/>
  <c r="D1528" i="11"/>
  <c r="D1556" i="11"/>
  <c r="D1573" i="11"/>
  <c r="D1590" i="11"/>
  <c r="D1607" i="11"/>
  <c r="D1624" i="11"/>
  <c r="D1633" i="11"/>
  <c r="D1650" i="11"/>
  <c r="D1667" i="11"/>
  <c r="D1684" i="11"/>
  <c r="D1701" i="11"/>
  <c r="D1718" i="11"/>
  <c r="D1735" i="11"/>
  <c r="D1752" i="11"/>
  <c r="D1761" i="11"/>
  <c r="D1778" i="11"/>
  <c r="D1795" i="11"/>
  <c r="D1812" i="11"/>
  <c r="D1829" i="11"/>
  <c r="D1846" i="11"/>
  <c r="D848" i="11"/>
  <c r="D1038" i="11"/>
  <c r="D1234" i="11"/>
  <c r="D1268" i="11"/>
  <c r="D1294" i="11"/>
  <c r="D1319" i="11"/>
  <c r="D1376" i="11"/>
  <c r="D1392" i="11"/>
  <c r="D1408" i="11"/>
  <c r="D1424" i="11"/>
  <c r="D1440" i="11"/>
  <c r="D1456" i="11"/>
  <c r="D1472" i="11"/>
  <c r="D1486" i="11"/>
  <c r="D1498" i="11"/>
  <c r="D1530" i="11"/>
  <c r="D1539" i="11"/>
  <c r="D1548" i="11"/>
  <c r="D1565" i="11"/>
  <c r="D1582" i="11"/>
  <c r="D1599" i="11"/>
  <c r="D1616" i="11"/>
  <c r="D1625" i="11"/>
  <c r="D1642" i="11"/>
  <c r="D1659" i="11"/>
  <c r="D1676" i="11"/>
  <c r="D1693" i="11"/>
  <c r="D1710" i="11"/>
  <c r="D1727" i="11"/>
  <c r="D1744" i="11"/>
  <c r="D1753" i="11"/>
  <c r="D1770" i="11"/>
  <c r="D1787" i="11"/>
  <c r="D1804" i="11"/>
  <c r="D1821" i="11"/>
  <c r="D1838" i="11"/>
  <c r="D1855" i="11"/>
  <c r="D1872" i="11"/>
  <c r="D1881" i="11"/>
  <c r="D1046" i="11"/>
  <c r="D1343" i="11"/>
  <c r="D1360" i="11"/>
  <c r="D1474" i="11"/>
  <c r="D1499" i="11"/>
  <c r="D1509" i="11"/>
  <c r="D1519" i="11"/>
  <c r="D1557" i="11"/>
  <c r="D1574" i="11"/>
  <c r="D1591" i="11"/>
  <c r="D1608" i="11"/>
  <c r="D1617" i="11"/>
  <c r="D1634" i="11"/>
  <c r="D1651" i="11"/>
  <c r="D1668" i="11"/>
  <c r="D1685" i="11"/>
  <c r="D1702" i="11"/>
  <c r="D1719" i="11"/>
  <c r="D1736" i="11"/>
  <c r="D1745" i="11"/>
  <c r="D1762" i="11"/>
  <c r="D1779" i="11"/>
  <c r="D1796" i="11"/>
  <c r="D1813" i="11"/>
  <c r="D1830" i="11"/>
  <c r="D865" i="11"/>
  <c r="D968" i="11"/>
  <c r="D1115" i="11"/>
  <c r="D1183" i="11"/>
  <c r="D1241" i="11"/>
  <c r="D1275" i="11"/>
  <c r="D1301" i="11"/>
  <c r="D1325" i="11"/>
  <c r="D1365" i="11"/>
  <c r="D1381" i="11"/>
  <c r="D1397" i="11"/>
  <c r="D1413" i="11"/>
  <c r="D1429" i="11"/>
  <c r="D1445" i="11"/>
  <c r="D1461" i="11"/>
  <c r="D1487" i="11"/>
  <c r="D1531" i="11"/>
  <c r="D1540" i="11"/>
  <c r="D1549" i="11"/>
  <c r="D1566" i="11"/>
  <c r="D1583" i="11"/>
  <c r="D1600" i="11"/>
  <c r="D1609" i="11"/>
  <c r="D1626" i="11"/>
  <c r="D1643" i="11"/>
  <c r="D1660" i="11"/>
  <c r="D1677" i="11"/>
  <c r="D1694" i="11"/>
  <c r="D1711" i="11"/>
  <c r="D1728" i="11"/>
  <c r="D1737" i="11"/>
  <c r="D673" i="11"/>
  <c r="D1123" i="11"/>
  <c r="D1191" i="11"/>
  <c r="D1242" i="11"/>
  <c r="D1326" i="11"/>
  <c r="D1344" i="11"/>
  <c r="D1500" i="11"/>
  <c r="D1510" i="11"/>
  <c r="D1520" i="11"/>
  <c r="D1558" i="11"/>
  <c r="D1575" i="11"/>
  <c r="D1592" i="11"/>
  <c r="D1601" i="11"/>
  <c r="D1618" i="11"/>
  <c r="D1635" i="11"/>
  <c r="D1652" i="11"/>
  <c r="D1669" i="11"/>
  <c r="D1686" i="11"/>
  <c r="D1703" i="11"/>
  <c r="D1720" i="11"/>
  <c r="D1729" i="11"/>
  <c r="D1746" i="11"/>
  <c r="D1763" i="11"/>
  <c r="D981" i="11"/>
  <c r="D1055" i="11"/>
  <c r="D1276" i="11"/>
  <c r="D1302" i="11"/>
  <c r="D1349" i="11"/>
  <c r="D1366" i="11"/>
  <c r="D1382" i="11"/>
  <c r="D1398" i="11"/>
  <c r="D1414" i="11"/>
  <c r="D1430" i="11"/>
  <c r="D1446" i="11"/>
  <c r="D1462" i="11"/>
  <c r="D1477" i="11"/>
  <c r="D1488" i="11"/>
  <c r="D1522" i="11"/>
  <c r="D1532" i="11"/>
  <c r="D1541" i="11"/>
  <c r="D1550" i="11"/>
  <c r="D1567" i="11"/>
  <c r="D1584" i="11"/>
  <c r="D1593" i="11"/>
  <c r="D1610" i="11"/>
  <c r="D1627" i="11"/>
  <c r="D1644" i="11"/>
  <c r="D1661" i="11"/>
  <c r="D1678" i="11"/>
  <c r="D1695" i="11"/>
  <c r="D1712" i="11"/>
  <c r="D1721" i="11"/>
  <c r="D1738" i="11"/>
  <c r="D1755" i="11"/>
  <c r="D1772" i="11"/>
  <c r="D1511" i="11"/>
  <c r="D1653" i="11"/>
  <c r="D1771" i="11"/>
  <c r="D1806" i="11"/>
  <c r="D1840" i="11"/>
  <c r="D1890" i="11"/>
  <c r="D1908" i="11"/>
  <c r="D1926" i="11"/>
  <c r="D1949" i="11"/>
  <c r="D1965" i="11"/>
  <c r="D1981" i="11"/>
  <c r="D2031" i="11"/>
  <c r="D2043" i="11"/>
  <c r="D2061" i="11"/>
  <c r="D2078" i="11"/>
  <c r="D2095" i="11"/>
  <c r="D2121" i="11"/>
  <c r="D2138" i="11"/>
  <c r="D2155" i="11"/>
  <c r="D2172" i="11"/>
  <c r="D2189" i="11"/>
  <c r="D2206" i="11"/>
  <c r="D2223" i="11"/>
  <c r="D2249" i="11"/>
  <c r="D2266" i="11"/>
  <c r="D2283" i="11"/>
  <c r="D2300" i="11"/>
  <c r="D2317" i="11"/>
  <c r="D2334" i="11"/>
  <c r="D2351" i="11"/>
  <c r="D2377" i="11"/>
  <c r="D2394" i="11"/>
  <c r="D2411" i="11"/>
  <c r="D2428" i="11"/>
  <c r="D2445" i="11"/>
  <c r="D2462" i="11"/>
  <c r="D2479" i="11"/>
  <c r="D2505" i="11"/>
  <c r="D2522" i="11"/>
  <c r="D2539" i="11"/>
  <c r="D1243" i="11"/>
  <c r="D1523" i="11"/>
  <c r="D1841" i="11"/>
  <c r="D1866" i="11"/>
  <c r="D2021" i="11"/>
  <c r="D2053" i="11"/>
  <c r="D2070" i="11"/>
  <c r="D2087" i="11"/>
  <c r="D2113" i="11"/>
  <c r="D2130" i="11"/>
  <c r="D2147" i="11"/>
  <c r="D2164" i="11"/>
  <c r="D2181" i="11"/>
  <c r="D2198" i="11"/>
  <c r="D2215" i="11"/>
  <c r="D2241" i="11"/>
  <c r="D2258" i="11"/>
  <c r="D2275" i="11"/>
  <c r="D2292" i="11"/>
  <c r="D2309" i="11"/>
  <c r="D2326" i="11"/>
  <c r="D2343" i="11"/>
  <c r="D2369" i="11"/>
  <c r="D2386" i="11"/>
  <c r="D2403" i="11"/>
  <c r="D2420" i="11"/>
  <c r="D2437" i="11"/>
  <c r="D2454" i="11"/>
  <c r="D2471" i="11"/>
  <c r="D2497" i="11"/>
  <c r="D2514" i="11"/>
  <c r="D2531" i="11"/>
  <c r="D2548" i="11"/>
  <c r="D2556" i="11"/>
  <c r="D2564" i="11"/>
  <c r="D2572" i="11"/>
  <c r="D2580" i="11"/>
  <c r="D2588" i="11"/>
  <c r="D2596" i="11"/>
  <c r="D2604" i="11"/>
  <c r="D1670" i="11"/>
  <c r="D1847" i="11"/>
  <c r="D1891" i="11"/>
  <c r="D1909" i="11"/>
  <c r="D1932" i="11"/>
  <c r="D1950" i="11"/>
  <c r="D1966" i="11"/>
  <c r="D1982" i="11"/>
  <c r="D1997" i="11"/>
  <c r="D2062" i="11"/>
  <c r="D2079" i="11"/>
  <c r="D2105" i="11"/>
  <c r="D2122" i="11"/>
  <c r="D2139" i="11"/>
  <c r="D2156" i="11"/>
  <c r="D2173" i="11"/>
  <c r="D2190" i="11"/>
  <c r="D2207" i="11"/>
  <c r="D2233" i="11"/>
  <c r="D2250" i="11"/>
  <c r="D2267" i="11"/>
  <c r="D2284" i="11"/>
  <c r="D2301" i="11"/>
  <c r="D2318" i="11"/>
  <c r="D2335" i="11"/>
  <c r="D2361" i="11"/>
  <c r="D2378" i="11"/>
  <c r="D2395" i="11"/>
  <c r="D2412" i="11"/>
  <c r="D2429" i="11"/>
  <c r="D2446" i="11"/>
  <c r="D2463" i="11"/>
  <c r="D2489" i="11"/>
  <c r="D2506" i="11"/>
  <c r="D2523" i="11"/>
  <c r="D2540" i="11"/>
  <c r="D1780" i="11"/>
  <c r="D1814" i="11"/>
  <c r="D2011" i="11"/>
  <c r="D2022" i="11"/>
  <c r="D2045" i="11"/>
  <c r="D2054" i="11"/>
  <c r="D2071" i="11"/>
  <c r="D2097" i="11"/>
  <c r="D2114" i="11"/>
  <c r="D2131" i="11"/>
  <c r="D2148" i="11"/>
  <c r="D2165" i="11"/>
  <c r="D2182" i="11"/>
  <c r="D2199" i="11"/>
  <c r="D2225" i="11"/>
  <c r="D2242" i="11"/>
  <c r="D2259" i="11"/>
  <c r="D2276" i="11"/>
  <c r="D2293" i="11"/>
  <c r="D2310" i="11"/>
  <c r="D2327" i="11"/>
  <c r="D2353" i="11"/>
  <c r="D2370" i="11"/>
  <c r="D2387" i="11"/>
  <c r="D2404" i="11"/>
  <c r="D2421" i="11"/>
  <c r="D2438" i="11"/>
  <c r="D2455" i="11"/>
  <c r="D2481" i="11"/>
  <c r="D2498" i="11"/>
  <c r="D2515" i="11"/>
  <c r="D2532" i="11"/>
  <c r="D2549" i="11"/>
  <c r="D2557" i="11"/>
  <c r="D2565" i="11"/>
  <c r="D2573" i="11"/>
  <c r="D2581" i="11"/>
  <c r="D1327" i="11"/>
  <c r="D1687" i="11"/>
  <c r="D1848" i="11"/>
  <c r="D1873" i="11"/>
  <c r="D1892" i="11"/>
  <c r="D1915" i="11"/>
  <c r="D1933" i="11"/>
  <c r="D1951" i="11"/>
  <c r="D1967" i="11"/>
  <c r="D1983" i="11"/>
  <c r="D1998" i="11"/>
  <c r="D2035" i="11"/>
  <c r="D2063" i="11"/>
  <c r="D2089" i="11"/>
  <c r="D2106" i="11"/>
  <c r="D2123" i="11"/>
  <c r="D2140" i="11"/>
  <c r="D2157" i="11"/>
  <c r="D2174" i="11"/>
  <c r="D2191" i="11"/>
  <c r="D2217" i="11"/>
  <c r="D2234" i="11"/>
  <c r="D2251" i="11"/>
  <c r="D2268" i="11"/>
  <c r="D2285" i="11"/>
  <c r="D2302" i="11"/>
  <c r="D2319" i="11"/>
  <c r="D2345" i="11"/>
  <c r="D2362" i="11"/>
  <c r="D2379" i="11"/>
  <c r="D2396" i="11"/>
  <c r="D2413" i="11"/>
  <c r="D2430" i="11"/>
  <c r="D2447" i="11"/>
  <c r="D2473" i="11"/>
  <c r="D2490" i="11"/>
  <c r="D2507" i="11"/>
  <c r="D2524" i="11"/>
  <c r="D2541" i="11"/>
  <c r="D1559" i="11"/>
  <c r="D1781" i="11"/>
  <c r="D1815" i="11"/>
  <c r="D1849" i="11"/>
  <c r="D2023" i="11"/>
  <c r="D2046" i="11"/>
  <c r="D2055" i="11"/>
  <c r="D2081" i="11"/>
  <c r="D2098" i="11"/>
  <c r="D2115" i="11"/>
  <c r="D2132" i="11"/>
  <c r="D2149" i="11"/>
  <c r="D2166" i="11"/>
  <c r="D2183" i="11"/>
  <c r="D2209" i="11"/>
  <c r="D2226" i="11"/>
  <c r="D2243" i="11"/>
  <c r="D2260" i="11"/>
  <c r="D2277" i="11"/>
  <c r="D2294" i="11"/>
  <c r="D2311" i="11"/>
  <c r="D2337" i="11"/>
  <c r="D2354" i="11"/>
  <c r="D2371" i="11"/>
  <c r="D2388" i="11"/>
  <c r="D2405" i="11"/>
  <c r="D2422" i="11"/>
  <c r="D2439" i="11"/>
  <c r="D2465" i="11"/>
  <c r="D2482" i="11"/>
  <c r="D2499" i="11"/>
  <c r="D2516" i="11"/>
  <c r="D2533" i="11"/>
  <c r="D1704" i="11"/>
  <c r="D1788" i="11"/>
  <c r="D1822" i="11"/>
  <c r="D1874" i="11"/>
  <c r="D1898" i="11"/>
  <c r="D1916" i="11"/>
  <c r="D1934" i="11"/>
  <c r="D1987" i="11"/>
  <c r="D1999" i="11"/>
  <c r="D2013" i="11"/>
  <c r="D2073" i="11"/>
  <c r="D2090" i="11"/>
  <c r="D2107" i="11"/>
  <c r="D2124" i="11"/>
  <c r="D2141" i="11"/>
  <c r="D2158" i="11"/>
  <c r="D2175" i="11"/>
  <c r="D2201" i="11"/>
  <c r="D2218" i="11"/>
  <c r="D2235" i="11"/>
  <c r="D2252" i="11"/>
  <c r="D2269" i="11"/>
  <c r="D2286" i="11"/>
  <c r="D2303" i="11"/>
  <c r="D2329" i="11"/>
  <c r="D2346" i="11"/>
  <c r="D2363" i="11"/>
  <c r="D2380" i="11"/>
  <c r="D2397" i="11"/>
  <c r="D2414" i="11"/>
  <c r="D2431" i="11"/>
  <c r="D2457" i="11"/>
  <c r="D2474" i="11"/>
  <c r="D2491" i="11"/>
  <c r="D1576" i="11"/>
  <c r="D1713" i="11"/>
  <c r="D2037" i="11"/>
  <c r="D2047" i="11"/>
  <c r="D2065" i="11"/>
  <c r="D2082" i="11"/>
  <c r="D2099" i="11"/>
  <c r="D2116" i="11"/>
  <c r="D2133" i="11"/>
  <c r="D2150" i="11"/>
  <c r="D2167" i="11"/>
  <c r="D2193" i="11"/>
  <c r="D2210" i="11"/>
  <c r="D2227" i="11"/>
  <c r="D2244" i="11"/>
  <c r="D2261" i="11"/>
  <c r="D2278" i="11"/>
  <c r="D2295" i="11"/>
  <c r="D2321" i="11"/>
  <c r="D2338" i="11"/>
  <c r="D2355" i="11"/>
  <c r="D2372" i="11"/>
  <c r="D2389" i="11"/>
  <c r="D2406" i="11"/>
  <c r="D2423" i="11"/>
  <c r="D2449" i="11"/>
  <c r="D2466" i="11"/>
  <c r="D2483" i="11"/>
  <c r="D2500" i="11"/>
  <c r="D2517" i="11"/>
  <c r="D2534" i="11"/>
  <c r="D2551" i="11"/>
  <c r="D2559" i="11"/>
  <c r="D2567" i="11"/>
  <c r="D2575" i="11"/>
  <c r="D2583" i="11"/>
  <c r="D2591" i="11"/>
  <c r="D2599" i="11"/>
  <c r="D2607" i="11"/>
  <c r="D2615" i="11"/>
  <c r="D1585" i="11"/>
  <c r="D1789" i="11"/>
  <c r="D1823" i="11"/>
  <c r="D1875" i="11"/>
  <c r="D1899" i="11"/>
  <c r="D1917" i="11"/>
  <c r="D1940" i="11"/>
  <c r="D1957" i="11"/>
  <c r="D1973" i="11"/>
  <c r="D2003" i="11"/>
  <c r="D2014" i="11"/>
  <c r="D2057" i="11"/>
  <c r="D2074" i="11"/>
  <c r="D2091" i="11"/>
  <c r="D2108" i="11"/>
  <c r="D2125" i="11"/>
  <c r="D2142" i="11"/>
  <c r="D2159" i="11"/>
  <c r="D2185" i="11"/>
  <c r="D2202" i="11"/>
  <c r="D2219" i="11"/>
  <c r="D2236" i="11"/>
  <c r="D2253" i="11"/>
  <c r="D2270" i="11"/>
  <c r="D2287" i="11"/>
  <c r="D2313" i="11"/>
  <c r="D2330" i="11"/>
  <c r="D2347" i="11"/>
  <c r="D2364" i="11"/>
  <c r="D2381" i="11"/>
  <c r="D2398" i="11"/>
  <c r="D2415" i="11"/>
  <c r="D2441" i="11"/>
  <c r="D2458" i="11"/>
  <c r="D1730" i="11"/>
  <c r="D1856" i="11"/>
  <c r="D1880" i="11"/>
  <c r="D1989" i="11"/>
  <c r="D2027" i="11"/>
  <c r="D2038" i="11"/>
  <c r="D2066" i="11"/>
  <c r="D2083" i="11"/>
  <c r="D2100" i="11"/>
  <c r="D2117" i="11"/>
  <c r="D2134" i="11"/>
  <c r="D2151" i="11"/>
  <c r="D2177" i="11"/>
  <c r="D2194" i="11"/>
  <c r="D2211" i="11"/>
  <c r="D2228" i="11"/>
  <c r="D2245" i="11"/>
  <c r="D2262" i="11"/>
  <c r="D2279" i="11"/>
  <c r="D2305" i="11"/>
  <c r="D2322" i="11"/>
  <c r="D2339" i="11"/>
  <c r="D2356" i="11"/>
  <c r="D2373" i="11"/>
  <c r="D2390" i="11"/>
  <c r="D1602" i="11"/>
  <c r="D1857" i="11"/>
  <c r="D1900" i="11"/>
  <c r="D1923" i="11"/>
  <c r="D1941" i="11"/>
  <c r="D1958" i="11"/>
  <c r="D1974" i="11"/>
  <c r="D2015" i="11"/>
  <c r="D2049" i="11"/>
  <c r="D2058" i="11"/>
  <c r="D2075" i="11"/>
  <c r="D2092" i="11"/>
  <c r="D2109" i="11"/>
  <c r="D2126" i="11"/>
  <c r="D2143" i="11"/>
  <c r="D2169" i="11"/>
  <c r="D2186" i="11"/>
  <c r="D2203" i="11"/>
  <c r="D2220" i="11"/>
  <c r="D2237" i="11"/>
  <c r="D2254" i="11"/>
  <c r="D2271" i="11"/>
  <c r="D2297" i="11"/>
  <c r="D2314" i="11"/>
  <c r="D2331" i="11"/>
  <c r="D2348" i="11"/>
  <c r="D2365" i="11"/>
  <c r="D2382" i="11"/>
  <c r="D2399" i="11"/>
  <c r="D2425" i="11"/>
  <c r="D728" i="11"/>
  <c r="D1747" i="11"/>
  <c r="D1797" i="11"/>
  <c r="D1831" i="11"/>
  <c r="D1882" i="11"/>
  <c r="D1990" i="11"/>
  <c r="D2005" i="11"/>
  <c r="D2039" i="11"/>
  <c r="D2067" i="11"/>
  <c r="D2084" i="11"/>
  <c r="D2101" i="11"/>
  <c r="D2118" i="11"/>
  <c r="D2135" i="11"/>
  <c r="D2161" i="11"/>
  <c r="D2178" i="11"/>
  <c r="D2195" i="11"/>
  <c r="D2212" i="11"/>
  <c r="D2229" i="11"/>
  <c r="D2246" i="11"/>
  <c r="D2263" i="11"/>
  <c r="D2289" i="11"/>
  <c r="D2306" i="11"/>
  <c r="D2323" i="11"/>
  <c r="D2340" i="11"/>
  <c r="D2357" i="11"/>
  <c r="D1619" i="11"/>
  <c r="D1754" i="11"/>
  <c r="D1858" i="11"/>
  <c r="D1906" i="11"/>
  <c r="D1924" i="11"/>
  <c r="D1942" i="11"/>
  <c r="D1959" i="11"/>
  <c r="D1975" i="11"/>
  <c r="D2029" i="11"/>
  <c r="D2050" i="11"/>
  <c r="D2059" i="11"/>
  <c r="D2076" i="11"/>
  <c r="D2093" i="11"/>
  <c r="D2110" i="11"/>
  <c r="D2127" i="11"/>
  <c r="D2153" i="11"/>
  <c r="D2170" i="11"/>
  <c r="D2187" i="11"/>
  <c r="D2204" i="11"/>
  <c r="D2221" i="11"/>
  <c r="D2238" i="11"/>
  <c r="D2255" i="11"/>
  <c r="D2281" i="11"/>
  <c r="D2298" i="11"/>
  <c r="D2315" i="11"/>
  <c r="D2332" i="11"/>
  <c r="D2349" i="11"/>
  <c r="D1798" i="11"/>
  <c r="D1832" i="11"/>
  <c r="D1863" i="11"/>
  <c r="D1883" i="11"/>
  <c r="D1991" i="11"/>
  <c r="D2006" i="11"/>
  <c r="D2068" i="11"/>
  <c r="D2085" i="11"/>
  <c r="D2102" i="11"/>
  <c r="D2119" i="11"/>
  <c r="D2145" i="11"/>
  <c r="D2162" i="11"/>
  <c r="D2179" i="11"/>
  <c r="D2196" i="11"/>
  <c r="D2213" i="11"/>
  <c r="D2230" i="11"/>
  <c r="D2247" i="11"/>
  <c r="D2273" i="11"/>
  <c r="D2290" i="11"/>
  <c r="D2307" i="11"/>
  <c r="D1063" i="11"/>
  <c r="D1490" i="11"/>
  <c r="D1636" i="11"/>
  <c r="D1805" i="11"/>
  <c r="D1839" i="11"/>
  <c r="D1864" i="11"/>
  <c r="D1907" i="11"/>
  <c r="D1925" i="11"/>
  <c r="D1943" i="11"/>
  <c r="D2019" i="11"/>
  <c r="D2030" i="11"/>
  <c r="D2051" i="11"/>
  <c r="D2060" i="11"/>
  <c r="D2077" i="11"/>
  <c r="D2094" i="11"/>
  <c r="D2111" i="11"/>
  <c r="D2137" i="11"/>
  <c r="D2154" i="11"/>
  <c r="D2171" i="11"/>
  <c r="D2188" i="11"/>
  <c r="D2205" i="11"/>
  <c r="D2222" i="11"/>
  <c r="D2239" i="11"/>
  <c r="D2265" i="11"/>
  <c r="D2282" i="11"/>
  <c r="D2299" i="11"/>
  <c r="D1501" i="11"/>
  <c r="D1764" i="11"/>
  <c r="D1865" i="11"/>
  <c r="D1889" i="11"/>
  <c r="D1995" i="11"/>
  <c r="D2007" i="11"/>
  <c r="D2069" i="11"/>
  <c r="D2086" i="11"/>
  <c r="D2103" i="11"/>
  <c r="D2129" i="11"/>
  <c r="D2146" i="11"/>
  <c r="D2163" i="11"/>
  <c r="D2180" i="11"/>
  <c r="D2197" i="11"/>
  <c r="D2214" i="11"/>
  <c r="D2231" i="11"/>
  <c r="D2257" i="11"/>
  <c r="D2308" i="11"/>
  <c r="D2410" i="11"/>
  <c r="D2475" i="11"/>
  <c r="D2492" i="11"/>
  <c r="D2562" i="11"/>
  <c r="D2576" i="11"/>
  <c r="D2587" i="11"/>
  <c r="D2600" i="11"/>
  <c r="D2621" i="11"/>
  <c r="D2638" i="11"/>
  <c r="D2655" i="11"/>
  <c r="D2672" i="11"/>
  <c r="D2689" i="11"/>
  <c r="D2706" i="11"/>
  <c r="D2723" i="11"/>
  <c r="D2732" i="11"/>
  <c r="D2749" i="11"/>
  <c r="D2766" i="11"/>
  <c r="D2783" i="11"/>
  <c r="D2800" i="11"/>
  <c r="D2817" i="11"/>
  <c r="D2834" i="11"/>
  <c r="D2851" i="11"/>
  <c r="D2860" i="11"/>
  <c r="D2877" i="11"/>
  <c r="D2894" i="11"/>
  <c r="D2911" i="11"/>
  <c r="D2928" i="11"/>
  <c r="D2945" i="11"/>
  <c r="D2962" i="11"/>
  <c r="D2979" i="11"/>
  <c r="D2988" i="11"/>
  <c r="D3005" i="11"/>
  <c r="D3022" i="11"/>
  <c r="D3039" i="11"/>
  <c r="D3047" i="11"/>
  <c r="D3055" i="11"/>
  <c r="D3063" i="11"/>
  <c r="D3071" i="11"/>
  <c r="D3079" i="11"/>
  <c r="D3087" i="11"/>
  <c r="D3095" i="11"/>
  <c r="D3103" i="11"/>
  <c r="D3111" i="11"/>
  <c r="D3119" i="11"/>
  <c r="D3127" i="11"/>
  <c r="D3135" i="11"/>
  <c r="D3143" i="11"/>
  <c r="D3151" i="11"/>
  <c r="D3159" i="11"/>
  <c r="D3167" i="11"/>
  <c r="D3175" i="11"/>
  <c r="D3183" i="11"/>
  <c r="D3191" i="11"/>
  <c r="D3199" i="11"/>
  <c r="D3207" i="11"/>
  <c r="D3215" i="11"/>
  <c r="D3223" i="11"/>
  <c r="D3231" i="11"/>
  <c r="D3239" i="11"/>
  <c r="D3247" i="11"/>
  <c r="D3255" i="11"/>
  <c r="D3263" i="11"/>
  <c r="D3271" i="11"/>
  <c r="D3279" i="11"/>
  <c r="D3287" i="11"/>
  <c r="D3295" i="11"/>
  <c r="D3303" i="11"/>
  <c r="D3311" i="11"/>
  <c r="D3319" i="11"/>
  <c r="D3327" i="11"/>
  <c r="D3335" i="11"/>
  <c r="D3343" i="11"/>
  <c r="D3351" i="11"/>
  <c r="D3359" i="11"/>
  <c r="D3367" i="11"/>
  <c r="D3375" i="11"/>
  <c r="D3383" i="11"/>
  <c r="D3391" i="11"/>
  <c r="D3399" i="11"/>
  <c r="D3407" i="11"/>
  <c r="D3415" i="11"/>
  <c r="D3423" i="11"/>
  <c r="D3431" i="11"/>
  <c r="D3439" i="11"/>
  <c r="D3447" i="11"/>
  <c r="D3455" i="11"/>
  <c r="D3463" i="11"/>
  <c r="D3471" i="11"/>
  <c r="D3479" i="11"/>
  <c r="D3487" i="11"/>
  <c r="D3495" i="11"/>
  <c r="D3503" i="11"/>
  <c r="D3511" i="11"/>
  <c r="D3519" i="11"/>
  <c r="D3527" i="11"/>
  <c r="D3535" i="11"/>
  <c r="D3543" i="11"/>
  <c r="D3551" i="11"/>
  <c r="D3559" i="11"/>
  <c r="D3567" i="11"/>
  <c r="D2358" i="11"/>
  <c r="D2385" i="11"/>
  <c r="D2435" i="11"/>
  <c r="D2453" i="11"/>
  <c r="D2508" i="11"/>
  <c r="D2521" i="11"/>
  <c r="D2537" i="11"/>
  <c r="D2316" i="11"/>
  <c r="D2391" i="11"/>
  <c r="D2476" i="11"/>
  <c r="D2493" i="11"/>
  <c r="D2509" i="11"/>
  <c r="D2552" i="11"/>
  <c r="D2563" i="11"/>
  <c r="D2577" i="11"/>
  <c r="D2590" i="11"/>
  <c r="D2601" i="11"/>
  <c r="D2612" i="11"/>
  <c r="D2622" i="11"/>
  <c r="D2639" i="11"/>
  <c r="D2656" i="11"/>
  <c r="D2673" i="11"/>
  <c r="D2690" i="11"/>
  <c r="D2707" i="11"/>
  <c r="D2716" i="11"/>
  <c r="D2733" i="11"/>
  <c r="D2750" i="11"/>
  <c r="D2767" i="11"/>
  <c r="D2784" i="11"/>
  <c r="D2801" i="11"/>
  <c r="D2818" i="11"/>
  <c r="D2835" i="11"/>
  <c r="D2844" i="11"/>
  <c r="D2861" i="11"/>
  <c r="D2878" i="11"/>
  <c r="D2895" i="11"/>
  <c r="D2912" i="11"/>
  <c r="D2929" i="11"/>
  <c r="D2946" i="11"/>
  <c r="D2963" i="11"/>
  <c r="D2972" i="11"/>
  <c r="D2989" i="11"/>
  <c r="D3006" i="11"/>
  <c r="D3023" i="11"/>
  <c r="D3040" i="11"/>
  <c r="D3048" i="11"/>
  <c r="D3056" i="11"/>
  <c r="D3064" i="11"/>
  <c r="D3072" i="11"/>
  <c r="D3080" i="11"/>
  <c r="D3088" i="11"/>
  <c r="D3096" i="11"/>
  <c r="D3104" i="11"/>
  <c r="D3112" i="11"/>
  <c r="D3120" i="11"/>
  <c r="D3128" i="11"/>
  <c r="D3136" i="11"/>
  <c r="D3144" i="11"/>
  <c r="D3152" i="11"/>
  <c r="D3160" i="11"/>
  <c r="D3168" i="11"/>
  <c r="D3176" i="11"/>
  <c r="D3184" i="11"/>
  <c r="D3192" i="11"/>
  <c r="D3200" i="11"/>
  <c r="D3208" i="11"/>
  <c r="D3216" i="11"/>
  <c r="D3224" i="11"/>
  <c r="D3232" i="11"/>
  <c r="D3240" i="11"/>
  <c r="D3248" i="11"/>
  <c r="D3256" i="11"/>
  <c r="D3264" i="11"/>
  <c r="D3272" i="11"/>
  <c r="D3280" i="11"/>
  <c r="D3288" i="11"/>
  <c r="D3296" i="11"/>
  <c r="D3304" i="11"/>
  <c r="D3312" i="11"/>
  <c r="D3320" i="11"/>
  <c r="D3328" i="11"/>
  <c r="D3336" i="11"/>
  <c r="D3344" i="11"/>
  <c r="D3352" i="11"/>
  <c r="D3360" i="11"/>
  <c r="D3368" i="11"/>
  <c r="D3376" i="11"/>
  <c r="D3384" i="11"/>
  <c r="D3392" i="11"/>
  <c r="D3400" i="11"/>
  <c r="D2359" i="11"/>
  <c r="D2417" i="11"/>
  <c r="D2436" i="11"/>
  <c r="D2459" i="11"/>
  <c r="D2525" i="11"/>
  <c r="D2538" i="11"/>
  <c r="D2566" i="11"/>
  <c r="D2613" i="11"/>
  <c r="D2631" i="11"/>
  <c r="D2648" i="11"/>
  <c r="D2665" i="11"/>
  <c r="D2682" i="11"/>
  <c r="D2699" i="11"/>
  <c r="D2708" i="11"/>
  <c r="D2725" i="11"/>
  <c r="D2742" i="11"/>
  <c r="D2759" i="11"/>
  <c r="D2776" i="11"/>
  <c r="D2793" i="11"/>
  <c r="D2810" i="11"/>
  <c r="D2827" i="11"/>
  <c r="D2836" i="11"/>
  <c r="D2853" i="11"/>
  <c r="D2870" i="11"/>
  <c r="D2887" i="11"/>
  <c r="D2904" i="11"/>
  <c r="D2921" i="11"/>
  <c r="D2938" i="11"/>
  <c r="D2955" i="11"/>
  <c r="D2964" i="11"/>
  <c r="D2981" i="11"/>
  <c r="D2998" i="11"/>
  <c r="D3015" i="11"/>
  <c r="D3032" i="11"/>
  <c r="D2324" i="11"/>
  <c r="D2366" i="11"/>
  <c r="D2477" i="11"/>
  <c r="D2494" i="11"/>
  <c r="D2510" i="11"/>
  <c r="D2526" i="11"/>
  <c r="D2553" i="11"/>
  <c r="D2578" i="11"/>
  <c r="D2602" i="11"/>
  <c r="D2623" i="11"/>
  <c r="D2640" i="11"/>
  <c r="D2657" i="11"/>
  <c r="D2674" i="11"/>
  <c r="D2691" i="11"/>
  <c r="D2700" i="11"/>
  <c r="D2717" i="11"/>
  <c r="D2734" i="11"/>
  <c r="D2751" i="11"/>
  <c r="D2768" i="11"/>
  <c r="D2785" i="11"/>
  <c r="D2802" i="11"/>
  <c r="D2819" i="11"/>
  <c r="D2828" i="11"/>
  <c r="D2845" i="11"/>
  <c r="D2862" i="11"/>
  <c r="D2879" i="11"/>
  <c r="D2896" i="11"/>
  <c r="D2913" i="11"/>
  <c r="D2930" i="11"/>
  <c r="D2947" i="11"/>
  <c r="D2956" i="11"/>
  <c r="D2973" i="11"/>
  <c r="D2990" i="11"/>
  <c r="D3007" i="11"/>
  <c r="D3024" i="11"/>
  <c r="D3041" i="11"/>
  <c r="D3049" i="11"/>
  <c r="D3057" i="11"/>
  <c r="D3065" i="11"/>
  <c r="D3073" i="11"/>
  <c r="D3081" i="11"/>
  <c r="D3089" i="11"/>
  <c r="D3097" i="11"/>
  <c r="D3105" i="11"/>
  <c r="D3113" i="11"/>
  <c r="D3121" i="11"/>
  <c r="D3129" i="11"/>
  <c r="D3137" i="11"/>
  <c r="D3145" i="11"/>
  <c r="D3153" i="11"/>
  <c r="D3161" i="11"/>
  <c r="D3169" i="11"/>
  <c r="D3177" i="11"/>
  <c r="D2393" i="11"/>
  <c r="D2418" i="11"/>
  <c r="D2442" i="11"/>
  <c r="D2460" i="11"/>
  <c r="D2592" i="11"/>
  <c r="D2614" i="11"/>
  <c r="D2632" i="11"/>
  <c r="D2649" i="11"/>
  <c r="D2666" i="11"/>
  <c r="D2683" i="11"/>
  <c r="D2692" i="11"/>
  <c r="D2709" i="11"/>
  <c r="D2726" i="11"/>
  <c r="D2743" i="11"/>
  <c r="D2760" i="11"/>
  <c r="D2777" i="11"/>
  <c r="D2794" i="11"/>
  <c r="D2811" i="11"/>
  <c r="D2820" i="11"/>
  <c r="D2837" i="11"/>
  <c r="D2854" i="11"/>
  <c r="D2871" i="11"/>
  <c r="D2888" i="11"/>
  <c r="D2905" i="11"/>
  <c r="D2922" i="11"/>
  <c r="D2939" i="11"/>
  <c r="D2948" i="11"/>
  <c r="D2965" i="11"/>
  <c r="D2982" i="11"/>
  <c r="D2999" i="11"/>
  <c r="D3016" i="11"/>
  <c r="D3033" i="11"/>
  <c r="D2325" i="11"/>
  <c r="D2367" i="11"/>
  <c r="D2478" i="11"/>
  <c r="D2495" i="11"/>
  <c r="D2511" i="11"/>
  <c r="D2527" i="11"/>
  <c r="D2542" i="11"/>
  <c r="D2554" i="11"/>
  <c r="D2568" i="11"/>
  <c r="D2579" i="11"/>
  <c r="D2603" i="11"/>
  <c r="D2624" i="11"/>
  <c r="D2641" i="11"/>
  <c r="D2658" i="11"/>
  <c r="D2675" i="11"/>
  <c r="D2684" i="11"/>
  <c r="D2701" i="11"/>
  <c r="D2718" i="11"/>
  <c r="D2735" i="11"/>
  <c r="D2752" i="11"/>
  <c r="D2769" i="11"/>
  <c r="D2786" i="11"/>
  <c r="D2803" i="11"/>
  <c r="D2812" i="11"/>
  <c r="D2829" i="11"/>
  <c r="D2846" i="11"/>
  <c r="D2863" i="11"/>
  <c r="D2880" i="11"/>
  <c r="D2897" i="11"/>
  <c r="D2914" i="11"/>
  <c r="D2931" i="11"/>
  <c r="D2940" i="11"/>
  <c r="D2957" i="11"/>
  <c r="D2974" i="11"/>
  <c r="D2991" i="11"/>
  <c r="D2419" i="11"/>
  <c r="D2443" i="11"/>
  <c r="D2461" i="11"/>
  <c r="D2543" i="11"/>
  <c r="D2582" i="11"/>
  <c r="D2593" i="11"/>
  <c r="D2605" i="11"/>
  <c r="D2633" i="11"/>
  <c r="D2650" i="11"/>
  <c r="D2667" i="11"/>
  <c r="D2676" i="11"/>
  <c r="D2693" i="11"/>
  <c r="D2710" i="11"/>
  <c r="D2727" i="11"/>
  <c r="D2744" i="11"/>
  <c r="D2761" i="11"/>
  <c r="D2778" i="11"/>
  <c r="D2795" i="11"/>
  <c r="D2804" i="11"/>
  <c r="D2821" i="11"/>
  <c r="D2838" i="11"/>
  <c r="D2855" i="11"/>
  <c r="D2872" i="11"/>
  <c r="D2889" i="11"/>
  <c r="D2906" i="11"/>
  <c r="D2923" i="11"/>
  <c r="D2932" i="11"/>
  <c r="D2949" i="11"/>
  <c r="D2966" i="11"/>
  <c r="D2983" i="11"/>
  <c r="D3000" i="11"/>
  <c r="D3017" i="11"/>
  <c r="D3034" i="11"/>
  <c r="D2333" i="11"/>
  <c r="D2374" i="11"/>
  <c r="D2555" i="11"/>
  <c r="D2569" i="11"/>
  <c r="D2606" i="11"/>
  <c r="D2616" i="11"/>
  <c r="D2625" i="11"/>
  <c r="D2642" i="11"/>
  <c r="D2659" i="11"/>
  <c r="D2668" i="11"/>
  <c r="D2685" i="11"/>
  <c r="D2702" i="11"/>
  <c r="D2719" i="11"/>
  <c r="D2736" i="11"/>
  <c r="D2753" i="11"/>
  <c r="D2770" i="11"/>
  <c r="D2787" i="11"/>
  <c r="D2796" i="11"/>
  <c r="D2813" i="11"/>
  <c r="D2830" i="11"/>
  <c r="D2847" i="11"/>
  <c r="D2864" i="11"/>
  <c r="D2881" i="11"/>
  <c r="D2898" i="11"/>
  <c r="D2915" i="11"/>
  <c r="D2924" i="11"/>
  <c r="D2941" i="11"/>
  <c r="D2958" i="11"/>
  <c r="D2975" i="11"/>
  <c r="D2992" i="11"/>
  <c r="D3009" i="11"/>
  <c r="D3026" i="11"/>
  <c r="D3043" i="11"/>
  <c r="D3051" i="11"/>
  <c r="D3059" i="11"/>
  <c r="D3067" i="11"/>
  <c r="D3075" i="11"/>
  <c r="D2401" i="11"/>
  <c r="D2444" i="11"/>
  <c r="D2467" i="11"/>
  <c r="D2484" i="11"/>
  <c r="D2513" i="11"/>
  <c r="D2529" i="11"/>
  <c r="D2558" i="11"/>
  <c r="D2594" i="11"/>
  <c r="D2634" i="11"/>
  <c r="D2651" i="11"/>
  <c r="D2660" i="11"/>
  <c r="D2677" i="11"/>
  <c r="D2694" i="11"/>
  <c r="D2711" i="11"/>
  <c r="D2728" i="11"/>
  <c r="D2745" i="11"/>
  <c r="D2762" i="11"/>
  <c r="D2779" i="11"/>
  <c r="D2788" i="11"/>
  <c r="D2805" i="11"/>
  <c r="D2822" i="11"/>
  <c r="D2839" i="11"/>
  <c r="D2856" i="11"/>
  <c r="D2873" i="11"/>
  <c r="D2341" i="11"/>
  <c r="D2375" i="11"/>
  <c r="D2426" i="11"/>
  <c r="D2501" i="11"/>
  <c r="D2545" i="11"/>
  <c r="D2570" i="11"/>
  <c r="D2584" i="11"/>
  <c r="D2617" i="11"/>
  <c r="D2626" i="11"/>
  <c r="D2643" i="11"/>
  <c r="D2652" i="11"/>
  <c r="D2669" i="11"/>
  <c r="D2686" i="11"/>
  <c r="D2703" i="11"/>
  <c r="D2720" i="11"/>
  <c r="D2737" i="11"/>
  <c r="D2754" i="11"/>
  <c r="D2771" i="11"/>
  <c r="D2780" i="11"/>
  <c r="D2797" i="11"/>
  <c r="D2814" i="11"/>
  <c r="D2831" i="11"/>
  <c r="D2848" i="11"/>
  <c r="D2865" i="11"/>
  <c r="D2882" i="11"/>
  <c r="D2899" i="11"/>
  <c r="D2908" i="11"/>
  <c r="D2925" i="11"/>
  <c r="D2942" i="11"/>
  <c r="D2959" i="11"/>
  <c r="D2402" i="11"/>
  <c r="D2450" i="11"/>
  <c r="D2468" i="11"/>
  <c r="D2485" i="11"/>
  <c r="D2530" i="11"/>
  <c r="D2595" i="11"/>
  <c r="D2608" i="11"/>
  <c r="D2635" i="11"/>
  <c r="D2644" i="11"/>
  <c r="D2661" i="11"/>
  <c r="D2678" i="11"/>
  <c r="D2695" i="11"/>
  <c r="D2712" i="11"/>
  <c r="D2729" i="11"/>
  <c r="D2746" i="11"/>
  <c r="D2763" i="11"/>
  <c r="D2772" i="11"/>
  <c r="D2789" i="11"/>
  <c r="D2806" i="11"/>
  <c r="D2823" i="11"/>
  <c r="D2840" i="11"/>
  <c r="D2857" i="11"/>
  <c r="D2874" i="11"/>
  <c r="D2891" i="11"/>
  <c r="D2900" i="11"/>
  <c r="D2917" i="11"/>
  <c r="D2934" i="11"/>
  <c r="D2274" i="11"/>
  <c r="D2342" i="11"/>
  <c r="D2407" i="11"/>
  <c r="D2427" i="11"/>
  <c r="D2502" i="11"/>
  <c r="D2518" i="11"/>
  <c r="D2546" i="11"/>
  <c r="D2560" i="11"/>
  <c r="D2571" i="11"/>
  <c r="D2585" i="11"/>
  <c r="D2597" i="11"/>
  <c r="D2618" i="11"/>
  <c r="D2627" i="11"/>
  <c r="D2636" i="11"/>
  <c r="D2653" i="11"/>
  <c r="D2670" i="11"/>
  <c r="D2687" i="11"/>
  <c r="D2704" i="11"/>
  <c r="D2721" i="11"/>
  <c r="D2738" i="11"/>
  <c r="D2755" i="11"/>
  <c r="D2764" i="11"/>
  <c r="D2781" i="11"/>
  <c r="D2798" i="11"/>
  <c r="D2815" i="11"/>
  <c r="D2832" i="11"/>
  <c r="D2849" i="11"/>
  <c r="D2451" i="11"/>
  <c r="D2469" i="11"/>
  <c r="D2486" i="11"/>
  <c r="D2574" i="11"/>
  <c r="D2598" i="11"/>
  <c r="D2609" i="11"/>
  <c r="D2628" i="11"/>
  <c r="D2645" i="11"/>
  <c r="D2662" i="11"/>
  <c r="D2679" i="11"/>
  <c r="D2696" i="11"/>
  <c r="D2713" i="11"/>
  <c r="D2730" i="11"/>
  <c r="D2747" i="11"/>
  <c r="D2756" i="11"/>
  <c r="D2773" i="11"/>
  <c r="D2790" i="11"/>
  <c r="D2807" i="11"/>
  <c r="D2824" i="11"/>
  <c r="D2841" i="11"/>
  <c r="D2291" i="11"/>
  <c r="D2350" i="11"/>
  <c r="D2383" i="11"/>
  <c r="D2409" i="11"/>
  <c r="D2433" i="11"/>
  <c r="D2503" i="11"/>
  <c r="D2519" i="11"/>
  <c r="D2535" i="11"/>
  <c r="D2547" i="11"/>
  <c r="D2561" i="11"/>
  <c r="D2586" i="11"/>
  <c r="D2619" i="11"/>
  <c r="D2637" i="11"/>
  <c r="D2654" i="11"/>
  <c r="D2671" i="11"/>
  <c r="D2688" i="11"/>
  <c r="D2705" i="11"/>
  <c r="D2722" i="11"/>
  <c r="D2739" i="11"/>
  <c r="D2748" i="11"/>
  <c r="D2765" i="11"/>
  <c r="D2782" i="11"/>
  <c r="D2799" i="11"/>
  <c r="D2816" i="11"/>
  <c r="D2833" i="11"/>
  <c r="D2452" i="11"/>
  <c r="D2758" i="11"/>
  <c r="D2826" i="11"/>
  <c r="D2867" i="11"/>
  <c r="D2916" i="11"/>
  <c r="D2936" i="11"/>
  <c r="D3038" i="11"/>
  <c r="D3053" i="11"/>
  <c r="D3068" i="11"/>
  <c r="D3082" i="11"/>
  <c r="D3093" i="11"/>
  <c r="D3106" i="11"/>
  <c r="D3140" i="11"/>
  <c r="D3163" i="11"/>
  <c r="D3173" i="11"/>
  <c r="D3412" i="11"/>
  <c r="D3429" i="11"/>
  <c r="D3446" i="11"/>
  <c r="D3472" i="11"/>
  <c r="D3489" i="11"/>
  <c r="D3506" i="11"/>
  <c r="D3523" i="11"/>
  <c r="D3540" i="11"/>
  <c r="D3557" i="11"/>
  <c r="D3574" i="11"/>
  <c r="D3582" i="11"/>
  <c r="D3590" i="11"/>
  <c r="D3598" i="11"/>
  <c r="D3606" i="11"/>
  <c r="D3614" i="11"/>
  <c r="D3622" i="11"/>
  <c r="D3630" i="11"/>
  <c r="D3638" i="11"/>
  <c r="D3646" i="11"/>
  <c r="D3654" i="11"/>
  <c r="D3662" i="11"/>
  <c r="D3670" i="11"/>
  <c r="D3678" i="11"/>
  <c r="D3686" i="11"/>
  <c r="D3694" i="11"/>
  <c r="D3702" i="11"/>
  <c r="D3710" i="11"/>
  <c r="D3718" i="11"/>
  <c r="D3726" i="11"/>
  <c r="D3734" i="11"/>
  <c r="D3742" i="11"/>
  <c r="D3750" i="11"/>
  <c r="D3758" i="11"/>
  <c r="D3766" i="11"/>
  <c r="D3774" i="11"/>
  <c r="D3782" i="11"/>
  <c r="D3790" i="11"/>
  <c r="D3798" i="11"/>
  <c r="D3806" i="11"/>
  <c r="D3814" i="11"/>
  <c r="D3822" i="11"/>
  <c r="D3830" i="11"/>
  <c r="D3838" i="11"/>
  <c r="D3846" i="11"/>
  <c r="D3854" i="11"/>
  <c r="D3862" i="11"/>
  <c r="D3870" i="11"/>
  <c r="D3878" i="11"/>
  <c r="D3886" i="11"/>
  <c r="D3894" i="11"/>
  <c r="D3902" i="11"/>
  <c r="D3910" i="11"/>
  <c r="D3918" i="11"/>
  <c r="D3926" i="11"/>
  <c r="D3934" i="11"/>
  <c r="D3942" i="11"/>
  <c r="D3950" i="11"/>
  <c r="D3958" i="11"/>
  <c r="D3966" i="11"/>
  <c r="D3974" i="11"/>
  <c r="D3982" i="11"/>
  <c r="D3990" i="11"/>
  <c r="D3998" i="11"/>
  <c r="D4006" i="11"/>
  <c r="D4014" i="11"/>
  <c r="D4022" i="11"/>
  <c r="D4030" i="11"/>
  <c r="D4038" i="11"/>
  <c r="D4046" i="11"/>
  <c r="D4054" i="11"/>
  <c r="D4062" i="11"/>
  <c r="D4070" i="11"/>
  <c r="D4078" i="11"/>
  <c r="D4086" i="11"/>
  <c r="D4094" i="11"/>
  <c r="D4102" i="11"/>
  <c r="D4110" i="11"/>
  <c r="D4118" i="11"/>
  <c r="D4126" i="11"/>
  <c r="D2470" i="11"/>
  <c r="D2629" i="11"/>
  <c r="D2697" i="11"/>
  <c r="D2868" i="11"/>
  <c r="D2893" i="11"/>
  <c r="D2937" i="11"/>
  <c r="D2977" i="11"/>
  <c r="D2994" i="11"/>
  <c r="D3010" i="11"/>
  <c r="D3025" i="11"/>
  <c r="D3083" i="11"/>
  <c r="D3117" i="11"/>
  <c r="D3130" i="11"/>
  <c r="D3185" i="11"/>
  <c r="D3194" i="11"/>
  <c r="D3203" i="11"/>
  <c r="D3212" i="11"/>
  <c r="D3221" i="11"/>
  <c r="D3230" i="11"/>
  <c r="D3249" i="11"/>
  <c r="D3258" i="11"/>
  <c r="D3267" i="11"/>
  <c r="D3276" i="11"/>
  <c r="D3285" i="11"/>
  <c r="D3294" i="11"/>
  <c r="D3313" i="11"/>
  <c r="D3322" i="11"/>
  <c r="D3331" i="11"/>
  <c r="D3340" i="11"/>
  <c r="D3349" i="11"/>
  <c r="D3358" i="11"/>
  <c r="D3377" i="11"/>
  <c r="D3386" i="11"/>
  <c r="D3395" i="11"/>
  <c r="D3404" i="11"/>
  <c r="D3421" i="11"/>
  <c r="D3438" i="11"/>
  <c r="D3464" i="11"/>
  <c r="D3481" i="11"/>
  <c r="D3498" i="11"/>
  <c r="D3515" i="11"/>
  <c r="D3532" i="11"/>
  <c r="D3549" i="11"/>
  <c r="D3566" i="11"/>
  <c r="D2487" i="11"/>
  <c r="D2630" i="11"/>
  <c r="D2698" i="11"/>
  <c r="D2869" i="11"/>
  <c r="D2918" i="11"/>
  <c r="D2960" i="11"/>
  <c r="D3054" i="11"/>
  <c r="D3069" i="11"/>
  <c r="D3094" i="11"/>
  <c r="D3107" i="11"/>
  <c r="D3141" i="11"/>
  <c r="D3154" i="11"/>
  <c r="D3164" i="11"/>
  <c r="D3174" i="11"/>
  <c r="D3413" i="11"/>
  <c r="D3430" i="11"/>
  <c r="D3456" i="11"/>
  <c r="D3473" i="11"/>
  <c r="D3490" i="11"/>
  <c r="D3507" i="11"/>
  <c r="D3524" i="11"/>
  <c r="D3541" i="11"/>
  <c r="D3558" i="11"/>
  <c r="D3575" i="11"/>
  <c r="D3583" i="11"/>
  <c r="D3591" i="11"/>
  <c r="D3599" i="11"/>
  <c r="D3607" i="11"/>
  <c r="D3615" i="11"/>
  <c r="D3623" i="11"/>
  <c r="D3631" i="11"/>
  <c r="D3639" i="11"/>
  <c r="D3647" i="11"/>
  <c r="D3655" i="11"/>
  <c r="D2774" i="11"/>
  <c r="D2978" i="11"/>
  <c r="D2995" i="11"/>
  <c r="D3011" i="11"/>
  <c r="D3027" i="11"/>
  <c r="D3042" i="11"/>
  <c r="D3084" i="11"/>
  <c r="D3118" i="11"/>
  <c r="D3131" i="11"/>
  <c r="D3186" i="11"/>
  <c r="D3195" i="11"/>
  <c r="D3204" i="11"/>
  <c r="D3213" i="11"/>
  <c r="D3222" i="11"/>
  <c r="D3241" i="11"/>
  <c r="D3250" i="11"/>
  <c r="D3259" i="11"/>
  <c r="D3268" i="11"/>
  <c r="D3277" i="11"/>
  <c r="D3286" i="11"/>
  <c r="D3305" i="11"/>
  <c r="D3314" i="11"/>
  <c r="D3323" i="11"/>
  <c r="D3332" i="11"/>
  <c r="D3341" i="11"/>
  <c r="D3350" i="11"/>
  <c r="D3369" i="11"/>
  <c r="D3378" i="11"/>
  <c r="D3387" i="11"/>
  <c r="D3396" i="11"/>
  <c r="D3405" i="11"/>
  <c r="D3422" i="11"/>
  <c r="D3448" i="11"/>
  <c r="D3465" i="11"/>
  <c r="D3482" i="11"/>
  <c r="D3499" i="11"/>
  <c r="D3516" i="11"/>
  <c r="D3533" i="11"/>
  <c r="D3550" i="11"/>
  <c r="D2775" i="11"/>
  <c r="D2842" i="11"/>
  <c r="D2875" i="11"/>
  <c r="D2919" i="11"/>
  <c r="D2943" i="11"/>
  <c r="D2961" i="11"/>
  <c r="D2996" i="11"/>
  <c r="D3012" i="11"/>
  <c r="D3028" i="11"/>
  <c r="D3070" i="11"/>
  <c r="D3108" i="11"/>
  <c r="D3142" i="11"/>
  <c r="D3155" i="11"/>
  <c r="D3165" i="11"/>
  <c r="D3414" i="11"/>
  <c r="D3440" i="11"/>
  <c r="D3457" i="11"/>
  <c r="D3474" i="11"/>
  <c r="D3491" i="11"/>
  <c r="D3508" i="11"/>
  <c r="D3525" i="11"/>
  <c r="D3542" i="11"/>
  <c r="D3568" i="11"/>
  <c r="D3576" i="11"/>
  <c r="D3584" i="11"/>
  <c r="D2646" i="11"/>
  <c r="D2714" i="11"/>
  <c r="D2843" i="11"/>
  <c r="D2876" i="11"/>
  <c r="D2920" i="11"/>
  <c r="D2980" i="11"/>
  <c r="D2997" i="11"/>
  <c r="D3044" i="11"/>
  <c r="D3058" i="11"/>
  <c r="D3085" i="11"/>
  <c r="D3098" i="11"/>
  <c r="D3132" i="11"/>
  <c r="D3187" i="11"/>
  <c r="D3196" i="11"/>
  <c r="D3205" i="11"/>
  <c r="D3214" i="11"/>
  <c r="D3233" i="11"/>
  <c r="D3242" i="11"/>
  <c r="D3251" i="11"/>
  <c r="D3260" i="11"/>
  <c r="D3269" i="11"/>
  <c r="D3278" i="11"/>
  <c r="D3297" i="11"/>
  <c r="D3306" i="11"/>
  <c r="D3315" i="11"/>
  <c r="D3324" i="11"/>
  <c r="D3333" i="11"/>
  <c r="D3342" i="11"/>
  <c r="D3361" i="11"/>
  <c r="D3370" i="11"/>
  <c r="D3379" i="11"/>
  <c r="D3388" i="11"/>
  <c r="D3397" i="11"/>
  <c r="D3406" i="11"/>
  <c r="D3432" i="11"/>
  <c r="D3449" i="11"/>
  <c r="D3466" i="11"/>
  <c r="D3483" i="11"/>
  <c r="D3500" i="11"/>
  <c r="D3517" i="11"/>
  <c r="D3534" i="11"/>
  <c r="D3560" i="11"/>
  <c r="D2550" i="11"/>
  <c r="D2647" i="11"/>
  <c r="D2715" i="11"/>
  <c r="D2850" i="11"/>
  <c r="D2901" i="11"/>
  <c r="D2944" i="11"/>
  <c r="D2984" i="11"/>
  <c r="D3013" i="11"/>
  <c r="D3029" i="11"/>
  <c r="D3109" i="11"/>
  <c r="D3122" i="11"/>
  <c r="D3156" i="11"/>
  <c r="D3166" i="11"/>
  <c r="D3178" i="11"/>
  <c r="D3424" i="11"/>
  <c r="D3441" i="11"/>
  <c r="D3458" i="11"/>
  <c r="D3475" i="11"/>
  <c r="D3492" i="11"/>
  <c r="D3509" i="11"/>
  <c r="D3526" i="11"/>
  <c r="D3552" i="11"/>
  <c r="D3569" i="11"/>
  <c r="D3577" i="11"/>
  <c r="D3585" i="11"/>
  <c r="D3593" i="11"/>
  <c r="D3601" i="11"/>
  <c r="D2791" i="11"/>
  <c r="D2926" i="11"/>
  <c r="D2967" i="11"/>
  <c r="D3001" i="11"/>
  <c r="D3014" i="11"/>
  <c r="D3045" i="11"/>
  <c r="D3060" i="11"/>
  <c r="D3074" i="11"/>
  <c r="D3086" i="11"/>
  <c r="D3099" i="11"/>
  <c r="D3133" i="11"/>
  <c r="D3146" i="11"/>
  <c r="D3188" i="11"/>
  <c r="D3197" i="11"/>
  <c r="D3206" i="11"/>
  <c r="D3225" i="11"/>
  <c r="D3234" i="11"/>
  <c r="D3243" i="11"/>
  <c r="D3252" i="11"/>
  <c r="D3261" i="11"/>
  <c r="D3270" i="11"/>
  <c r="D3289" i="11"/>
  <c r="D3298" i="11"/>
  <c r="D3307" i="11"/>
  <c r="D3316" i="11"/>
  <c r="D3325" i="11"/>
  <c r="D3334" i="11"/>
  <c r="D3353" i="11"/>
  <c r="D3362" i="11"/>
  <c r="D3371" i="11"/>
  <c r="D3380" i="11"/>
  <c r="D3389" i="11"/>
  <c r="D3398" i="11"/>
  <c r="D3416" i="11"/>
  <c r="D3433" i="11"/>
  <c r="D3450" i="11"/>
  <c r="D3467" i="11"/>
  <c r="D3484" i="11"/>
  <c r="D3501" i="11"/>
  <c r="D3518" i="11"/>
  <c r="D2724" i="11"/>
  <c r="D2792" i="11"/>
  <c r="D2852" i="11"/>
  <c r="D2902" i="11"/>
  <c r="D2968" i="11"/>
  <c r="D2985" i="11"/>
  <c r="D3030" i="11"/>
  <c r="D3110" i="11"/>
  <c r="D3123" i="11"/>
  <c r="D3157" i="11"/>
  <c r="D3179" i="11"/>
  <c r="D3408" i="11"/>
  <c r="D3425" i="11"/>
  <c r="D3442" i="11"/>
  <c r="D3459" i="11"/>
  <c r="D2663" i="11"/>
  <c r="D2731" i="11"/>
  <c r="D2883" i="11"/>
  <c r="D2903" i="11"/>
  <c r="D2927" i="11"/>
  <c r="D2950" i="11"/>
  <c r="D3002" i="11"/>
  <c r="D3018" i="11"/>
  <c r="D3031" i="11"/>
  <c r="D3046" i="11"/>
  <c r="D3061" i="11"/>
  <c r="D3076" i="11"/>
  <c r="D3100" i="11"/>
  <c r="D3134" i="11"/>
  <c r="D3147" i="11"/>
  <c r="D3189" i="11"/>
  <c r="D3198" i="11"/>
  <c r="D3217" i="11"/>
  <c r="D3226" i="11"/>
  <c r="D3235" i="11"/>
  <c r="D3244" i="11"/>
  <c r="D3253" i="11"/>
  <c r="D3262" i="11"/>
  <c r="D3281" i="11"/>
  <c r="D3290" i="11"/>
  <c r="D3299" i="11"/>
  <c r="D3308" i="11"/>
  <c r="D3317" i="11"/>
  <c r="D3326" i="11"/>
  <c r="D3345" i="11"/>
  <c r="D3354" i="11"/>
  <c r="D2589" i="11"/>
  <c r="D2664" i="11"/>
  <c r="D2858" i="11"/>
  <c r="D2884" i="11"/>
  <c r="D2907" i="11"/>
  <c r="D2951" i="11"/>
  <c r="D2969" i="11"/>
  <c r="D2986" i="11"/>
  <c r="D3090" i="11"/>
  <c r="D3124" i="11"/>
  <c r="D3158" i="11"/>
  <c r="D3170" i="11"/>
  <c r="D3180" i="11"/>
  <c r="D3409" i="11"/>
  <c r="D3426" i="11"/>
  <c r="D3443" i="11"/>
  <c r="D3460" i="11"/>
  <c r="D3477" i="11"/>
  <c r="D2740" i="11"/>
  <c r="D2808" i="11"/>
  <c r="D2909" i="11"/>
  <c r="D3003" i="11"/>
  <c r="D3019" i="11"/>
  <c r="D3035" i="11"/>
  <c r="D3062" i="11"/>
  <c r="D3077" i="11"/>
  <c r="D3101" i="11"/>
  <c r="D3114" i="11"/>
  <c r="D3148" i="11"/>
  <c r="D3190" i="11"/>
  <c r="D3209" i="11"/>
  <c r="D3218" i="11"/>
  <c r="D3227" i="11"/>
  <c r="D3236" i="11"/>
  <c r="D3245" i="11"/>
  <c r="D3254" i="11"/>
  <c r="D3273" i="11"/>
  <c r="D3282" i="11"/>
  <c r="D3291" i="11"/>
  <c r="D3300" i="11"/>
  <c r="D3309" i="11"/>
  <c r="D3318" i="11"/>
  <c r="D3337" i="11"/>
  <c r="D3346" i="11"/>
  <c r="D3355" i="11"/>
  <c r="D3364" i="11"/>
  <c r="D3373" i="11"/>
  <c r="D3382" i="11"/>
  <c r="D3401" i="11"/>
  <c r="D3418" i="11"/>
  <c r="D3435" i="11"/>
  <c r="D3452" i="11"/>
  <c r="D3469" i="11"/>
  <c r="D3486" i="11"/>
  <c r="D2741" i="11"/>
  <c r="D2809" i="11"/>
  <c r="D2859" i="11"/>
  <c r="D2885" i="11"/>
  <c r="D2933" i="11"/>
  <c r="D2952" i="11"/>
  <c r="D2970" i="11"/>
  <c r="D2987" i="11"/>
  <c r="D3004" i="11"/>
  <c r="D3020" i="11"/>
  <c r="D3036" i="11"/>
  <c r="D3050" i="11"/>
  <c r="D3091" i="11"/>
  <c r="D3125" i="11"/>
  <c r="D3138" i="11"/>
  <c r="D3171" i="11"/>
  <c r="D3181" i="11"/>
  <c r="D2610" i="11"/>
  <c r="D2680" i="11"/>
  <c r="D2886" i="11"/>
  <c r="D2910" i="11"/>
  <c r="D2971" i="11"/>
  <c r="D3078" i="11"/>
  <c r="D3102" i="11"/>
  <c r="D3115" i="11"/>
  <c r="D3149" i="11"/>
  <c r="D3201" i="11"/>
  <c r="D3210" i="11"/>
  <c r="D3219" i="11"/>
  <c r="D3228" i="11"/>
  <c r="D3237" i="11"/>
  <c r="D3246" i="11"/>
  <c r="D3265" i="11"/>
  <c r="D3274" i="11"/>
  <c r="D3283" i="11"/>
  <c r="D3292" i="11"/>
  <c r="D3301" i="11"/>
  <c r="D3310" i="11"/>
  <c r="D3329" i="11"/>
  <c r="D3338" i="11"/>
  <c r="D3347" i="11"/>
  <c r="D3356" i="11"/>
  <c r="D3365" i="11"/>
  <c r="D3374" i="11"/>
  <c r="D2611" i="11"/>
  <c r="D2681" i="11"/>
  <c r="D2866" i="11"/>
  <c r="D2890" i="11"/>
  <c r="D2935" i="11"/>
  <c r="D2953" i="11"/>
  <c r="D3150" i="11"/>
  <c r="D3229" i="11"/>
  <c r="D3302" i="11"/>
  <c r="D3372" i="11"/>
  <c r="D3410" i="11"/>
  <c r="D3436" i="11"/>
  <c r="D3462" i="11"/>
  <c r="D3594" i="11"/>
  <c r="D3616" i="11"/>
  <c r="D3636" i="11"/>
  <c r="D3656" i="11"/>
  <c r="D3701" i="11"/>
  <c r="D3727" i="11"/>
  <c r="D3744" i="11"/>
  <c r="D3761" i="11"/>
  <c r="D3778" i="11"/>
  <c r="D3795" i="11"/>
  <c r="D3812" i="11"/>
  <c r="D3829" i="11"/>
  <c r="D3855" i="11"/>
  <c r="D3872" i="11"/>
  <c r="D3889" i="11"/>
  <c r="D3906" i="11"/>
  <c r="D3923" i="11"/>
  <c r="D3940" i="11"/>
  <c r="D3957" i="11"/>
  <c r="D3983" i="11"/>
  <c r="D4000" i="11"/>
  <c r="D4017" i="11"/>
  <c r="D4034" i="11"/>
  <c r="D4051" i="11"/>
  <c r="D4068" i="11"/>
  <c r="D4085" i="11"/>
  <c r="D4111" i="11"/>
  <c r="D4128" i="11"/>
  <c r="D4136" i="11"/>
  <c r="D4144" i="11"/>
  <c r="D4152" i="11"/>
  <c r="D4160" i="11"/>
  <c r="D4168" i="11"/>
  <c r="D4176" i="11"/>
  <c r="D4184" i="11"/>
  <c r="D4192" i="11"/>
  <c r="D4200" i="11"/>
  <c r="D4208" i="11"/>
  <c r="D4216" i="11"/>
  <c r="D4224" i="11"/>
  <c r="D4232" i="11"/>
  <c r="D4240" i="11"/>
  <c r="D4248" i="11"/>
  <c r="D4256" i="11"/>
  <c r="D4264" i="11"/>
  <c r="D4272" i="11"/>
  <c r="D4280" i="11"/>
  <c r="D4288" i="11"/>
  <c r="D4296" i="11"/>
  <c r="D4304" i="11"/>
  <c r="D4312" i="11"/>
  <c r="D4320" i="11"/>
  <c r="D4328" i="11"/>
  <c r="D4336" i="11"/>
  <c r="D4344" i="11"/>
  <c r="D4352" i="11"/>
  <c r="D4360" i="11"/>
  <c r="D4368" i="11"/>
  <c r="D4376" i="11"/>
  <c r="D4384" i="11"/>
  <c r="D4392" i="11"/>
  <c r="D4400" i="11"/>
  <c r="D4408" i="11"/>
  <c r="D4416" i="11"/>
  <c r="D4424" i="11"/>
  <c r="D4432" i="11"/>
  <c r="D4440" i="11"/>
  <c r="D4448" i="11"/>
  <c r="D4456" i="11"/>
  <c r="D4464" i="11"/>
  <c r="D4472" i="11"/>
  <c r="D4480" i="11"/>
  <c r="D4488" i="11"/>
  <c r="D4496" i="11"/>
  <c r="D4504" i="11"/>
  <c r="D4512" i="11"/>
  <c r="D4520" i="11"/>
  <c r="D4528" i="11"/>
  <c r="D4536" i="11"/>
  <c r="D4544" i="11"/>
  <c r="D4552" i="11"/>
  <c r="D4560" i="11"/>
  <c r="D4568" i="11"/>
  <c r="D4576" i="11"/>
  <c r="D4584" i="11"/>
  <c r="D4592" i="11"/>
  <c r="D4600" i="11"/>
  <c r="D4608" i="11"/>
  <c r="D4616" i="11"/>
  <c r="D4624" i="11"/>
  <c r="D4632" i="11"/>
  <c r="D4640" i="11"/>
  <c r="D4648" i="11"/>
  <c r="D4656" i="11"/>
  <c r="D4664" i="11"/>
  <c r="D4672" i="11"/>
  <c r="D4680" i="11"/>
  <c r="D4688" i="11"/>
  <c r="D2892" i="11"/>
  <c r="D3066" i="11"/>
  <c r="D3162" i="11"/>
  <c r="D3488" i="11"/>
  <c r="D3505" i="11"/>
  <c r="D3522" i="11"/>
  <c r="D3539" i="11"/>
  <c r="D3555" i="11"/>
  <c r="D3570" i="11"/>
  <c r="D3581" i="11"/>
  <c r="D3605" i="11"/>
  <c r="D3617" i="11"/>
  <c r="D3627" i="11"/>
  <c r="D3657" i="11"/>
  <c r="D3666" i="11"/>
  <c r="D3675" i="11"/>
  <c r="D3684" i="11"/>
  <c r="D3693" i="11"/>
  <c r="D3719" i="11"/>
  <c r="D3736" i="11"/>
  <c r="D3753" i="11"/>
  <c r="D3770" i="11"/>
  <c r="D3787" i="11"/>
  <c r="D3804" i="11"/>
  <c r="D3821" i="11"/>
  <c r="D3847" i="11"/>
  <c r="D3864" i="11"/>
  <c r="D3881" i="11"/>
  <c r="D3898" i="11"/>
  <c r="D3915" i="11"/>
  <c r="D3932" i="11"/>
  <c r="D3949" i="11"/>
  <c r="D3975" i="11"/>
  <c r="D3992" i="11"/>
  <c r="D4009" i="11"/>
  <c r="D4026" i="11"/>
  <c r="D4043" i="11"/>
  <c r="D4060" i="11"/>
  <c r="D4077" i="11"/>
  <c r="D4103" i="11"/>
  <c r="D3238" i="11"/>
  <c r="D3411" i="11"/>
  <c r="D3437" i="11"/>
  <c r="D3468" i="11"/>
  <c r="D3595" i="11"/>
  <c r="D3637" i="11"/>
  <c r="D3711" i="11"/>
  <c r="D3728" i="11"/>
  <c r="D3745" i="11"/>
  <c r="D3762" i="11"/>
  <c r="D3779" i="11"/>
  <c r="D3796" i="11"/>
  <c r="D3813" i="11"/>
  <c r="D3839" i="11"/>
  <c r="D3856" i="11"/>
  <c r="D3873" i="11"/>
  <c r="D3890" i="11"/>
  <c r="D3907" i="11"/>
  <c r="D3924" i="11"/>
  <c r="D3941" i="11"/>
  <c r="D3967" i="11"/>
  <c r="D3984" i="11"/>
  <c r="D4001" i="11"/>
  <c r="D4018" i="11"/>
  <c r="D4035" i="11"/>
  <c r="D4052" i="11"/>
  <c r="D4069" i="11"/>
  <c r="D4095" i="11"/>
  <c r="D4112" i="11"/>
  <c r="D4129" i="11"/>
  <c r="D4137" i="11"/>
  <c r="D4145" i="11"/>
  <c r="D4153" i="11"/>
  <c r="D4161" i="11"/>
  <c r="D4169" i="11"/>
  <c r="D4177" i="11"/>
  <c r="D4185" i="11"/>
  <c r="D4193" i="11"/>
  <c r="D4201" i="11"/>
  <c r="D4209" i="11"/>
  <c r="D4217" i="11"/>
  <c r="D4225" i="11"/>
  <c r="D4233" i="11"/>
  <c r="D4241" i="11"/>
  <c r="D4249" i="11"/>
  <c r="D4257" i="11"/>
  <c r="D4265" i="11"/>
  <c r="D4273" i="11"/>
  <c r="D4281" i="11"/>
  <c r="D4289" i="11"/>
  <c r="D4297" i="11"/>
  <c r="D4305" i="11"/>
  <c r="D4313" i="11"/>
  <c r="D4321" i="11"/>
  <c r="D4329" i="11"/>
  <c r="D4337" i="11"/>
  <c r="D3172" i="11"/>
  <c r="D3381" i="11"/>
  <c r="D3493" i="11"/>
  <c r="D3510" i="11"/>
  <c r="D3544" i="11"/>
  <c r="D3556" i="11"/>
  <c r="D3571" i="11"/>
  <c r="D3618" i="11"/>
  <c r="D3628" i="11"/>
  <c r="D3648" i="11"/>
  <c r="D3658" i="11"/>
  <c r="D3667" i="11"/>
  <c r="D3676" i="11"/>
  <c r="D3685" i="11"/>
  <c r="D3703" i="11"/>
  <c r="D3720" i="11"/>
  <c r="D3737" i="11"/>
  <c r="D3754" i="11"/>
  <c r="D3771" i="11"/>
  <c r="D3788" i="11"/>
  <c r="D3805" i="11"/>
  <c r="D3831" i="11"/>
  <c r="D3848" i="11"/>
  <c r="D3865" i="11"/>
  <c r="D3882" i="11"/>
  <c r="D3899" i="11"/>
  <c r="D3916" i="11"/>
  <c r="D3933" i="11"/>
  <c r="D3959" i="11"/>
  <c r="D3976" i="11"/>
  <c r="D3993" i="11"/>
  <c r="D4010" i="11"/>
  <c r="D4027" i="11"/>
  <c r="D4044" i="11"/>
  <c r="D4061" i="11"/>
  <c r="D4087" i="11"/>
  <c r="D4104" i="11"/>
  <c r="D4121" i="11"/>
  <c r="D2954" i="11"/>
  <c r="D3321" i="11"/>
  <c r="D3417" i="11"/>
  <c r="D3444" i="11"/>
  <c r="D3470" i="11"/>
  <c r="D3528" i="11"/>
  <c r="D3596" i="11"/>
  <c r="D3608" i="11"/>
  <c r="D3649" i="11"/>
  <c r="D3695" i="11"/>
  <c r="D3712" i="11"/>
  <c r="D3729" i="11"/>
  <c r="D3746" i="11"/>
  <c r="D3763" i="11"/>
  <c r="D3780" i="11"/>
  <c r="D3797" i="11"/>
  <c r="D3823" i="11"/>
  <c r="D3840" i="11"/>
  <c r="D3857" i="11"/>
  <c r="D3874" i="11"/>
  <c r="D3891" i="11"/>
  <c r="D3908" i="11"/>
  <c r="D3925" i="11"/>
  <c r="D3951" i="11"/>
  <c r="D3968" i="11"/>
  <c r="D3985" i="11"/>
  <c r="D4002" i="11"/>
  <c r="D4019" i="11"/>
  <c r="D4036" i="11"/>
  <c r="D4053" i="11"/>
  <c r="D4079" i="11"/>
  <c r="D4096" i="11"/>
  <c r="D4113" i="11"/>
  <c r="D4130" i="11"/>
  <c r="D4138" i="11"/>
  <c r="D4146" i="11"/>
  <c r="D4154" i="11"/>
  <c r="D4162" i="11"/>
  <c r="D4170" i="11"/>
  <c r="D4178" i="11"/>
  <c r="D4186" i="11"/>
  <c r="D3092" i="11"/>
  <c r="D3182" i="11"/>
  <c r="D3494" i="11"/>
  <c r="D3545" i="11"/>
  <c r="D3572" i="11"/>
  <c r="D3586" i="11"/>
  <c r="D3609" i="11"/>
  <c r="D3619" i="11"/>
  <c r="D3629" i="11"/>
  <c r="D3659" i="11"/>
  <c r="D3668" i="11"/>
  <c r="D3677" i="11"/>
  <c r="D3704" i="11"/>
  <c r="D3721" i="11"/>
  <c r="D3738" i="11"/>
  <c r="D3755" i="11"/>
  <c r="D3772" i="11"/>
  <c r="D3789" i="11"/>
  <c r="D3815" i="11"/>
  <c r="D3832" i="11"/>
  <c r="D3849" i="11"/>
  <c r="D3866" i="11"/>
  <c r="D3883" i="11"/>
  <c r="D3900" i="11"/>
  <c r="D3917" i="11"/>
  <c r="D3943" i="11"/>
  <c r="D3960" i="11"/>
  <c r="D3977" i="11"/>
  <c r="D3994" i="11"/>
  <c r="D4011" i="11"/>
  <c r="D4028" i="11"/>
  <c r="D4045" i="11"/>
  <c r="D4071" i="11"/>
  <c r="D4088" i="11"/>
  <c r="D4105" i="11"/>
  <c r="D4122" i="11"/>
  <c r="D2976" i="11"/>
  <c r="D3257" i="11"/>
  <c r="D3330" i="11"/>
  <c r="D3385" i="11"/>
  <c r="D3419" i="11"/>
  <c r="D3445" i="11"/>
  <c r="D3512" i="11"/>
  <c r="D3529" i="11"/>
  <c r="D3561" i="11"/>
  <c r="D3597" i="11"/>
  <c r="D3640" i="11"/>
  <c r="D3650" i="11"/>
  <c r="D3687" i="11"/>
  <c r="D3696" i="11"/>
  <c r="D3713" i="11"/>
  <c r="D3730" i="11"/>
  <c r="D3747" i="11"/>
  <c r="D3764" i="11"/>
  <c r="D3781" i="11"/>
  <c r="D3807" i="11"/>
  <c r="D3824" i="11"/>
  <c r="D3841" i="11"/>
  <c r="D3858" i="11"/>
  <c r="D3875" i="11"/>
  <c r="D3892" i="11"/>
  <c r="D3909" i="11"/>
  <c r="D3935" i="11"/>
  <c r="D3952" i="11"/>
  <c r="D3969" i="11"/>
  <c r="D3986" i="11"/>
  <c r="D4003" i="11"/>
  <c r="D4020" i="11"/>
  <c r="D4037" i="11"/>
  <c r="D4063" i="11"/>
  <c r="D3390" i="11"/>
  <c r="D3476" i="11"/>
  <c r="D3546" i="11"/>
  <c r="D3573" i="11"/>
  <c r="D3587" i="11"/>
  <c r="D3610" i="11"/>
  <c r="D3620" i="11"/>
  <c r="D3641" i="11"/>
  <c r="D3660" i="11"/>
  <c r="D3669" i="11"/>
  <c r="D3705" i="11"/>
  <c r="D3722" i="11"/>
  <c r="D3739" i="11"/>
  <c r="D3756" i="11"/>
  <c r="D3773" i="11"/>
  <c r="D3799" i="11"/>
  <c r="D3816" i="11"/>
  <c r="D3833" i="11"/>
  <c r="D3850" i="11"/>
  <c r="D3867" i="11"/>
  <c r="D3884" i="11"/>
  <c r="D3901" i="11"/>
  <c r="D3927" i="11"/>
  <c r="D3944" i="11"/>
  <c r="D3961" i="11"/>
  <c r="D3978" i="11"/>
  <c r="D3995" i="11"/>
  <c r="D4012" i="11"/>
  <c r="D4029" i="11"/>
  <c r="D4055" i="11"/>
  <c r="D4072" i="11"/>
  <c r="D4089" i="11"/>
  <c r="D4106" i="11"/>
  <c r="D4123" i="11"/>
  <c r="D2993" i="11"/>
  <c r="D3193" i="11"/>
  <c r="D3266" i="11"/>
  <c r="D3339" i="11"/>
  <c r="D3393" i="11"/>
  <c r="D3420" i="11"/>
  <c r="D3451" i="11"/>
  <c r="D3496" i="11"/>
  <c r="D3513" i="11"/>
  <c r="D3530" i="11"/>
  <c r="D3562" i="11"/>
  <c r="D3651" i="11"/>
  <c r="D3679" i="11"/>
  <c r="D3688" i="11"/>
  <c r="D3697" i="11"/>
  <c r="D3714" i="11"/>
  <c r="D3731" i="11"/>
  <c r="D3748" i="11"/>
  <c r="D3765" i="11"/>
  <c r="D3791" i="11"/>
  <c r="D3808" i="11"/>
  <c r="D3825" i="11"/>
  <c r="D3842" i="11"/>
  <c r="D3859" i="11"/>
  <c r="D3876" i="11"/>
  <c r="D3893" i="11"/>
  <c r="D3919" i="11"/>
  <c r="D3936" i="11"/>
  <c r="D3953" i="11"/>
  <c r="D3970" i="11"/>
  <c r="D3987" i="11"/>
  <c r="D4004" i="11"/>
  <c r="D4021" i="11"/>
  <c r="D4047" i="11"/>
  <c r="D4064" i="11"/>
  <c r="D4081" i="11"/>
  <c r="D3478" i="11"/>
  <c r="D3547" i="11"/>
  <c r="D3588" i="11"/>
  <c r="D3600" i="11"/>
  <c r="D3611" i="11"/>
  <c r="D3621" i="11"/>
  <c r="D3632" i="11"/>
  <c r="D3642" i="11"/>
  <c r="D3661" i="11"/>
  <c r="D3689" i="11"/>
  <c r="D3706" i="11"/>
  <c r="D3723" i="11"/>
  <c r="D3740" i="11"/>
  <c r="D3757" i="11"/>
  <c r="D3783" i="11"/>
  <c r="D3800" i="11"/>
  <c r="D3817" i="11"/>
  <c r="D3834" i="11"/>
  <c r="D3851" i="11"/>
  <c r="D3868" i="11"/>
  <c r="D3885" i="11"/>
  <c r="D3911" i="11"/>
  <c r="D3928" i="11"/>
  <c r="D3008" i="11"/>
  <c r="D3116" i="11"/>
  <c r="D3202" i="11"/>
  <c r="D3275" i="11"/>
  <c r="D3348" i="11"/>
  <c r="D3394" i="11"/>
  <c r="D3427" i="11"/>
  <c r="D3453" i="11"/>
  <c r="D3497" i="11"/>
  <c r="D3514" i="11"/>
  <c r="D3531" i="11"/>
  <c r="D3563" i="11"/>
  <c r="D3633" i="11"/>
  <c r="D3652" i="11"/>
  <c r="D3671" i="11"/>
  <c r="D3680" i="11"/>
  <c r="D3698" i="11"/>
  <c r="D3715" i="11"/>
  <c r="D3732" i="11"/>
  <c r="D3749" i="11"/>
  <c r="D3775" i="11"/>
  <c r="D3792" i="11"/>
  <c r="D3809" i="11"/>
  <c r="D3826" i="11"/>
  <c r="D3843" i="11"/>
  <c r="D3860" i="11"/>
  <c r="D3877" i="11"/>
  <c r="D3903" i="11"/>
  <c r="D3920" i="11"/>
  <c r="D3937" i="11"/>
  <c r="D2434" i="11"/>
  <c r="D3021" i="11"/>
  <c r="D3126" i="11"/>
  <c r="D3536" i="11"/>
  <c r="D3548" i="11"/>
  <c r="D3578" i="11"/>
  <c r="D3589" i="11"/>
  <c r="D3602" i="11"/>
  <c r="D3612" i="11"/>
  <c r="D3643" i="11"/>
  <c r="D3681" i="11"/>
  <c r="D3690" i="11"/>
  <c r="D3707" i="11"/>
  <c r="D3724" i="11"/>
  <c r="D3741" i="11"/>
  <c r="D3767" i="11"/>
  <c r="D3784" i="11"/>
  <c r="D3801" i="11"/>
  <c r="D3818" i="11"/>
  <c r="D3835" i="11"/>
  <c r="D3852" i="11"/>
  <c r="D3869" i="11"/>
  <c r="D3895" i="11"/>
  <c r="D3912" i="11"/>
  <c r="D3929" i="11"/>
  <c r="D3946" i="11"/>
  <c r="D3963" i="11"/>
  <c r="D3980" i="11"/>
  <c r="D3997" i="11"/>
  <c r="D2620" i="11"/>
  <c r="D3211" i="11"/>
  <c r="D3284" i="11"/>
  <c r="D3357" i="11"/>
  <c r="D3402" i="11"/>
  <c r="D3428" i="11"/>
  <c r="D3454" i="11"/>
  <c r="D3480" i="11"/>
  <c r="D3502" i="11"/>
  <c r="D3564" i="11"/>
  <c r="D3624" i="11"/>
  <c r="D3634" i="11"/>
  <c r="D3653" i="11"/>
  <c r="D3663" i="11"/>
  <c r="D3672" i="11"/>
  <c r="D3699" i="11"/>
  <c r="D3716" i="11"/>
  <c r="D3733" i="11"/>
  <c r="D3759" i="11"/>
  <c r="D3776" i="11"/>
  <c r="D3793" i="11"/>
  <c r="D3810" i="11"/>
  <c r="D3827" i="11"/>
  <c r="D3844" i="11"/>
  <c r="D3861" i="11"/>
  <c r="D3887" i="11"/>
  <c r="D3904" i="11"/>
  <c r="D3921" i="11"/>
  <c r="D3938" i="11"/>
  <c r="D3955" i="11"/>
  <c r="D3972" i="11"/>
  <c r="D3989" i="11"/>
  <c r="D3037" i="11"/>
  <c r="D3139" i="11"/>
  <c r="D3363" i="11"/>
  <c r="D3520" i="11"/>
  <c r="D3537" i="11"/>
  <c r="D3553" i="11"/>
  <c r="D3579" i="11"/>
  <c r="D3603" i="11"/>
  <c r="D3613" i="11"/>
  <c r="D3625" i="11"/>
  <c r="D3644" i="11"/>
  <c r="D3673" i="11"/>
  <c r="D3682" i="11"/>
  <c r="D3691" i="11"/>
  <c r="D3708" i="11"/>
  <c r="D3725" i="11"/>
  <c r="D3751" i="11"/>
  <c r="D3768" i="11"/>
  <c r="D3785" i="11"/>
  <c r="D3802" i="11"/>
  <c r="D3819" i="11"/>
  <c r="D3836" i="11"/>
  <c r="D3853" i="11"/>
  <c r="D3879" i="11"/>
  <c r="D3896" i="11"/>
  <c r="D3913" i="11"/>
  <c r="D3504" i="11"/>
  <c r="D3692" i="11"/>
  <c r="D3897" i="11"/>
  <c r="D4082" i="11"/>
  <c r="D4114" i="11"/>
  <c r="D4175" i="11"/>
  <c r="D4188" i="11"/>
  <c r="D4198" i="11"/>
  <c r="D4218" i="11"/>
  <c r="D4228" i="11"/>
  <c r="D4237" i="11"/>
  <c r="D4246" i="11"/>
  <c r="D4255" i="11"/>
  <c r="D4274" i="11"/>
  <c r="D4283" i="11"/>
  <c r="D4292" i="11"/>
  <c r="D4301" i="11"/>
  <c r="D4310" i="11"/>
  <c r="D4319" i="11"/>
  <c r="D4338" i="11"/>
  <c r="D4355" i="11"/>
  <c r="D4372" i="11"/>
  <c r="D4389" i="11"/>
  <c r="D4406" i="11"/>
  <c r="D4423" i="11"/>
  <c r="D4449" i="11"/>
  <c r="D4466" i="11"/>
  <c r="D4483" i="11"/>
  <c r="D4500" i="11"/>
  <c r="D4517" i="11"/>
  <c r="D4534" i="11"/>
  <c r="D4551" i="11"/>
  <c r="D4577" i="11"/>
  <c r="D4594" i="11"/>
  <c r="D4611" i="11"/>
  <c r="D4628" i="11"/>
  <c r="D4645" i="11"/>
  <c r="D4662" i="11"/>
  <c r="D4679" i="11"/>
  <c r="D4696" i="11"/>
  <c r="D4704" i="11"/>
  <c r="D4712" i="11"/>
  <c r="D4720" i="11"/>
  <c r="D4728" i="11"/>
  <c r="D4736" i="11"/>
  <c r="D4744" i="11"/>
  <c r="D4752" i="11"/>
  <c r="D4760" i="11"/>
  <c r="D4768" i="11"/>
  <c r="D4776" i="11"/>
  <c r="D4784" i="11"/>
  <c r="D4792" i="11"/>
  <c r="D4800" i="11"/>
  <c r="D4808" i="11"/>
  <c r="D4816" i="11"/>
  <c r="D4824" i="11"/>
  <c r="D4832" i="11"/>
  <c r="D4840" i="11"/>
  <c r="D4848" i="11"/>
  <c r="D4856" i="11"/>
  <c r="D4864" i="11"/>
  <c r="D4872" i="11"/>
  <c r="D4880" i="11"/>
  <c r="D4888" i="11"/>
  <c r="D4896" i="11"/>
  <c r="D4904" i="11"/>
  <c r="D4912" i="11"/>
  <c r="D4920" i="11"/>
  <c r="D4928" i="11"/>
  <c r="D4936" i="11"/>
  <c r="D4944" i="11"/>
  <c r="D4952" i="11"/>
  <c r="D4960" i="11"/>
  <c r="D4968" i="11"/>
  <c r="D4976" i="11"/>
  <c r="D4984" i="11"/>
  <c r="D4992" i="11"/>
  <c r="D5000" i="11"/>
  <c r="D4586" i="11"/>
  <c r="D4620" i="11"/>
  <c r="D4637" i="11"/>
  <c r="D4654" i="11"/>
  <c r="D4671" i="11"/>
  <c r="D3220" i="11"/>
  <c r="D3700" i="11"/>
  <c r="D3905" i="11"/>
  <c r="D3948" i="11"/>
  <c r="D3979" i="11"/>
  <c r="D4005" i="11"/>
  <c r="D4024" i="11"/>
  <c r="D4042" i="11"/>
  <c r="D4065" i="11"/>
  <c r="D4099" i="11"/>
  <c r="D4115" i="11"/>
  <c r="D4127" i="11"/>
  <c r="D4141" i="11"/>
  <c r="D4165" i="11"/>
  <c r="D4347" i="11"/>
  <c r="D4364" i="11"/>
  <c r="D4381" i="11"/>
  <c r="D4398" i="11"/>
  <c r="D4415" i="11"/>
  <c r="D4441" i="11"/>
  <c r="D4458" i="11"/>
  <c r="D4475" i="11"/>
  <c r="D4492" i="11"/>
  <c r="D4509" i="11"/>
  <c r="D4526" i="11"/>
  <c r="D4543" i="11"/>
  <c r="D4569" i="11"/>
  <c r="D4603" i="11"/>
  <c r="D3521" i="11"/>
  <c r="D3626" i="11"/>
  <c r="D3769" i="11"/>
  <c r="D3837" i="11"/>
  <c r="D4083" i="11"/>
  <c r="D4189" i="11"/>
  <c r="D4199" i="11"/>
  <c r="D4219" i="11"/>
  <c r="D4229" i="11"/>
  <c r="D4238" i="11"/>
  <c r="D4247" i="11"/>
  <c r="D4266" i="11"/>
  <c r="D4275" i="11"/>
  <c r="D4284" i="11"/>
  <c r="D4293" i="11"/>
  <c r="D4302" i="11"/>
  <c r="D4311" i="11"/>
  <c r="D4330" i="11"/>
  <c r="D4339" i="11"/>
  <c r="D4356" i="11"/>
  <c r="D4373" i="11"/>
  <c r="D4390" i="11"/>
  <c r="D4407" i="11"/>
  <c r="D4433" i="11"/>
  <c r="D4450" i="11"/>
  <c r="D4467" i="11"/>
  <c r="D4484" i="11"/>
  <c r="D4501" i="11"/>
  <c r="D4518" i="11"/>
  <c r="D4535" i="11"/>
  <c r="D4561" i="11"/>
  <c r="D4578" i="11"/>
  <c r="D4595" i="11"/>
  <c r="D4612" i="11"/>
  <c r="D4629" i="11"/>
  <c r="D4646" i="11"/>
  <c r="D4663" i="11"/>
  <c r="D3293" i="11"/>
  <c r="D3635" i="11"/>
  <c r="D3777" i="11"/>
  <c r="D3845" i="11"/>
  <c r="D3954" i="11"/>
  <c r="D3981" i="11"/>
  <c r="D4007" i="11"/>
  <c r="D4025" i="11"/>
  <c r="D4048" i="11"/>
  <c r="D4066" i="11"/>
  <c r="D4100" i="11"/>
  <c r="D4116" i="11"/>
  <c r="D4142" i="11"/>
  <c r="D4155" i="11"/>
  <c r="D4166" i="11"/>
  <c r="D4210" i="11"/>
  <c r="D4220" i="11"/>
  <c r="D4348" i="11"/>
  <c r="D4365" i="11"/>
  <c r="D4382" i="11"/>
  <c r="D4399" i="11"/>
  <c r="D4425" i="11"/>
  <c r="D4442" i="11"/>
  <c r="D4459" i="11"/>
  <c r="D4476" i="11"/>
  <c r="D4493" i="11"/>
  <c r="D4510" i="11"/>
  <c r="D4527" i="11"/>
  <c r="D4553" i="11"/>
  <c r="D4570" i="11"/>
  <c r="D4587" i="11"/>
  <c r="D4604" i="11"/>
  <c r="D3538" i="11"/>
  <c r="D3709" i="11"/>
  <c r="D3914" i="11"/>
  <c r="D4084" i="11"/>
  <c r="D4131" i="11"/>
  <c r="D4156" i="11"/>
  <c r="D4179" i="11"/>
  <c r="D4190" i="11"/>
  <c r="D4230" i="11"/>
  <c r="D4239" i="11"/>
  <c r="D4258" i="11"/>
  <c r="D4267" i="11"/>
  <c r="D4276" i="11"/>
  <c r="D4285" i="11"/>
  <c r="D4294" i="11"/>
  <c r="D4303" i="11"/>
  <c r="D4322" i="11"/>
  <c r="D4331" i="11"/>
  <c r="D4340" i="11"/>
  <c r="D4357" i="11"/>
  <c r="D4374" i="11"/>
  <c r="D4391" i="11"/>
  <c r="D4417" i="11"/>
  <c r="D4434" i="11"/>
  <c r="D4451" i="11"/>
  <c r="D4468" i="11"/>
  <c r="D4485" i="11"/>
  <c r="D4502" i="11"/>
  <c r="D4519" i="11"/>
  <c r="D4545" i="11"/>
  <c r="D4562" i="11"/>
  <c r="D4579" i="11"/>
  <c r="D4596" i="11"/>
  <c r="D4613" i="11"/>
  <c r="D4630" i="11"/>
  <c r="D4647" i="11"/>
  <c r="D4673" i="11"/>
  <c r="D3717" i="11"/>
  <c r="D3922" i="11"/>
  <c r="D3956" i="11"/>
  <c r="D4008" i="11"/>
  <c r="D4031" i="11"/>
  <c r="D4049" i="11"/>
  <c r="D4067" i="11"/>
  <c r="D4101" i="11"/>
  <c r="D4117" i="11"/>
  <c r="D4132" i="11"/>
  <c r="D4143" i="11"/>
  <c r="D4167" i="11"/>
  <c r="D4180" i="11"/>
  <c r="D4211" i="11"/>
  <c r="D4221" i="11"/>
  <c r="D4349" i="11"/>
  <c r="D4366" i="11"/>
  <c r="D4383" i="11"/>
  <c r="D4409" i="11"/>
  <c r="D4426" i="11"/>
  <c r="D4443" i="11"/>
  <c r="D4460" i="11"/>
  <c r="D4477" i="11"/>
  <c r="D4494" i="11"/>
  <c r="D4511" i="11"/>
  <c r="D4537" i="11"/>
  <c r="D4554" i="11"/>
  <c r="D4571" i="11"/>
  <c r="D4588" i="11"/>
  <c r="D4605" i="11"/>
  <c r="D4622" i="11"/>
  <c r="D4639" i="11"/>
  <c r="D4665" i="11"/>
  <c r="D4682" i="11"/>
  <c r="D3366" i="11"/>
  <c r="D3554" i="11"/>
  <c r="D3645" i="11"/>
  <c r="D3786" i="11"/>
  <c r="D4013" i="11"/>
  <c r="D4157" i="11"/>
  <c r="D4191" i="11"/>
  <c r="D4202" i="11"/>
  <c r="D4212" i="11"/>
  <c r="D4231" i="11"/>
  <c r="D4250" i="11"/>
  <c r="D4259" i="11"/>
  <c r="D4268" i="11"/>
  <c r="D4277" i="11"/>
  <c r="D4286" i="11"/>
  <c r="D4295" i="11"/>
  <c r="D4314" i="11"/>
  <c r="D4323" i="11"/>
  <c r="D4332" i="11"/>
  <c r="D4341" i="11"/>
  <c r="D4358" i="11"/>
  <c r="D4375" i="11"/>
  <c r="D4401" i="11"/>
  <c r="D4418" i="11"/>
  <c r="D4435" i="11"/>
  <c r="D4452" i="11"/>
  <c r="D4469" i="11"/>
  <c r="D4486" i="11"/>
  <c r="D4503" i="11"/>
  <c r="D4529" i="11"/>
  <c r="D4546" i="11"/>
  <c r="D4563" i="11"/>
  <c r="D4580" i="11"/>
  <c r="D4597" i="11"/>
  <c r="D4614" i="11"/>
  <c r="D4631" i="11"/>
  <c r="D4657" i="11"/>
  <c r="D4674" i="11"/>
  <c r="D4691" i="11"/>
  <c r="D4699" i="11"/>
  <c r="D4707" i="11"/>
  <c r="D4715" i="11"/>
  <c r="D4723" i="11"/>
  <c r="D4731" i="11"/>
  <c r="D4739" i="11"/>
  <c r="D3403" i="11"/>
  <c r="D3565" i="11"/>
  <c r="D3794" i="11"/>
  <c r="D3930" i="11"/>
  <c r="D3962" i="11"/>
  <c r="D3988" i="11"/>
  <c r="D4032" i="11"/>
  <c r="D4050" i="11"/>
  <c r="D4073" i="11"/>
  <c r="D4090" i="11"/>
  <c r="D4133" i="11"/>
  <c r="D4181" i="11"/>
  <c r="D4222" i="11"/>
  <c r="D4350" i="11"/>
  <c r="D4367" i="11"/>
  <c r="D4393" i="11"/>
  <c r="D4410" i="11"/>
  <c r="D4427" i="11"/>
  <c r="D4444" i="11"/>
  <c r="D4461" i="11"/>
  <c r="D4478" i="11"/>
  <c r="D4495" i="11"/>
  <c r="D4521" i="11"/>
  <c r="D4538" i="11"/>
  <c r="D4555" i="11"/>
  <c r="D4572" i="11"/>
  <c r="D4589" i="11"/>
  <c r="D4606" i="11"/>
  <c r="D4623" i="11"/>
  <c r="D4649" i="11"/>
  <c r="D3863" i="11"/>
  <c r="D4119" i="11"/>
  <c r="D4147" i="11"/>
  <c r="D4158" i="11"/>
  <c r="D4203" i="11"/>
  <c r="D4213" i="11"/>
  <c r="D4242" i="11"/>
  <c r="D4251" i="11"/>
  <c r="D4260" i="11"/>
  <c r="D4269" i="11"/>
  <c r="D4278" i="11"/>
  <c r="D4287" i="11"/>
  <c r="D4306" i="11"/>
  <c r="D4315" i="11"/>
  <c r="D4324" i="11"/>
  <c r="D4333" i="11"/>
  <c r="D4342" i="11"/>
  <c r="D4359" i="11"/>
  <c r="D4385" i="11"/>
  <c r="D4402" i="11"/>
  <c r="D4419" i="11"/>
  <c r="D4436" i="11"/>
  <c r="D4453" i="11"/>
  <c r="D4470" i="11"/>
  <c r="D4487" i="11"/>
  <c r="D4513" i="11"/>
  <c r="D4530" i="11"/>
  <c r="D4547" i="11"/>
  <c r="D4564" i="11"/>
  <c r="D3434" i="11"/>
  <c r="D3664" i="11"/>
  <c r="D3871" i="11"/>
  <c r="D3931" i="11"/>
  <c r="D3964" i="11"/>
  <c r="D4015" i="11"/>
  <c r="D4033" i="11"/>
  <c r="D4056" i="11"/>
  <c r="D4074" i="11"/>
  <c r="D4091" i="11"/>
  <c r="D4107" i="11"/>
  <c r="D4120" i="11"/>
  <c r="D4134" i="11"/>
  <c r="D4148" i="11"/>
  <c r="D4171" i="11"/>
  <c r="D4182" i="11"/>
  <c r="D4204" i="11"/>
  <c r="D4223" i="11"/>
  <c r="D4351" i="11"/>
  <c r="D4377" i="11"/>
  <c r="D4394" i="11"/>
  <c r="D4411" i="11"/>
  <c r="D4428" i="11"/>
  <c r="D4445" i="11"/>
  <c r="D4462" i="11"/>
  <c r="D4479" i="11"/>
  <c r="D4505" i="11"/>
  <c r="D4522" i="11"/>
  <c r="D4539" i="11"/>
  <c r="D4556" i="11"/>
  <c r="D4573" i="11"/>
  <c r="D3580" i="11"/>
  <c r="D3665" i="11"/>
  <c r="D3735" i="11"/>
  <c r="D3803" i="11"/>
  <c r="D3991" i="11"/>
  <c r="D4159" i="11"/>
  <c r="D4172" i="11"/>
  <c r="D4194" i="11"/>
  <c r="D4214" i="11"/>
  <c r="D4234" i="11"/>
  <c r="D4243" i="11"/>
  <c r="D4252" i="11"/>
  <c r="D4261" i="11"/>
  <c r="D4270" i="11"/>
  <c r="D4279" i="11"/>
  <c r="D4298" i="11"/>
  <c r="D4307" i="11"/>
  <c r="D4316" i="11"/>
  <c r="D4325" i="11"/>
  <c r="D4334" i="11"/>
  <c r="D4343" i="11"/>
  <c r="D4369" i="11"/>
  <c r="D4386" i="11"/>
  <c r="D4403" i="11"/>
  <c r="D4420" i="11"/>
  <c r="D4437" i="11"/>
  <c r="D4454" i="11"/>
  <c r="D4471" i="11"/>
  <c r="D4497" i="11"/>
  <c r="D4514" i="11"/>
  <c r="D2757" i="11"/>
  <c r="D3461" i="11"/>
  <c r="D3592" i="11"/>
  <c r="D3743" i="11"/>
  <c r="D3811" i="11"/>
  <c r="D3939" i="11"/>
  <c r="D3965" i="11"/>
  <c r="D3996" i="11"/>
  <c r="D4016" i="11"/>
  <c r="D4039" i="11"/>
  <c r="D4057" i="11"/>
  <c r="D4075" i="11"/>
  <c r="D4092" i="11"/>
  <c r="D4108" i="11"/>
  <c r="D4135" i="11"/>
  <c r="D4149" i="11"/>
  <c r="D4183" i="11"/>
  <c r="D4195" i="11"/>
  <c r="D4205" i="11"/>
  <c r="D4361" i="11"/>
  <c r="D4378" i="11"/>
  <c r="D4395" i="11"/>
  <c r="D4412" i="11"/>
  <c r="D4429" i="11"/>
  <c r="D4446" i="11"/>
  <c r="D4463" i="11"/>
  <c r="D4489" i="11"/>
  <c r="D4506" i="11"/>
  <c r="D4523" i="11"/>
  <c r="D2825" i="11"/>
  <c r="D3674" i="11"/>
  <c r="D3880" i="11"/>
  <c r="D4124" i="11"/>
  <c r="D4173" i="11"/>
  <c r="D4196" i="11"/>
  <c r="D4215" i="11"/>
  <c r="D4235" i="11"/>
  <c r="D4244" i="11"/>
  <c r="D4253" i="11"/>
  <c r="D4262" i="11"/>
  <c r="D4271" i="11"/>
  <c r="D4290" i="11"/>
  <c r="D4299" i="11"/>
  <c r="D4308" i="11"/>
  <c r="D4317" i="11"/>
  <c r="D4326" i="11"/>
  <c r="D4335" i="11"/>
  <c r="D4353" i="11"/>
  <c r="D4370" i="11"/>
  <c r="D4387" i="11"/>
  <c r="D3485" i="11"/>
  <c r="D3888" i="11"/>
  <c r="D3945" i="11"/>
  <c r="D3971" i="11"/>
  <c r="D4040" i="11"/>
  <c r="D4058" i="11"/>
  <c r="D4076" i="11"/>
  <c r="D4093" i="11"/>
  <c r="D4109" i="11"/>
  <c r="D4150" i="11"/>
  <c r="D4206" i="11"/>
  <c r="D4226" i="11"/>
  <c r="D4345" i="11"/>
  <c r="D4362" i="11"/>
  <c r="D4379" i="11"/>
  <c r="D4396" i="11"/>
  <c r="D4413" i="11"/>
  <c r="D4430" i="11"/>
  <c r="D4447" i="11"/>
  <c r="D4473" i="11"/>
  <c r="D4490" i="11"/>
  <c r="D4507" i="11"/>
  <c r="D3052" i="11"/>
  <c r="D3604" i="11"/>
  <c r="D3683" i="11"/>
  <c r="D3752" i="11"/>
  <c r="D3820" i="11"/>
  <c r="D3999" i="11"/>
  <c r="D4080" i="11"/>
  <c r="D4097" i="11"/>
  <c r="D4125" i="11"/>
  <c r="D4139" i="11"/>
  <c r="D4163" i="11"/>
  <c r="D4174" i="11"/>
  <c r="D4197" i="11"/>
  <c r="D4236" i="11"/>
  <c r="D4245" i="11"/>
  <c r="D4254" i="11"/>
  <c r="D4263" i="11"/>
  <c r="D4282" i="11"/>
  <c r="D4291" i="11"/>
  <c r="D4300" i="11"/>
  <c r="D4309" i="11"/>
  <c r="D4318" i="11"/>
  <c r="D4327" i="11"/>
  <c r="D4354" i="11"/>
  <c r="D4371" i="11"/>
  <c r="D4388" i="11"/>
  <c r="D4405" i="11"/>
  <c r="D4422" i="11"/>
  <c r="D4439" i="11"/>
  <c r="D4465" i="11"/>
  <c r="D4482" i="11"/>
  <c r="D4499" i="11"/>
  <c r="D4516" i="11"/>
  <c r="D3828" i="11"/>
  <c r="D4187" i="11"/>
  <c r="D4438" i="11"/>
  <c r="D4540" i="11"/>
  <c r="D4559" i="11"/>
  <c r="D4583" i="11"/>
  <c r="D4617" i="11"/>
  <c r="D4633" i="11"/>
  <c r="D4661" i="11"/>
  <c r="D4698" i="11"/>
  <c r="D4709" i="11"/>
  <c r="D4719" i="11"/>
  <c r="D4730" i="11"/>
  <c r="D4741" i="11"/>
  <c r="D4779" i="11"/>
  <c r="D4796" i="11"/>
  <c r="D4813" i="11"/>
  <c r="D4830" i="11"/>
  <c r="D4847" i="11"/>
  <c r="D4873" i="11"/>
  <c r="D4890" i="11"/>
  <c r="D4907" i="11"/>
  <c r="D4924" i="11"/>
  <c r="D4941" i="11"/>
  <c r="D4958" i="11"/>
  <c r="D4975" i="11"/>
  <c r="D5001" i="11"/>
  <c r="D4995" i="11"/>
  <c r="D4953" i="11"/>
  <c r="D4346" i="11"/>
  <c r="D4508" i="11"/>
  <c r="D4565" i="11"/>
  <c r="D4601" i="11"/>
  <c r="D4676" i="11"/>
  <c r="D4687" i="11"/>
  <c r="D4751" i="11"/>
  <c r="D4761" i="11"/>
  <c r="D4770" i="11"/>
  <c r="D4788" i="11"/>
  <c r="D4805" i="11"/>
  <c r="D4822" i="11"/>
  <c r="D4839" i="11"/>
  <c r="D4865" i="11"/>
  <c r="D4882" i="11"/>
  <c r="D4899" i="11"/>
  <c r="D4916" i="11"/>
  <c r="D4933" i="11"/>
  <c r="D4950" i="11"/>
  <c r="D4967" i="11"/>
  <c r="D4993" i="11"/>
  <c r="D4909" i="11"/>
  <c r="D4926" i="11"/>
  <c r="D4996" i="11"/>
  <c r="D4963" i="11"/>
  <c r="D4930" i="11"/>
  <c r="D4990" i="11"/>
  <c r="D4957" i="11"/>
  <c r="D4915" i="11"/>
  <c r="D3947" i="11"/>
  <c r="D4207" i="11"/>
  <c r="D4515" i="11"/>
  <c r="D4541" i="11"/>
  <c r="D4618" i="11"/>
  <c r="D4634" i="11"/>
  <c r="D4650" i="11"/>
  <c r="D4689" i="11"/>
  <c r="D4700" i="11"/>
  <c r="D4710" i="11"/>
  <c r="D4721" i="11"/>
  <c r="D4732" i="11"/>
  <c r="D4742" i="11"/>
  <c r="D4771" i="11"/>
  <c r="D4780" i="11"/>
  <c r="D4797" i="11"/>
  <c r="D4814" i="11"/>
  <c r="D4831" i="11"/>
  <c r="D4857" i="11"/>
  <c r="D4874" i="11"/>
  <c r="D4891" i="11"/>
  <c r="D4908" i="11"/>
  <c r="D4925" i="11"/>
  <c r="D4942" i="11"/>
  <c r="D4959" i="11"/>
  <c r="D4985" i="11"/>
  <c r="D5002" i="11"/>
  <c r="D4970" i="11"/>
  <c r="D4980" i="11"/>
  <c r="D4913" i="11"/>
  <c r="D4973" i="11"/>
  <c r="D4914" i="11"/>
  <c r="D4999" i="11"/>
  <c r="D4787" i="11"/>
  <c r="D3973" i="11"/>
  <c r="D4363" i="11"/>
  <c r="D4566" i="11"/>
  <c r="D4585" i="11"/>
  <c r="D4602" i="11"/>
  <c r="D4666" i="11"/>
  <c r="D4677" i="11"/>
  <c r="D4753" i="11"/>
  <c r="D4762" i="11"/>
  <c r="D4789" i="11"/>
  <c r="D4806" i="11"/>
  <c r="D4823" i="11"/>
  <c r="D4849" i="11"/>
  <c r="D4866" i="11"/>
  <c r="D4883" i="11"/>
  <c r="D4900" i="11"/>
  <c r="D4917" i="11"/>
  <c r="D4934" i="11"/>
  <c r="D4951" i="11"/>
  <c r="D4977" i="11"/>
  <c r="D4994" i="11"/>
  <c r="D4892" i="11"/>
  <c r="D4986" i="11"/>
  <c r="D4978" i="11"/>
  <c r="D4987" i="11"/>
  <c r="D4988" i="11"/>
  <c r="D4964" i="11"/>
  <c r="D4804" i="11"/>
  <c r="D4227" i="11"/>
  <c r="D4455" i="11"/>
  <c r="D4542" i="11"/>
  <c r="D4619" i="11"/>
  <c r="D4635" i="11"/>
  <c r="D4651" i="11"/>
  <c r="D4690" i="11"/>
  <c r="D4701" i="11"/>
  <c r="D4711" i="11"/>
  <c r="D4722" i="11"/>
  <c r="D4733" i="11"/>
  <c r="D4743" i="11"/>
  <c r="D4763" i="11"/>
  <c r="D4772" i="11"/>
  <c r="D4781" i="11"/>
  <c r="D4798" i="11"/>
  <c r="D4815" i="11"/>
  <c r="D4841" i="11"/>
  <c r="D4858" i="11"/>
  <c r="D4875" i="11"/>
  <c r="D4943" i="11"/>
  <c r="D4969" i="11"/>
  <c r="D5003" i="11"/>
  <c r="D4905" i="11"/>
  <c r="D4982" i="11"/>
  <c r="D4991" i="11"/>
  <c r="D4932" i="11"/>
  <c r="D4023" i="11"/>
  <c r="D4380" i="11"/>
  <c r="D4457" i="11"/>
  <c r="D4548" i="11"/>
  <c r="D4567" i="11"/>
  <c r="D4590" i="11"/>
  <c r="D4607" i="11"/>
  <c r="D4621" i="11"/>
  <c r="D4667" i="11"/>
  <c r="D4678" i="11"/>
  <c r="D4754" i="11"/>
  <c r="D4790" i="11"/>
  <c r="D4807" i="11"/>
  <c r="D4833" i="11"/>
  <c r="D4850" i="11"/>
  <c r="D4867" i="11"/>
  <c r="D4884" i="11"/>
  <c r="D4901" i="11"/>
  <c r="D4918" i="11"/>
  <c r="D4935" i="11"/>
  <c r="D4961" i="11"/>
  <c r="D5004" i="11"/>
  <c r="D4972" i="11"/>
  <c r="D4879" i="11"/>
  <c r="D4821" i="11"/>
  <c r="D4898" i="11"/>
  <c r="D4041" i="11"/>
  <c r="D4524" i="11"/>
  <c r="D4636" i="11"/>
  <c r="D4652" i="11"/>
  <c r="D4692" i="11"/>
  <c r="D4702" i="11"/>
  <c r="D4713" i="11"/>
  <c r="D4724" i="11"/>
  <c r="D4734" i="11"/>
  <c r="D4745" i="11"/>
  <c r="D4755" i="11"/>
  <c r="D4764" i="11"/>
  <c r="D4773" i="11"/>
  <c r="D4782" i="11"/>
  <c r="D4799" i="11"/>
  <c r="D4825" i="11"/>
  <c r="D4842" i="11"/>
  <c r="D4859" i="11"/>
  <c r="D4876" i="11"/>
  <c r="D4893" i="11"/>
  <c r="D4910" i="11"/>
  <c r="D4927" i="11"/>
  <c r="D4922" i="11"/>
  <c r="D4956" i="11"/>
  <c r="D4948" i="11"/>
  <c r="D4059" i="11"/>
  <c r="D4397" i="11"/>
  <c r="D4549" i="11"/>
  <c r="D4591" i="11"/>
  <c r="D4638" i="11"/>
  <c r="D4668" i="11"/>
  <c r="D4791" i="11"/>
  <c r="D4817" i="11"/>
  <c r="D4834" i="11"/>
  <c r="D4851" i="11"/>
  <c r="D4868" i="11"/>
  <c r="D4885" i="11"/>
  <c r="D4902" i="11"/>
  <c r="D4919" i="11"/>
  <c r="D4945" i="11"/>
  <c r="D4962" i="11"/>
  <c r="D4979" i="11"/>
  <c r="D4997" i="11"/>
  <c r="D4989" i="11"/>
  <c r="D4947" i="11"/>
  <c r="D4769" i="11"/>
  <c r="D4949" i="11"/>
  <c r="D4404" i="11"/>
  <c r="D4525" i="11"/>
  <c r="D4574" i="11"/>
  <c r="D4609" i="11"/>
  <c r="D4625" i="11"/>
  <c r="D4641" i="11"/>
  <c r="D4653" i="11"/>
  <c r="D4681" i="11"/>
  <c r="D4693" i="11"/>
  <c r="D4703" i="11"/>
  <c r="D4714" i="11"/>
  <c r="D4725" i="11"/>
  <c r="D4735" i="11"/>
  <c r="D4746" i="11"/>
  <c r="D4756" i="11"/>
  <c r="D4765" i="11"/>
  <c r="D4774" i="11"/>
  <c r="D4783" i="11"/>
  <c r="D4809" i="11"/>
  <c r="D4826" i="11"/>
  <c r="D4843" i="11"/>
  <c r="D4860" i="11"/>
  <c r="D4877" i="11"/>
  <c r="D4894" i="11"/>
  <c r="D4911" i="11"/>
  <c r="D4937" i="11"/>
  <c r="D4954" i="11"/>
  <c r="D4971" i="11"/>
  <c r="D4862" i="11"/>
  <c r="D4965" i="11"/>
  <c r="D4966" i="11"/>
  <c r="D4098" i="11"/>
  <c r="D4474" i="11"/>
  <c r="D4531" i="11"/>
  <c r="D4550" i="11"/>
  <c r="D4655" i="11"/>
  <c r="D4669" i="11"/>
  <c r="D4683" i="11"/>
  <c r="D4747" i="11"/>
  <c r="D4801" i="11"/>
  <c r="D4818" i="11"/>
  <c r="D4835" i="11"/>
  <c r="D4852" i="11"/>
  <c r="D4869" i="11"/>
  <c r="D4886" i="11"/>
  <c r="D4903" i="11"/>
  <c r="D4929" i="11"/>
  <c r="D4946" i="11"/>
  <c r="D4940" i="11"/>
  <c r="D4855" i="11"/>
  <c r="D4481" i="11"/>
  <c r="D4575" i="11"/>
  <c r="D4593" i="11"/>
  <c r="D4610" i="11"/>
  <c r="D4626" i="11"/>
  <c r="D4642" i="11"/>
  <c r="D4658" i="11"/>
  <c r="D4694" i="11"/>
  <c r="D4705" i="11"/>
  <c r="D4716" i="11"/>
  <c r="D4726" i="11"/>
  <c r="D4737" i="11"/>
  <c r="D4757" i="11"/>
  <c r="D4766" i="11"/>
  <c r="D4775" i="11"/>
  <c r="D4793" i="11"/>
  <c r="D4810" i="11"/>
  <c r="D4827" i="11"/>
  <c r="D4844" i="11"/>
  <c r="D4861" i="11"/>
  <c r="D4878" i="11"/>
  <c r="D4895" i="11"/>
  <c r="D4921" i="11"/>
  <c r="D4938" i="11"/>
  <c r="D4955" i="11"/>
  <c r="D4998" i="11"/>
  <c r="D4845" i="11"/>
  <c r="D4778" i="11"/>
  <c r="D4414" i="11"/>
  <c r="D4532" i="11"/>
  <c r="D4670" i="11"/>
  <c r="D4684" i="11"/>
  <c r="D4748" i="11"/>
  <c r="D4785" i="11"/>
  <c r="D4802" i="11"/>
  <c r="D4819" i="11"/>
  <c r="D4836" i="11"/>
  <c r="D4853" i="11"/>
  <c r="D4870" i="11"/>
  <c r="D4887" i="11"/>
  <c r="D4981" i="11"/>
  <c r="D4939" i="11"/>
  <c r="D4931" i="11"/>
  <c r="D4983" i="11"/>
  <c r="D4140" i="11"/>
  <c r="D4421" i="11"/>
  <c r="D4557" i="11"/>
  <c r="D4598" i="11"/>
  <c r="D4627" i="11"/>
  <c r="D4643" i="11"/>
  <c r="D4659" i="11"/>
  <c r="D4695" i="11"/>
  <c r="D4706" i="11"/>
  <c r="D4717" i="11"/>
  <c r="D4727" i="11"/>
  <c r="D4738" i="11"/>
  <c r="D4758" i="11"/>
  <c r="D4767" i="11"/>
  <c r="D4794" i="11"/>
  <c r="D4811" i="11"/>
  <c r="D4828" i="11"/>
  <c r="D4151" i="11"/>
  <c r="D4491" i="11"/>
  <c r="D4533" i="11"/>
  <c r="D4581" i="11"/>
  <c r="D4615" i="11"/>
  <c r="D4685" i="11"/>
  <c r="D4749" i="11"/>
  <c r="D4777" i="11"/>
  <c r="D4786" i="11"/>
  <c r="D4803" i="11"/>
  <c r="D4820" i="11"/>
  <c r="D4837" i="11"/>
  <c r="D4854" i="11"/>
  <c r="D4871" i="11"/>
  <c r="D4897" i="11"/>
  <c r="D4164" i="11"/>
  <c r="D4498" i="11"/>
  <c r="D4558" i="11"/>
  <c r="D4582" i="11"/>
  <c r="D4599" i="11"/>
  <c r="D4644" i="11"/>
  <c r="D4660" i="11"/>
  <c r="D4697" i="11"/>
  <c r="D4708" i="11"/>
  <c r="D4718" i="11"/>
  <c r="D4729" i="11"/>
  <c r="D4740" i="11"/>
  <c r="D4759" i="11"/>
  <c r="D4795" i="11"/>
  <c r="D4812" i="11"/>
  <c r="D4829" i="11"/>
  <c r="D4846" i="11"/>
  <c r="D4863" i="11"/>
  <c r="D4889" i="11"/>
  <c r="D4906" i="11"/>
  <c r="D4923" i="11"/>
  <c r="D4974" i="11"/>
  <c r="D3760" i="11"/>
  <c r="D4431" i="11"/>
  <c r="D4675" i="11"/>
  <c r="D4686" i="11"/>
  <c r="D4750" i="11"/>
  <c r="D4838" i="11"/>
  <c r="D4881" i="11"/>
  <c r="H21" i="8"/>
  <c r="H23" i="8" s="1"/>
  <c r="H7" i="9"/>
  <c r="H25" i="8"/>
  <c r="H12" i="6" s="1"/>
  <c r="H14" i="6" s="1"/>
  <c r="H16" i="6" s="1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27" i="8" l="1"/>
  <c r="B5" i="2"/>
  <c r="C12" i="8"/>
  <c r="C21" i="8" s="1"/>
  <c r="C23" i="8" s="1"/>
  <c r="C27" i="8" s="1"/>
  <c r="H6" i="9" l="1"/>
  <c r="J9" i="12"/>
  <c r="C6" i="9"/>
  <c r="C13" i="9" s="1"/>
  <c r="J4" i="12"/>
  <c r="B17" i="4"/>
  <c r="C22" i="4" s="1"/>
  <c r="C16" i="9"/>
  <c r="C17" i="9" s="1"/>
  <c r="C6" i="8" l="1"/>
  <c r="C20" i="9"/>
  <c r="B16" i="4"/>
  <c r="C21" i="9" s="1"/>
  <c r="C15" i="7"/>
  <c r="C19" i="7" s="1"/>
  <c r="C23" i="4"/>
  <c r="C24" i="4" s="1"/>
  <c r="C7" i="8"/>
  <c r="C9" i="8" s="1"/>
  <c r="B4" i="5"/>
  <c r="E3" i="5" s="1"/>
  <c r="I3" i="5" s="1"/>
  <c r="E4" i="5" s="1"/>
  <c r="F4" i="5" s="1"/>
  <c r="B18" i="4"/>
  <c r="C7" i="6" l="1"/>
  <c r="C30" i="6"/>
  <c r="C25" i="9"/>
  <c r="C8" i="6"/>
  <c r="C16" i="6" s="1"/>
  <c r="C21" i="6" s="1"/>
  <c r="C27" i="6" s="1"/>
  <c r="B8" i="5"/>
  <c r="C24" i="7"/>
  <c r="D9" i="9"/>
  <c r="D23" i="9" s="1"/>
  <c r="B9" i="5"/>
  <c r="G6" i="5"/>
  <c r="G7" i="5"/>
  <c r="G4" i="5"/>
  <c r="G5" i="5"/>
  <c r="D18" i="7" l="1"/>
  <c r="D19" i="7" s="1"/>
  <c r="D19" i="8"/>
  <c r="E18" i="7"/>
  <c r="E19" i="8"/>
  <c r="G18" i="7"/>
  <c r="G19" i="7" s="1"/>
  <c r="G22" i="7" s="1"/>
  <c r="G20" i="8" s="1"/>
  <c r="G10" i="9" s="1"/>
  <c r="G19" i="8"/>
  <c r="F18" i="7"/>
  <c r="F24" i="6" s="1"/>
  <c r="F25" i="6" s="1"/>
  <c r="F19" i="8"/>
  <c r="D30" i="6"/>
  <c r="E30" i="6" s="1"/>
  <c r="F30" i="6" s="1"/>
  <c r="G30" i="6" s="1"/>
  <c r="H30" i="6" s="1"/>
  <c r="C34" i="6"/>
  <c r="C36" i="6" s="1"/>
  <c r="F19" i="7"/>
  <c r="F22" i="7" s="1"/>
  <c r="F20" i="8" s="1"/>
  <c r="F10" i="9" s="1"/>
  <c r="E24" i="6"/>
  <c r="E25" i="6" s="1"/>
  <c r="E19" i="7"/>
  <c r="G24" i="6"/>
  <c r="G25" i="6" s="1"/>
  <c r="D24" i="6"/>
  <c r="D25" i="6" s="1"/>
  <c r="D22" i="7"/>
  <c r="H4" i="5"/>
  <c r="K8" i="5"/>
  <c r="E22" i="7" l="1"/>
  <c r="E20" i="8" s="1"/>
  <c r="E10" i="9" s="1"/>
  <c r="D24" i="7"/>
  <c r="F21" i="6"/>
  <c r="F24" i="7"/>
  <c r="F32" i="6" s="1"/>
  <c r="E21" i="6"/>
  <c r="G21" i="6"/>
  <c r="G27" i="6" s="1"/>
  <c r="D8" i="9"/>
  <c r="I4" i="5"/>
  <c r="E5" i="5" s="1"/>
  <c r="F5" i="5" s="1"/>
  <c r="G4" i="12"/>
  <c r="D32" i="6" l="1"/>
  <c r="C8" i="12"/>
  <c r="E7" i="12"/>
  <c r="C7" i="12"/>
  <c r="E21" i="8"/>
  <c r="E23" i="8" s="1"/>
  <c r="E27" i="8" s="1"/>
  <c r="F34" i="6"/>
  <c r="D21" i="6"/>
  <c r="D27" i="6" s="1"/>
  <c r="D20" i="8"/>
  <c r="G24" i="7"/>
  <c r="F4" i="12"/>
  <c r="E24" i="7"/>
  <c r="H5" i="5"/>
  <c r="I5" i="5" s="1"/>
  <c r="E6" i="5" s="1"/>
  <c r="E9" i="9"/>
  <c r="E23" i="9" s="1"/>
  <c r="E27" i="6"/>
  <c r="D4" i="12"/>
  <c r="H34" i="6"/>
  <c r="H36" i="6" s="1"/>
  <c r="F27" i="6"/>
  <c r="E4" i="12"/>
  <c r="D22" i="9"/>
  <c r="G5" i="12"/>
  <c r="F5" i="12"/>
  <c r="E6" i="9" l="1"/>
  <c r="J6" i="12"/>
  <c r="F7" i="12"/>
  <c r="D7" i="12"/>
  <c r="D21" i="8"/>
  <c r="D23" i="8" s="1"/>
  <c r="D27" i="8" s="1"/>
  <c r="D10" i="9"/>
  <c r="E8" i="9"/>
  <c r="E22" i="9" s="1"/>
  <c r="C5" i="12"/>
  <c r="C4" i="12"/>
  <c r="E32" i="6"/>
  <c r="E34" i="6" s="1"/>
  <c r="E36" i="6" s="1"/>
  <c r="E8" i="12" s="1"/>
  <c r="G32" i="6"/>
  <c r="G34" i="6" s="1"/>
  <c r="G36" i="6" s="1"/>
  <c r="G8" i="12" s="1"/>
  <c r="F36" i="6"/>
  <c r="F8" i="12" s="1"/>
  <c r="E5" i="12"/>
  <c r="D5" i="12"/>
  <c r="F6" i="5"/>
  <c r="D6" i="9" l="1"/>
  <c r="D13" i="9" s="1"/>
  <c r="J5" i="12"/>
  <c r="E13" i="9"/>
  <c r="F9" i="9"/>
  <c r="F23" i="9" s="1"/>
  <c r="F21" i="8"/>
  <c r="F23" i="8" s="1"/>
  <c r="F27" i="8" s="1"/>
  <c r="H6" i="5"/>
  <c r="F6" i="9" l="1"/>
  <c r="J7" i="12"/>
  <c r="F8" i="9"/>
  <c r="I6" i="5"/>
  <c r="E7" i="5" s="1"/>
  <c r="F13" i="9" l="1"/>
  <c r="F7" i="5"/>
  <c r="F22" i="9"/>
  <c r="G9" i="9" l="1"/>
  <c r="G23" i="9" s="1"/>
  <c r="G21" i="8"/>
  <c r="G23" i="8" s="1"/>
  <c r="G27" i="8" s="1"/>
  <c r="H7" i="5"/>
  <c r="G6" i="9" l="1"/>
  <c r="J8" i="12"/>
  <c r="G8" i="9"/>
  <c r="G13" i="9" s="1"/>
  <c r="I7" i="5"/>
  <c r="E8" i="5" s="1"/>
  <c r="M5" i="12" l="1"/>
  <c r="F8" i="5"/>
  <c r="G22" i="9"/>
  <c r="H9" i="9" l="1"/>
  <c r="H23" i="9" s="1"/>
  <c r="H8" i="5"/>
  <c r="H8" i="9" l="1"/>
  <c r="H13" i="9" s="1"/>
  <c r="I8" i="5"/>
  <c r="H22" i="9" l="1"/>
  <c r="F24" i="9"/>
  <c r="F25" i="9" s="1"/>
  <c r="D24" i="9"/>
  <c r="D25" i="9" s="1"/>
  <c r="H24" i="9"/>
  <c r="H25" i="9" s="1"/>
  <c r="E24" i="9"/>
  <c r="E25" i="9" s="1"/>
  <c r="D34" i="6"/>
  <c r="D36" i="6" s="1"/>
  <c r="D8" i="12" s="1"/>
  <c r="G24" i="9"/>
  <c r="G25" i="9" s="1"/>
</calcChain>
</file>

<file path=xl/sharedStrings.xml><?xml version="1.0" encoding="utf-8"?>
<sst xmlns="http://schemas.openxmlformats.org/spreadsheetml/2006/main" count="544" uniqueCount="318">
  <si>
    <t>Inversión Inicial</t>
  </si>
  <si>
    <t>Tipo de inversión</t>
  </si>
  <si>
    <t>Valor</t>
  </si>
  <si>
    <t>Equipos de cómputo y hardware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</si>
  <si>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</si>
  <si>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</si>
  <si>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</si>
  <si>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</si>
  <si>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</si>
  <si>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</si>
  <si>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</si>
  <si>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</si>
  <si>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</si>
  <si>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</si>
  <si>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</si>
  <si>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</si>
  <si>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</si>
  <si>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</si>
  <si>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</si>
  <si>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</si>
  <si>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</si>
  <si>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</si>
  <si>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</si>
  <si>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</si>
  <si>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</si>
  <si>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</si>
  <si>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</si>
  <si>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</si>
  <si>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</si>
  <si>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</si>
  <si>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</si>
  <si>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</si>
  <si>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</si>
  <si>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</si>
  <si>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</si>
  <si>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</si>
  <si>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</si>
  <si>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</si>
  <si>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</si>
  <si>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</si>
  <si>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</si>
  <si>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</si>
  <si>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</si>
  <si>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</si>
  <si>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</si>
  <si>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</si>
  <si>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</si>
  <si>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</si>
  <si>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</si>
  <si>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</si>
  <si>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</si>
  <si>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</si>
  <si>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</si>
  <si>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</si>
  <si>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</si>
  <si>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</si>
  <si>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</si>
  <si>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</si>
  <si>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</si>
  <si>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</si>
  <si>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</si>
  <si>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</si>
  <si>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</si>
  <si>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</si>
  <si>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</si>
  <si>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</si>
  <si>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</si>
  <si>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</si>
  <si>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</si>
  <si>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</si>
  <si>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</si>
  <si>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</si>
  <si>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</si>
  <si>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</si>
  <si>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</si>
  <si>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</si>
  <si>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</si>
  <si>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</si>
  <si>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</si>
  <si>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</si>
  <si>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</si>
  <si>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</si>
  <si>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</si>
  <si>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</si>
  <si>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</si>
  <si>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</si>
  <si>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</si>
  <si>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</si>
  <si>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</si>
  <si>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</si>
  <si>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TRIMESTRE</t>
  </si>
  <si>
    <t>ACTIVOS</t>
  </si>
  <si>
    <t>ACTIVOS CORRIENTES</t>
  </si>
  <si>
    <t>Total Activos Corrientes</t>
  </si>
  <si>
    <t>ACTIVOS NO CORRIENTES</t>
  </si>
  <si>
    <t>Total Activos No Corrientes</t>
  </si>
  <si>
    <t>TOTAL ACTIVO</t>
  </si>
  <si>
    <t>PASIVOS</t>
  </si>
  <si>
    <t>PASIVOS CORRIENTES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</si>
  <si>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</si>
  <si>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</si>
  <si>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</si>
  <si>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</si>
  <si>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</si>
  <si>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</si>
  <si>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</si>
  <si>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</si>
  <si>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</si>
  <si>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</si>
  <si>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</si>
  <si>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</si>
  <si>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</si>
  <si>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</si>
  <si>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</si>
  <si>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</si>
  <si>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</si>
  <si>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</si>
  <si>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</si>
  <si>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</si>
  <si>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</si>
  <si>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</si>
  <si>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</si>
  <si>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</si>
  <si>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</si>
  <si>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</si>
  <si>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</si>
  <si>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</si>
  <si>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</si>
  <si>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</si>
  <si>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</si>
  <si>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</si>
  <si>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</si>
  <si>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</si>
  <si>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</si>
  <si>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</si>
  <si>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</si>
  <si>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</si>
  <si>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</si>
  <si>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</si>
  <si>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</si>
  <si>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</si>
  <si>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</si>
  <si>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</si>
  <si>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</si>
  <si>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</si>
  <si>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</si>
  <si>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</si>
  <si>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</si>
  <si>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</si>
  <si>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</si>
  <si>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</si>
  <si>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</si>
  <si>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</si>
  <si>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</si>
  <si>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</si>
  <si>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</si>
  <si>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</si>
  <si>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</si>
  <si>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</si>
  <si>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</si>
  <si>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</si>
  <si>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</si>
  <si>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</si>
  <si>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</si>
  <si>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</si>
  <si>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Intangibles</t>
  </si>
  <si>
    <t>Préstamo</t>
  </si>
  <si>
    <t>Registros y Estatutos</t>
  </si>
  <si>
    <t>ENTRADAS</t>
  </si>
  <si>
    <t>Aportaciones de socios</t>
  </si>
  <si>
    <t>Servicios de Infraestructura de TI/Hosting del Sitio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</si>
  <si>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</si>
  <si>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</si>
  <si>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</si>
  <si>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</si>
  <si>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</si>
  <si>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</si>
  <si>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</si>
  <si>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</si>
  <si>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</si>
  <si>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</si>
  <si>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</si>
  <si>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</si>
  <si>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</si>
  <si>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</si>
  <si>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</si>
  <si>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</si>
  <si>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</si>
  <si>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</si>
  <si>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</si>
  <si>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</si>
  <si>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</si>
  <si>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</si>
  <si>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</si>
  <si>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</si>
  <si>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</si>
  <si>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</si>
  <si>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</si>
  <si>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</si>
  <si>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</si>
  <si>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</si>
  <si>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</si>
  <si>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</si>
  <si>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</si>
  <si>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</si>
  <si>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</si>
  <si>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</si>
  <si>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</si>
  <si>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</si>
  <si>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</si>
  <si>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</si>
  <si>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</si>
  <si>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</si>
  <si>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</si>
  <si>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</si>
  <si>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</si>
  <si>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</si>
  <si>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</si>
  <si>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</si>
  <si>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</si>
  <si>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ESTADO DE RESULTADOS PROYECTADOS</t>
  </si>
  <si>
    <t>UTILIDAD BRUTA</t>
  </si>
  <si>
    <t>Total de Utilidad Bruta</t>
  </si>
  <si>
    <t>Inversiones hacia activos fijos</t>
  </si>
  <si>
    <t>Depreciación anual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</si>
  <si>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</si>
  <si>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</si>
  <si>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</si>
  <si>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</si>
  <si>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</si>
  <si>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</si>
  <si>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</si>
  <si>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</si>
  <si>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</si>
  <si>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</si>
  <si>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</si>
  <si>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</si>
  <si>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</si>
  <si>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</si>
  <si>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</si>
  <si>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</si>
  <si>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</si>
  <si>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</si>
  <si>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</si>
  <si>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</si>
  <si>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</si>
  <si>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</si>
  <si>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</si>
  <si>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</si>
  <si>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</si>
  <si>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</si>
  <si>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</si>
  <si>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</si>
  <si>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</si>
  <si>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</si>
  <si>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</si>
  <si>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</si>
  <si>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</si>
  <si>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</si>
  <si>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</si>
  <si>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Dinero generado por cada cliente en promedio al mes</t>
  </si>
  <si>
    <t>Especificaciones del costo de ventas por cada cliente</t>
  </si>
  <si>
    <t>Cantidad de planes anualmente y costos de operación y gastos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</si>
  <si>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</si>
  <si>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</si>
  <si>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</si>
  <si>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</si>
  <si>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</si>
  <si>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Costos de produccion total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</si>
  <si>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</si>
  <si>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</si>
  <si>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</si>
  <si>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</si>
  <si>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</si>
  <si>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</si>
  <si>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</si>
  <si>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Total de Utilidad Operativa</t>
  </si>
  <si>
    <t>UTILIDAD OPERATIVA</t>
  </si>
  <si>
    <t>RESULTADO ANTES DE IMPUESTOS</t>
  </si>
  <si>
    <t>EDUFINANZAS S.A.S.</t>
  </si>
  <si>
    <t>Total de Utilidad antes de Impuestos</t>
  </si>
  <si>
    <t>IMPUESTOS</t>
  </si>
  <si>
    <t>Impuestos</t>
  </si>
  <si>
    <t>UTILIDAD NETA</t>
  </si>
  <si>
    <t>Acreedores comerciales y otras cuentas por pagar</t>
  </si>
  <si>
    <t>Salarios y beneficios a empleados</t>
  </si>
  <si>
    <t>AÑOS</t>
  </si>
  <si>
    <t>Resultados acumulados/dividendos</t>
  </si>
  <si>
    <t>Cantidad de planes anualmente y costos de operación y gastos (plan suscriptor solamente)</t>
  </si>
  <si>
    <t>Efectivo generado por cada persona que entre en el negocio (sin importar su plan)</t>
  </si>
  <si>
    <t>Cuotas de pago del préstamo</t>
  </si>
  <si>
    <t>Intereses del préstamo</t>
  </si>
  <si>
    <t>Depreciaciones de equipos</t>
  </si>
  <si>
    <t>Depreciación (acumulada)</t>
  </si>
  <si>
    <t>Activos Intangibles</t>
  </si>
  <si>
    <t>Activos intangibles</t>
  </si>
  <si>
    <t>Activos fijos</t>
  </si>
  <si>
    <t>Activos diferidos</t>
  </si>
  <si>
    <t>Activos</t>
  </si>
  <si>
    <t>Gastos de mano obra fija</t>
  </si>
  <si>
    <t>Gastos de administración (papelería)</t>
  </si>
  <si>
    <t>Gastos financieros (cuotas de préstamo)</t>
  </si>
  <si>
    <t>Otros Gastos</t>
  </si>
  <si>
    <t>Gastos en beneficios (prestaciones y parafiscales)</t>
  </si>
  <si>
    <t>Costo de ventas (mantenimiento de infraestructura de TI)</t>
  </si>
  <si>
    <t>Gastos de marketing</t>
  </si>
  <si>
    <t>Propiedad, planta y Equipos</t>
  </si>
  <si>
    <t>Efectivo y equivalente de efectivo</t>
  </si>
  <si>
    <t>Gastos de utiles y papelería</t>
  </si>
  <si>
    <t>Gastos en marketing</t>
  </si>
  <si>
    <t>Salarios a empleados</t>
  </si>
  <si>
    <t>Prestaciones sociales y parafiscales</t>
  </si>
  <si>
    <t>Inversiones hacia servicios e infraestructura TI</t>
  </si>
  <si>
    <t>Papelería y accesorios</t>
  </si>
  <si>
    <t>Pago de cuotas de préstamo</t>
  </si>
  <si>
    <t>Abono al capital</t>
  </si>
  <si>
    <t>Servicio de Internet y Electricidad</t>
  </si>
  <si>
    <t>Valor de ParqueSoft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</si>
</sst>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9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165" fontId="0" fillId="0" borderId="4" xfId="0" applyNumberFormat="1" applyBorder="1"/>
    <xf numFmtId="9" fontId="0" fillId="0" borderId="15" xfId="0" applyNumberFormat="1" applyBorder="1" applyAlignment="1">
      <alignment horizont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3" fontId="0" fillId="0" borderId="3" xfId="0" applyNumberFormat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3" xfId="0" applyFont="1" applyBorder="1"/>
    <xf numFmtId="0" fontId="0" fillId="0" borderId="15" xfId="0" applyFont="1" applyBorder="1"/>
    <xf numFmtId="0" fontId="1" fillId="0" borderId="0" xfId="0" applyFont="1" applyBorder="1" applyAlignment="1">
      <alignment horizontal="left"/>
    </xf>
    <xf numFmtId="164" fontId="0" fillId="0" borderId="25" xfId="0" applyNumberFormat="1" applyBorder="1" applyAlignment="1">
      <alignment horizontal="center"/>
    </xf>
    <xf numFmtId="0" fontId="7" fillId="2" borderId="13" xfId="0" applyFont="1" applyFill="1" applyBorder="1"/>
    <xf numFmtId="164" fontId="1" fillId="2" borderId="28" xfId="0" applyNumberFormat="1" applyFont="1" applyFill="1" applyBorder="1" applyAlignment="1">
      <alignment horizontal="center"/>
    </xf>
    <xf numFmtId="4" fontId="0" fillId="0" borderId="4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16" borderId="26" xfId="0" applyFont="1" applyFill="1" applyBorder="1" applyAlignment="1">
      <alignment horizontal="center"/>
    </xf>
    <xf numFmtId="0" fontId="1" fillId="16" borderId="2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3" borderId="19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Equilibrio'!$C$4:$C$5004</c:f>
              <c:numCache>
                <c:formatCode>"$"\ #,##0</c:formatCode>
                <c:ptCount val="5001"/>
                <c:pt idx="0">
                  <c:v>1755600</c:v>
                </c:pt>
                <c:pt idx="1">
                  <c:v>1758262.9122912048</c:v>
                </c:pt>
                <c:pt idx="2">
                  <c:v>1760925.8245824098</c:v>
                </c:pt>
                <c:pt idx="3">
                  <c:v>1763588.7368736146</c:v>
                </c:pt>
                <c:pt idx="4">
                  <c:v>1766251.6491648194</c:v>
                </c:pt>
                <c:pt idx="5">
                  <c:v>1768914.5614560242</c:v>
                </c:pt>
                <c:pt idx="6">
                  <c:v>1771577.4737472292</c:v>
                </c:pt>
                <c:pt idx="7">
                  <c:v>1774240.386038434</c:v>
                </c:pt>
                <c:pt idx="8">
                  <c:v>1776903.2983296388</c:v>
                </c:pt>
                <c:pt idx="9">
                  <c:v>1779566.2106208436</c:v>
                </c:pt>
                <c:pt idx="10">
                  <c:v>1782229.1229120486</c:v>
                </c:pt>
                <c:pt idx="11">
                  <c:v>1784892.0352032534</c:v>
                </c:pt>
                <c:pt idx="12">
                  <c:v>1787554.9474944582</c:v>
                </c:pt>
                <c:pt idx="13">
                  <c:v>1790217.859785663</c:v>
                </c:pt>
                <c:pt idx="14">
                  <c:v>1792880.772076868</c:v>
                </c:pt>
                <c:pt idx="15">
                  <c:v>1795543.6843680728</c:v>
                </c:pt>
                <c:pt idx="16">
                  <c:v>1798206.5966592776</c:v>
                </c:pt>
                <c:pt idx="17">
                  <c:v>1800869.5089504824</c:v>
                </c:pt>
                <c:pt idx="18">
                  <c:v>1803532.4212416874</c:v>
                </c:pt>
                <c:pt idx="19">
                  <c:v>1806195.3335328922</c:v>
                </c:pt>
                <c:pt idx="20">
                  <c:v>1808858.245824097</c:v>
                </c:pt>
                <c:pt idx="21">
                  <c:v>1811521.1581153017</c:v>
                </c:pt>
                <c:pt idx="22">
                  <c:v>1814184.0704065068</c:v>
                </c:pt>
                <c:pt idx="23">
                  <c:v>1816846.9826977116</c:v>
                </c:pt>
                <c:pt idx="24">
                  <c:v>1819509.8949889163</c:v>
                </c:pt>
                <c:pt idx="25">
                  <c:v>1822172.8072801211</c:v>
                </c:pt>
                <c:pt idx="26">
                  <c:v>1824835.7195713262</c:v>
                </c:pt>
                <c:pt idx="27">
                  <c:v>1827498.631862531</c:v>
                </c:pt>
                <c:pt idx="28">
                  <c:v>1830161.5441537357</c:v>
                </c:pt>
                <c:pt idx="29">
                  <c:v>1832824.4564449405</c:v>
                </c:pt>
                <c:pt idx="30">
                  <c:v>1835487.3687361456</c:v>
                </c:pt>
                <c:pt idx="31">
                  <c:v>1838150.2810273503</c:v>
                </c:pt>
                <c:pt idx="32">
                  <c:v>1840813.1933185551</c:v>
                </c:pt>
                <c:pt idx="33">
                  <c:v>1843476.1056097602</c:v>
                </c:pt>
                <c:pt idx="34">
                  <c:v>1846139.0179009649</c:v>
                </c:pt>
                <c:pt idx="35">
                  <c:v>1848801.9301921697</c:v>
                </c:pt>
                <c:pt idx="36">
                  <c:v>1851464.8424833745</c:v>
                </c:pt>
                <c:pt idx="37">
                  <c:v>1854127.7547745795</c:v>
                </c:pt>
                <c:pt idx="38">
                  <c:v>1856790.6670657843</c:v>
                </c:pt>
                <c:pt idx="39">
                  <c:v>1859453.5793569891</c:v>
                </c:pt>
                <c:pt idx="40">
                  <c:v>1862116.4916481939</c:v>
                </c:pt>
                <c:pt idx="41">
                  <c:v>1864779.4039393989</c:v>
                </c:pt>
                <c:pt idx="42">
                  <c:v>1867442.3162306037</c:v>
                </c:pt>
                <c:pt idx="43">
                  <c:v>1870105.2285218085</c:v>
                </c:pt>
                <c:pt idx="44">
                  <c:v>1872768.1408130133</c:v>
                </c:pt>
                <c:pt idx="45">
                  <c:v>1875431.0531042183</c:v>
                </c:pt>
                <c:pt idx="46">
                  <c:v>1878093.9653954231</c:v>
                </c:pt>
                <c:pt idx="47">
                  <c:v>1880756.8776866279</c:v>
                </c:pt>
                <c:pt idx="48">
                  <c:v>1883419.7899778327</c:v>
                </c:pt>
                <c:pt idx="49">
                  <c:v>1886082.7022690377</c:v>
                </c:pt>
                <c:pt idx="50">
                  <c:v>1888745.6145602425</c:v>
                </c:pt>
                <c:pt idx="51">
                  <c:v>1891408.5268514473</c:v>
                </c:pt>
                <c:pt idx="52">
                  <c:v>1894071.4391426521</c:v>
                </c:pt>
                <c:pt idx="53">
                  <c:v>1896734.3514338571</c:v>
                </c:pt>
                <c:pt idx="54">
                  <c:v>1899397.2637250619</c:v>
                </c:pt>
                <c:pt idx="55">
                  <c:v>1902060.1760162667</c:v>
                </c:pt>
                <c:pt idx="56">
                  <c:v>1904723.0883074715</c:v>
                </c:pt>
                <c:pt idx="57">
                  <c:v>1907386.0005986765</c:v>
                </c:pt>
                <c:pt idx="58">
                  <c:v>1910048.9128898813</c:v>
                </c:pt>
                <c:pt idx="59">
                  <c:v>1912711.8251810861</c:v>
                </c:pt>
                <c:pt idx="60">
                  <c:v>1915374.7374722911</c:v>
                </c:pt>
                <c:pt idx="61">
                  <c:v>1918037.6497634959</c:v>
                </c:pt>
                <c:pt idx="62">
                  <c:v>1920700.5620547007</c:v>
                </c:pt>
                <c:pt idx="63">
                  <c:v>1923363.4743459055</c:v>
                </c:pt>
                <c:pt idx="64">
                  <c:v>1926026.3866371103</c:v>
                </c:pt>
                <c:pt idx="65">
                  <c:v>1928689.2989283153</c:v>
                </c:pt>
                <c:pt idx="66">
                  <c:v>1931352.2112195201</c:v>
                </c:pt>
                <c:pt idx="67">
                  <c:v>1934015.1235107249</c:v>
                </c:pt>
                <c:pt idx="68">
                  <c:v>1936678.0358019299</c:v>
                </c:pt>
                <c:pt idx="69">
                  <c:v>1939340.9480931347</c:v>
                </c:pt>
                <c:pt idx="70">
                  <c:v>1942003.8603843395</c:v>
                </c:pt>
                <c:pt idx="71">
                  <c:v>1944666.7726755443</c:v>
                </c:pt>
                <c:pt idx="72">
                  <c:v>1947329.684966749</c:v>
                </c:pt>
                <c:pt idx="73">
                  <c:v>1949992.5972579541</c:v>
                </c:pt>
                <c:pt idx="74">
                  <c:v>1952655.5095491589</c:v>
                </c:pt>
                <c:pt idx="75">
                  <c:v>1955318.4218403636</c:v>
                </c:pt>
                <c:pt idx="76">
                  <c:v>1957981.3341315687</c:v>
                </c:pt>
                <c:pt idx="77">
                  <c:v>1960644.2464227735</c:v>
                </c:pt>
                <c:pt idx="78">
                  <c:v>1963307.1587139782</c:v>
                </c:pt>
                <c:pt idx="79">
                  <c:v>1965970.071005183</c:v>
                </c:pt>
                <c:pt idx="80">
                  <c:v>1968632.9832963881</c:v>
                </c:pt>
                <c:pt idx="81">
                  <c:v>1971295.8955875929</c:v>
                </c:pt>
                <c:pt idx="82">
                  <c:v>1973958.8078787976</c:v>
                </c:pt>
                <c:pt idx="83">
                  <c:v>1976621.7201700024</c:v>
                </c:pt>
                <c:pt idx="84">
                  <c:v>1979284.6324612075</c:v>
                </c:pt>
                <c:pt idx="85">
                  <c:v>1981947.5447524122</c:v>
                </c:pt>
                <c:pt idx="86">
                  <c:v>1984610.457043617</c:v>
                </c:pt>
                <c:pt idx="87">
                  <c:v>1987273.3693348218</c:v>
                </c:pt>
                <c:pt idx="88">
                  <c:v>1989936.2816260268</c:v>
                </c:pt>
                <c:pt idx="89">
                  <c:v>1992599.1939172316</c:v>
                </c:pt>
                <c:pt idx="90">
                  <c:v>1995262.1062084364</c:v>
                </c:pt>
                <c:pt idx="91">
                  <c:v>1997925.0184996412</c:v>
                </c:pt>
                <c:pt idx="92">
                  <c:v>2000587.9307908462</c:v>
                </c:pt>
                <c:pt idx="93">
                  <c:v>2003250.843082051</c:v>
                </c:pt>
                <c:pt idx="94">
                  <c:v>2005913.7553732558</c:v>
                </c:pt>
                <c:pt idx="95">
                  <c:v>2008576.6676644608</c:v>
                </c:pt>
                <c:pt idx="96">
                  <c:v>2011239.5799556656</c:v>
                </c:pt>
                <c:pt idx="97">
                  <c:v>2013902.4922468704</c:v>
                </c:pt>
                <c:pt idx="98">
                  <c:v>2016565.4045380752</c:v>
                </c:pt>
                <c:pt idx="99">
                  <c:v>2019228.31682928</c:v>
                </c:pt>
                <c:pt idx="100">
                  <c:v>2021891.229120485</c:v>
                </c:pt>
                <c:pt idx="101">
                  <c:v>2024554.1414116898</c:v>
                </c:pt>
                <c:pt idx="102">
                  <c:v>2027217.0537028946</c:v>
                </c:pt>
                <c:pt idx="103">
                  <c:v>2029879.9659940996</c:v>
                </c:pt>
                <c:pt idx="104">
                  <c:v>2032542.8782853044</c:v>
                </c:pt>
                <c:pt idx="105">
                  <c:v>2035205.7905765092</c:v>
                </c:pt>
                <c:pt idx="106">
                  <c:v>2037868.702867714</c:v>
                </c:pt>
                <c:pt idx="107">
                  <c:v>2040531.6151589188</c:v>
                </c:pt>
                <c:pt idx="108">
                  <c:v>2043194.5274501238</c:v>
                </c:pt>
                <c:pt idx="109">
                  <c:v>2045857.4397413286</c:v>
                </c:pt>
                <c:pt idx="110">
                  <c:v>2048520.3520325334</c:v>
                </c:pt>
                <c:pt idx="111">
                  <c:v>2051183.2643237384</c:v>
                </c:pt>
                <c:pt idx="112">
                  <c:v>2053846.1766149432</c:v>
                </c:pt>
                <c:pt idx="113">
                  <c:v>2056509.088906148</c:v>
                </c:pt>
                <c:pt idx="114">
                  <c:v>2059172.001197353</c:v>
                </c:pt>
                <c:pt idx="115">
                  <c:v>2061834.9134885578</c:v>
                </c:pt>
                <c:pt idx="116">
                  <c:v>2064497.8257797626</c:v>
                </c:pt>
                <c:pt idx="117">
                  <c:v>2067160.7380709674</c:v>
                </c:pt>
                <c:pt idx="118">
                  <c:v>2069823.6503621722</c:v>
                </c:pt>
                <c:pt idx="119">
                  <c:v>2072486.5626533772</c:v>
                </c:pt>
                <c:pt idx="120">
                  <c:v>2075149.474944582</c:v>
                </c:pt>
                <c:pt idx="121">
                  <c:v>2077812.3872357868</c:v>
                </c:pt>
                <c:pt idx="122">
                  <c:v>2080475.2995269918</c:v>
                </c:pt>
                <c:pt idx="123">
                  <c:v>2083138.2118181966</c:v>
                </c:pt>
                <c:pt idx="124">
                  <c:v>2085801.1241094014</c:v>
                </c:pt>
                <c:pt idx="125">
                  <c:v>2088464.0364006062</c:v>
                </c:pt>
                <c:pt idx="126">
                  <c:v>2091126.9486918109</c:v>
                </c:pt>
                <c:pt idx="127">
                  <c:v>2093789.860983016</c:v>
                </c:pt>
                <c:pt idx="128">
                  <c:v>2096452.7732742208</c:v>
                </c:pt>
                <c:pt idx="129">
                  <c:v>2099115.6855654255</c:v>
                </c:pt>
                <c:pt idx="130">
                  <c:v>2101778.5978566306</c:v>
                </c:pt>
                <c:pt idx="131">
                  <c:v>2104441.5101478351</c:v>
                </c:pt>
                <c:pt idx="132">
                  <c:v>2107104.4224390402</c:v>
                </c:pt>
                <c:pt idx="133">
                  <c:v>2109767.3347302452</c:v>
                </c:pt>
                <c:pt idx="134">
                  <c:v>2112430.2470214497</c:v>
                </c:pt>
                <c:pt idx="135">
                  <c:v>2115093.1593126548</c:v>
                </c:pt>
                <c:pt idx="136">
                  <c:v>2117756.0716038598</c:v>
                </c:pt>
                <c:pt idx="137">
                  <c:v>2120418.9838950643</c:v>
                </c:pt>
                <c:pt idx="138">
                  <c:v>2123081.8961862694</c:v>
                </c:pt>
                <c:pt idx="139">
                  <c:v>2125744.8084774739</c:v>
                </c:pt>
                <c:pt idx="140">
                  <c:v>2128407.7207686789</c:v>
                </c:pt>
                <c:pt idx="141">
                  <c:v>2131070.633059884</c:v>
                </c:pt>
                <c:pt idx="142">
                  <c:v>2133733.5453510885</c:v>
                </c:pt>
                <c:pt idx="143">
                  <c:v>2136396.4576422935</c:v>
                </c:pt>
                <c:pt idx="144">
                  <c:v>2139059.3699334981</c:v>
                </c:pt>
                <c:pt idx="145">
                  <c:v>2141722.2822247031</c:v>
                </c:pt>
                <c:pt idx="146">
                  <c:v>2144385.1945159081</c:v>
                </c:pt>
                <c:pt idx="147">
                  <c:v>2147048.1068071127</c:v>
                </c:pt>
                <c:pt idx="148">
                  <c:v>2149711.0190983177</c:v>
                </c:pt>
                <c:pt idx="149">
                  <c:v>2152373.9313895227</c:v>
                </c:pt>
                <c:pt idx="150">
                  <c:v>2155036.8436807273</c:v>
                </c:pt>
                <c:pt idx="151">
                  <c:v>2157699.7559719323</c:v>
                </c:pt>
                <c:pt idx="152">
                  <c:v>2160362.6682631373</c:v>
                </c:pt>
                <c:pt idx="153">
                  <c:v>2163025.5805543419</c:v>
                </c:pt>
                <c:pt idx="154">
                  <c:v>2165688.4928455469</c:v>
                </c:pt>
                <c:pt idx="155">
                  <c:v>2168351.4051367519</c:v>
                </c:pt>
                <c:pt idx="156">
                  <c:v>2171014.3174279565</c:v>
                </c:pt>
                <c:pt idx="157">
                  <c:v>2173677.2297191615</c:v>
                </c:pt>
                <c:pt idx="158">
                  <c:v>2176340.1420103661</c:v>
                </c:pt>
                <c:pt idx="159">
                  <c:v>2179003.0543015711</c:v>
                </c:pt>
                <c:pt idx="160">
                  <c:v>2181665.9665927761</c:v>
                </c:pt>
                <c:pt idx="161">
                  <c:v>2184328.8788839807</c:v>
                </c:pt>
                <c:pt idx="162">
                  <c:v>2186991.7911751857</c:v>
                </c:pt>
                <c:pt idx="163">
                  <c:v>2189654.7034663903</c:v>
                </c:pt>
                <c:pt idx="164">
                  <c:v>2192317.6157575953</c:v>
                </c:pt>
                <c:pt idx="165">
                  <c:v>2194980.5280488003</c:v>
                </c:pt>
                <c:pt idx="166">
                  <c:v>2197643.4403400049</c:v>
                </c:pt>
                <c:pt idx="167">
                  <c:v>2200306.3526312099</c:v>
                </c:pt>
                <c:pt idx="168">
                  <c:v>2202969.2649224149</c:v>
                </c:pt>
                <c:pt idx="169">
                  <c:v>2205632.1772136195</c:v>
                </c:pt>
                <c:pt idx="170">
                  <c:v>2208295.0895048245</c:v>
                </c:pt>
                <c:pt idx="171">
                  <c:v>2210958.0017960295</c:v>
                </c:pt>
                <c:pt idx="172">
                  <c:v>2213620.9140872341</c:v>
                </c:pt>
                <c:pt idx="173">
                  <c:v>2216283.8263784391</c:v>
                </c:pt>
                <c:pt idx="174">
                  <c:v>2218946.7386696436</c:v>
                </c:pt>
                <c:pt idx="175">
                  <c:v>2221609.6509608487</c:v>
                </c:pt>
                <c:pt idx="176">
                  <c:v>2224272.5632520537</c:v>
                </c:pt>
                <c:pt idx="177">
                  <c:v>2226935.4755432582</c:v>
                </c:pt>
                <c:pt idx="178">
                  <c:v>2229598.3878344633</c:v>
                </c:pt>
                <c:pt idx="179">
                  <c:v>2232261.3001256683</c:v>
                </c:pt>
                <c:pt idx="180">
                  <c:v>2234924.2124168728</c:v>
                </c:pt>
                <c:pt idx="181">
                  <c:v>2237587.1247080779</c:v>
                </c:pt>
                <c:pt idx="182">
                  <c:v>2240250.0369992824</c:v>
                </c:pt>
                <c:pt idx="183">
                  <c:v>2242912.9492904874</c:v>
                </c:pt>
                <c:pt idx="184">
                  <c:v>2245575.8615816925</c:v>
                </c:pt>
                <c:pt idx="185">
                  <c:v>2248238.773872897</c:v>
                </c:pt>
                <c:pt idx="186">
                  <c:v>2250901.6861641021</c:v>
                </c:pt>
                <c:pt idx="187">
                  <c:v>2253564.5984553071</c:v>
                </c:pt>
                <c:pt idx="188">
                  <c:v>2256227.5107465116</c:v>
                </c:pt>
                <c:pt idx="189">
                  <c:v>2258890.4230377167</c:v>
                </c:pt>
                <c:pt idx="190">
                  <c:v>2261553.3353289217</c:v>
                </c:pt>
                <c:pt idx="191">
                  <c:v>2264216.2476201262</c:v>
                </c:pt>
                <c:pt idx="192">
                  <c:v>2266879.1599113313</c:v>
                </c:pt>
                <c:pt idx="193">
                  <c:v>2269542.0722025358</c:v>
                </c:pt>
                <c:pt idx="194">
                  <c:v>2272204.9844937408</c:v>
                </c:pt>
                <c:pt idx="195">
                  <c:v>2274867.8967849459</c:v>
                </c:pt>
                <c:pt idx="196">
                  <c:v>2277530.8090761504</c:v>
                </c:pt>
                <c:pt idx="197">
                  <c:v>2280193.7213673554</c:v>
                </c:pt>
                <c:pt idx="198">
                  <c:v>2282856.63365856</c:v>
                </c:pt>
                <c:pt idx="199">
                  <c:v>2285519.545949765</c:v>
                </c:pt>
                <c:pt idx="200">
                  <c:v>2288182.45824097</c:v>
                </c:pt>
                <c:pt idx="201">
                  <c:v>2290845.3705321746</c:v>
                </c:pt>
                <c:pt idx="202">
                  <c:v>2293508.2828233796</c:v>
                </c:pt>
                <c:pt idx="203">
                  <c:v>2296171.1951145846</c:v>
                </c:pt>
                <c:pt idx="204">
                  <c:v>2298834.1074057892</c:v>
                </c:pt>
                <c:pt idx="205">
                  <c:v>2301497.0196969942</c:v>
                </c:pt>
                <c:pt idx="206">
                  <c:v>2304159.9319881992</c:v>
                </c:pt>
                <c:pt idx="207">
                  <c:v>2306822.8442794038</c:v>
                </c:pt>
                <c:pt idx="208">
                  <c:v>2309485.7565706088</c:v>
                </c:pt>
                <c:pt idx="209">
                  <c:v>2312148.6688618138</c:v>
                </c:pt>
                <c:pt idx="210">
                  <c:v>2314811.5811530184</c:v>
                </c:pt>
                <c:pt idx="211">
                  <c:v>2317474.4934442234</c:v>
                </c:pt>
                <c:pt idx="212">
                  <c:v>2320137.405735428</c:v>
                </c:pt>
                <c:pt idx="213">
                  <c:v>2322800.318026633</c:v>
                </c:pt>
                <c:pt idx="214">
                  <c:v>2325463.2303178376</c:v>
                </c:pt>
                <c:pt idx="215">
                  <c:v>2328126.1426090426</c:v>
                </c:pt>
                <c:pt idx="216">
                  <c:v>2330789.0549002476</c:v>
                </c:pt>
                <c:pt idx="217">
                  <c:v>2333451.9671914522</c:v>
                </c:pt>
                <c:pt idx="218">
                  <c:v>2336114.8794826572</c:v>
                </c:pt>
                <c:pt idx="219">
                  <c:v>2338777.7917738622</c:v>
                </c:pt>
                <c:pt idx="220">
                  <c:v>2341440.7040650668</c:v>
                </c:pt>
                <c:pt idx="221">
                  <c:v>2344103.6163562718</c:v>
                </c:pt>
                <c:pt idx="222">
                  <c:v>2346766.5286474768</c:v>
                </c:pt>
                <c:pt idx="223">
                  <c:v>2349429.4409386814</c:v>
                </c:pt>
                <c:pt idx="224">
                  <c:v>2352092.3532298864</c:v>
                </c:pt>
                <c:pt idx="225">
                  <c:v>2354755.2655210914</c:v>
                </c:pt>
                <c:pt idx="226">
                  <c:v>2357418.177812296</c:v>
                </c:pt>
                <c:pt idx="227">
                  <c:v>2360081.090103501</c:v>
                </c:pt>
                <c:pt idx="228">
                  <c:v>2362744.002394706</c:v>
                </c:pt>
                <c:pt idx="229">
                  <c:v>2365406.9146859106</c:v>
                </c:pt>
                <c:pt idx="230">
                  <c:v>2368069.8269771156</c:v>
                </c:pt>
                <c:pt idx="231">
                  <c:v>2370732.7392683201</c:v>
                </c:pt>
                <c:pt idx="232">
                  <c:v>2373395.6515595252</c:v>
                </c:pt>
                <c:pt idx="233">
                  <c:v>2376058.5638507297</c:v>
                </c:pt>
                <c:pt idx="234">
                  <c:v>2378721.4761419347</c:v>
                </c:pt>
                <c:pt idx="235">
                  <c:v>2381384.3884331398</c:v>
                </c:pt>
                <c:pt idx="236">
                  <c:v>2384047.3007243443</c:v>
                </c:pt>
                <c:pt idx="237">
                  <c:v>2386710.2130155494</c:v>
                </c:pt>
                <c:pt idx="238">
                  <c:v>2389373.1253067544</c:v>
                </c:pt>
                <c:pt idx="239">
                  <c:v>2392036.0375979589</c:v>
                </c:pt>
                <c:pt idx="240">
                  <c:v>2394698.949889164</c:v>
                </c:pt>
                <c:pt idx="241">
                  <c:v>2397361.862180369</c:v>
                </c:pt>
                <c:pt idx="242">
                  <c:v>2400024.7744715735</c:v>
                </c:pt>
                <c:pt idx="243">
                  <c:v>2402687.6867627786</c:v>
                </c:pt>
                <c:pt idx="244">
                  <c:v>2405350.5990539836</c:v>
                </c:pt>
                <c:pt idx="245">
                  <c:v>2408013.5113451881</c:v>
                </c:pt>
                <c:pt idx="246">
                  <c:v>2410676.4236363932</c:v>
                </c:pt>
                <c:pt idx="247">
                  <c:v>2413339.3359275977</c:v>
                </c:pt>
                <c:pt idx="248">
                  <c:v>2416002.2482188027</c:v>
                </c:pt>
                <c:pt idx="249">
                  <c:v>2418665.1605100073</c:v>
                </c:pt>
                <c:pt idx="250">
                  <c:v>2421328.0728012123</c:v>
                </c:pt>
                <c:pt idx="251">
                  <c:v>2423990.9850924173</c:v>
                </c:pt>
                <c:pt idx="252">
                  <c:v>2426653.8973836219</c:v>
                </c:pt>
                <c:pt idx="253">
                  <c:v>2429316.8096748269</c:v>
                </c:pt>
                <c:pt idx="254">
                  <c:v>2431979.7219660319</c:v>
                </c:pt>
                <c:pt idx="255">
                  <c:v>2434642.6342572365</c:v>
                </c:pt>
                <c:pt idx="256">
                  <c:v>2437305.5465484415</c:v>
                </c:pt>
                <c:pt idx="257">
                  <c:v>2439968.4588396465</c:v>
                </c:pt>
                <c:pt idx="258">
                  <c:v>2442631.3711308511</c:v>
                </c:pt>
                <c:pt idx="259">
                  <c:v>2445294.2834220561</c:v>
                </c:pt>
                <c:pt idx="260">
                  <c:v>2447957.1957132611</c:v>
                </c:pt>
                <c:pt idx="261">
                  <c:v>2450620.1080044657</c:v>
                </c:pt>
                <c:pt idx="262">
                  <c:v>2453283.0202956707</c:v>
                </c:pt>
                <c:pt idx="263">
                  <c:v>2455945.9325868757</c:v>
                </c:pt>
                <c:pt idx="264">
                  <c:v>2458608.8448780803</c:v>
                </c:pt>
                <c:pt idx="265">
                  <c:v>2461271.7571692853</c:v>
                </c:pt>
                <c:pt idx="266">
                  <c:v>2463934.6694604899</c:v>
                </c:pt>
                <c:pt idx="267">
                  <c:v>2466597.5817516949</c:v>
                </c:pt>
                <c:pt idx="268">
                  <c:v>2469260.4940428995</c:v>
                </c:pt>
                <c:pt idx="269">
                  <c:v>2471923.4063341045</c:v>
                </c:pt>
                <c:pt idx="270">
                  <c:v>2474586.3186253095</c:v>
                </c:pt>
                <c:pt idx="271">
                  <c:v>2477249.2309165141</c:v>
                </c:pt>
                <c:pt idx="272">
                  <c:v>2479912.1432077191</c:v>
                </c:pt>
                <c:pt idx="273">
                  <c:v>2482575.0554989241</c:v>
                </c:pt>
                <c:pt idx="274">
                  <c:v>2485237.9677901287</c:v>
                </c:pt>
                <c:pt idx="275">
                  <c:v>2487900.8800813337</c:v>
                </c:pt>
                <c:pt idx="276">
                  <c:v>2490563.7923725387</c:v>
                </c:pt>
                <c:pt idx="277">
                  <c:v>2493226.7046637433</c:v>
                </c:pt>
                <c:pt idx="278">
                  <c:v>2495889.6169549483</c:v>
                </c:pt>
                <c:pt idx="279">
                  <c:v>2498552.5292461533</c:v>
                </c:pt>
                <c:pt idx="280">
                  <c:v>2501215.4415373579</c:v>
                </c:pt>
                <c:pt idx="281">
                  <c:v>2503878.3538285629</c:v>
                </c:pt>
                <c:pt idx="282">
                  <c:v>2506541.2661197674</c:v>
                </c:pt>
                <c:pt idx="283">
                  <c:v>2509204.1784109725</c:v>
                </c:pt>
                <c:pt idx="284">
                  <c:v>2511867.090702177</c:v>
                </c:pt>
                <c:pt idx="285">
                  <c:v>2514530.002993382</c:v>
                </c:pt>
                <c:pt idx="286">
                  <c:v>2517192.9152845871</c:v>
                </c:pt>
                <c:pt idx="287">
                  <c:v>2519855.8275757916</c:v>
                </c:pt>
                <c:pt idx="288">
                  <c:v>2522518.7398669966</c:v>
                </c:pt>
                <c:pt idx="289">
                  <c:v>2525181.6521582017</c:v>
                </c:pt>
                <c:pt idx="290">
                  <c:v>2527844.5644494062</c:v>
                </c:pt>
                <c:pt idx="291">
                  <c:v>2530507.4767406113</c:v>
                </c:pt>
                <c:pt idx="292">
                  <c:v>2533170.3890318163</c:v>
                </c:pt>
                <c:pt idx="293">
                  <c:v>2535833.3013230208</c:v>
                </c:pt>
                <c:pt idx="294">
                  <c:v>2538496.2136142259</c:v>
                </c:pt>
                <c:pt idx="295">
                  <c:v>2541159.1259054309</c:v>
                </c:pt>
                <c:pt idx="296">
                  <c:v>2543822.0381966354</c:v>
                </c:pt>
                <c:pt idx="297">
                  <c:v>2546484.9504878405</c:v>
                </c:pt>
                <c:pt idx="298">
                  <c:v>2549147.8627790455</c:v>
                </c:pt>
                <c:pt idx="299">
                  <c:v>2551810.77507025</c:v>
                </c:pt>
                <c:pt idx="300">
                  <c:v>2554473.6873614551</c:v>
                </c:pt>
                <c:pt idx="301">
                  <c:v>2557136.5996526596</c:v>
                </c:pt>
                <c:pt idx="302">
                  <c:v>2559799.5119438646</c:v>
                </c:pt>
                <c:pt idx="303">
                  <c:v>2562462.4242350692</c:v>
                </c:pt>
                <c:pt idx="304">
                  <c:v>2565125.3365262742</c:v>
                </c:pt>
                <c:pt idx="305">
                  <c:v>2567788.2488174792</c:v>
                </c:pt>
                <c:pt idx="306">
                  <c:v>2570451.1611086838</c:v>
                </c:pt>
                <c:pt idx="307">
                  <c:v>2573114.0733998888</c:v>
                </c:pt>
                <c:pt idx="308">
                  <c:v>2575776.9856910938</c:v>
                </c:pt>
                <c:pt idx="309">
                  <c:v>2578439.8979822984</c:v>
                </c:pt>
                <c:pt idx="310">
                  <c:v>2581102.8102735034</c:v>
                </c:pt>
                <c:pt idx="311">
                  <c:v>2583765.7225647084</c:v>
                </c:pt>
                <c:pt idx="312">
                  <c:v>2586428.634855913</c:v>
                </c:pt>
                <c:pt idx="313">
                  <c:v>2589091.547147118</c:v>
                </c:pt>
                <c:pt idx="314">
                  <c:v>2591754.459438323</c:v>
                </c:pt>
                <c:pt idx="315">
                  <c:v>2594417.3717295276</c:v>
                </c:pt>
                <c:pt idx="316">
                  <c:v>2597080.2840207326</c:v>
                </c:pt>
                <c:pt idx="317">
                  <c:v>2599743.1963119372</c:v>
                </c:pt>
                <c:pt idx="318">
                  <c:v>2602406.1086031422</c:v>
                </c:pt>
                <c:pt idx="319">
                  <c:v>2605069.0208943468</c:v>
                </c:pt>
                <c:pt idx="320">
                  <c:v>2607731.9331855518</c:v>
                </c:pt>
                <c:pt idx="321">
                  <c:v>2610394.8454767568</c:v>
                </c:pt>
                <c:pt idx="322">
                  <c:v>2613057.7577679614</c:v>
                </c:pt>
                <c:pt idx="323">
                  <c:v>2615720.6700591664</c:v>
                </c:pt>
                <c:pt idx="324">
                  <c:v>2618383.5823503714</c:v>
                </c:pt>
                <c:pt idx="325">
                  <c:v>2621046.494641576</c:v>
                </c:pt>
                <c:pt idx="326">
                  <c:v>2623709.406932781</c:v>
                </c:pt>
                <c:pt idx="327">
                  <c:v>2626372.319223986</c:v>
                </c:pt>
                <c:pt idx="328">
                  <c:v>2629035.2315151906</c:v>
                </c:pt>
                <c:pt idx="329">
                  <c:v>2631698.1438063956</c:v>
                </c:pt>
                <c:pt idx="330">
                  <c:v>2634361.0560976006</c:v>
                </c:pt>
                <c:pt idx="331">
                  <c:v>2637023.9683888052</c:v>
                </c:pt>
                <c:pt idx="332">
                  <c:v>2639686.8806800102</c:v>
                </c:pt>
                <c:pt idx="333">
                  <c:v>2642349.7929712152</c:v>
                </c:pt>
                <c:pt idx="334">
                  <c:v>2645012.7052624198</c:v>
                </c:pt>
                <c:pt idx="335">
                  <c:v>2647675.6175536248</c:v>
                </c:pt>
                <c:pt idx="336">
                  <c:v>2650338.5298448293</c:v>
                </c:pt>
                <c:pt idx="337">
                  <c:v>2653001.4421360344</c:v>
                </c:pt>
                <c:pt idx="338">
                  <c:v>2655664.3544272389</c:v>
                </c:pt>
                <c:pt idx="339">
                  <c:v>2658327.2667184439</c:v>
                </c:pt>
                <c:pt idx="340">
                  <c:v>2660990.179009649</c:v>
                </c:pt>
                <c:pt idx="341">
                  <c:v>2663653.0913008535</c:v>
                </c:pt>
                <c:pt idx="342">
                  <c:v>2666316.0035920586</c:v>
                </c:pt>
                <c:pt idx="343">
                  <c:v>2668978.9158832636</c:v>
                </c:pt>
                <c:pt idx="344">
                  <c:v>2671641.8281744681</c:v>
                </c:pt>
                <c:pt idx="345">
                  <c:v>2674304.7404656732</c:v>
                </c:pt>
                <c:pt idx="346">
                  <c:v>2676967.6527568782</c:v>
                </c:pt>
                <c:pt idx="347">
                  <c:v>2679630.5650480827</c:v>
                </c:pt>
                <c:pt idx="348">
                  <c:v>2682293.4773392878</c:v>
                </c:pt>
                <c:pt idx="349">
                  <c:v>2684956.3896304928</c:v>
                </c:pt>
                <c:pt idx="350">
                  <c:v>2687619.3019216973</c:v>
                </c:pt>
                <c:pt idx="351">
                  <c:v>2690282.2142129024</c:v>
                </c:pt>
                <c:pt idx="352">
                  <c:v>2692945.1265041074</c:v>
                </c:pt>
                <c:pt idx="353">
                  <c:v>2695608.0387953119</c:v>
                </c:pt>
                <c:pt idx="354">
                  <c:v>2698270.951086517</c:v>
                </c:pt>
                <c:pt idx="355">
                  <c:v>2700933.8633777215</c:v>
                </c:pt>
                <c:pt idx="356">
                  <c:v>2703596.7756689265</c:v>
                </c:pt>
                <c:pt idx="357">
                  <c:v>2706259.6879601311</c:v>
                </c:pt>
                <c:pt idx="358">
                  <c:v>2708922.6002513361</c:v>
                </c:pt>
                <c:pt idx="359">
                  <c:v>2711585.5125425411</c:v>
                </c:pt>
                <c:pt idx="360">
                  <c:v>2714248.4248337457</c:v>
                </c:pt>
                <c:pt idx="361">
                  <c:v>2716911.3371249507</c:v>
                </c:pt>
                <c:pt idx="362">
                  <c:v>2719574.2494161557</c:v>
                </c:pt>
                <c:pt idx="363">
                  <c:v>2722237.1617073603</c:v>
                </c:pt>
                <c:pt idx="364">
                  <c:v>2724900.0739985653</c:v>
                </c:pt>
                <c:pt idx="365">
                  <c:v>2727562.9862897703</c:v>
                </c:pt>
                <c:pt idx="366">
                  <c:v>2730225.8985809749</c:v>
                </c:pt>
                <c:pt idx="367">
                  <c:v>2732888.8108721799</c:v>
                </c:pt>
                <c:pt idx="368">
                  <c:v>2735551.7231633849</c:v>
                </c:pt>
                <c:pt idx="369">
                  <c:v>2738214.6354545895</c:v>
                </c:pt>
                <c:pt idx="370">
                  <c:v>2740877.5477457945</c:v>
                </c:pt>
                <c:pt idx="371">
                  <c:v>2743540.4600369991</c:v>
                </c:pt>
                <c:pt idx="372">
                  <c:v>2746203.3723282041</c:v>
                </c:pt>
                <c:pt idx="373">
                  <c:v>2748866.2846194087</c:v>
                </c:pt>
                <c:pt idx="374">
                  <c:v>2751529.1969106137</c:v>
                </c:pt>
                <c:pt idx="375">
                  <c:v>2754192.1092018187</c:v>
                </c:pt>
                <c:pt idx="376">
                  <c:v>2756855.0214930233</c:v>
                </c:pt>
                <c:pt idx="377">
                  <c:v>2759517.9337842283</c:v>
                </c:pt>
                <c:pt idx="378">
                  <c:v>2762180.8460754333</c:v>
                </c:pt>
                <c:pt idx="379">
                  <c:v>2764843.7583666379</c:v>
                </c:pt>
                <c:pt idx="380">
                  <c:v>2767506.6706578429</c:v>
                </c:pt>
                <c:pt idx="381">
                  <c:v>2770169.5829490479</c:v>
                </c:pt>
                <c:pt idx="382">
                  <c:v>2772832.4952402525</c:v>
                </c:pt>
                <c:pt idx="383">
                  <c:v>2775495.4075314575</c:v>
                </c:pt>
                <c:pt idx="384">
                  <c:v>2778158.3198226625</c:v>
                </c:pt>
                <c:pt idx="385">
                  <c:v>2780821.2321138671</c:v>
                </c:pt>
                <c:pt idx="386">
                  <c:v>2783484.1444050721</c:v>
                </c:pt>
                <c:pt idx="387">
                  <c:v>2786147.0566962771</c:v>
                </c:pt>
                <c:pt idx="388">
                  <c:v>2788809.9689874817</c:v>
                </c:pt>
                <c:pt idx="389">
                  <c:v>2791472.8812786867</c:v>
                </c:pt>
                <c:pt idx="390">
                  <c:v>2794135.7935698912</c:v>
                </c:pt>
                <c:pt idx="391">
                  <c:v>2796798.7058610963</c:v>
                </c:pt>
                <c:pt idx="392">
                  <c:v>2799461.6181523008</c:v>
                </c:pt>
                <c:pt idx="393">
                  <c:v>2802124.5304435058</c:v>
                </c:pt>
                <c:pt idx="394">
                  <c:v>2804787.4427347109</c:v>
                </c:pt>
                <c:pt idx="395">
                  <c:v>2807450.3550259154</c:v>
                </c:pt>
                <c:pt idx="396">
                  <c:v>2810113.2673171205</c:v>
                </c:pt>
                <c:pt idx="397">
                  <c:v>2812776.1796083255</c:v>
                </c:pt>
                <c:pt idx="398">
                  <c:v>2815439.09189953</c:v>
                </c:pt>
                <c:pt idx="399">
                  <c:v>2818102.0041907351</c:v>
                </c:pt>
                <c:pt idx="400">
                  <c:v>2820764.9164819401</c:v>
                </c:pt>
                <c:pt idx="401">
                  <c:v>2823427.8287731446</c:v>
                </c:pt>
                <c:pt idx="402">
                  <c:v>2826090.7410643497</c:v>
                </c:pt>
                <c:pt idx="403">
                  <c:v>2828753.6533555547</c:v>
                </c:pt>
                <c:pt idx="404">
                  <c:v>2831416.5656467592</c:v>
                </c:pt>
                <c:pt idx="405">
                  <c:v>2834079.4779379638</c:v>
                </c:pt>
                <c:pt idx="406">
                  <c:v>2836742.3902291693</c:v>
                </c:pt>
                <c:pt idx="407">
                  <c:v>2839405.3025203738</c:v>
                </c:pt>
                <c:pt idx="408">
                  <c:v>2842068.2148115784</c:v>
                </c:pt>
                <c:pt idx="409">
                  <c:v>2844731.1271027834</c:v>
                </c:pt>
                <c:pt idx="410">
                  <c:v>2847394.0393939884</c:v>
                </c:pt>
                <c:pt idx="411">
                  <c:v>2850056.951685193</c:v>
                </c:pt>
                <c:pt idx="412">
                  <c:v>2852719.863976398</c:v>
                </c:pt>
                <c:pt idx="413">
                  <c:v>2855382.776267603</c:v>
                </c:pt>
                <c:pt idx="414">
                  <c:v>2858045.6885588076</c:v>
                </c:pt>
                <c:pt idx="415">
                  <c:v>2860708.6008500126</c:v>
                </c:pt>
                <c:pt idx="416">
                  <c:v>2863371.5131412176</c:v>
                </c:pt>
                <c:pt idx="417">
                  <c:v>2866034.4254324222</c:v>
                </c:pt>
                <c:pt idx="418">
                  <c:v>2868697.3377236272</c:v>
                </c:pt>
                <c:pt idx="419">
                  <c:v>2871360.2500148322</c:v>
                </c:pt>
                <c:pt idx="420">
                  <c:v>2874023.1623060368</c:v>
                </c:pt>
                <c:pt idx="421">
                  <c:v>2876686.0745972418</c:v>
                </c:pt>
                <c:pt idx="422">
                  <c:v>2879348.9868884468</c:v>
                </c:pt>
                <c:pt idx="423">
                  <c:v>2882011.8991796514</c:v>
                </c:pt>
                <c:pt idx="424">
                  <c:v>2884674.811470856</c:v>
                </c:pt>
                <c:pt idx="425">
                  <c:v>2887337.7237620614</c:v>
                </c:pt>
                <c:pt idx="426">
                  <c:v>2890000.636053266</c:v>
                </c:pt>
                <c:pt idx="427">
                  <c:v>2892663.5483444706</c:v>
                </c:pt>
                <c:pt idx="428">
                  <c:v>2895326.4606356756</c:v>
                </c:pt>
                <c:pt idx="429">
                  <c:v>2897989.3729268806</c:v>
                </c:pt>
                <c:pt idx="430">
                  <c:v>2900652.2852180852</c:v>
                </c:pt>
                <c:pt idx="431">
                  <c:v>2903315.1975092902</c:v>
                </c:pt>
                <c:pt idx="432">
                  <c:v>2905978.1098004952</c:v>
                </c:pt>
                <c:pt idx="433">
                  <c:v>2908641.0220916998</c:v>
                </c:pt>
                <c:pt idx="434">
                  <c:v>2911303.9343829048</c:v>
                </c:pt>
                <c:pt idx="435">
                  <c:v>2913966.8466741098</c:v>
                </c:pt>
                <c:pt idx="436">
                  <c:v>2916629.7589653144</c:v>
                </c:pt>
                <c:pt idx="437">
                  <c:v>2919292.6712565194</c:v>
                </c:pt>
                <c:pt idx="438">
                  <c:v>2921955.5835477244</c:v>
                </c:pt>
                <c:pt idx="439">
                  <c:v>2924618.495838929</c:v>
                </c:pt>
                <c:pt idx="440">
                  <c:v>2927281.4081301335</c:v>
                </c:pt>
                <c:pt idx="441">
                  <c:v>2929944.320421339</c:v>
                </c:pt>
                <c:pt idx="442">
                  <c:v>2932607.2327125436</c:v>
                </c:pt>
                <c:pt idx="443">
                  <c:v>2935270.1450037481</c:v>
                </c:pt>
                <c:pt idx="444">
                  <c:v>2937933.0572949531</c:v>
                </c:pt>
                <c:pt idx="445">
                  <c:v>2940595.9695861582</c:v>
                </c:pt>
                <c:pt idx="446">
                  <c:v>2943258.8818773627</c:v>
                </c:pt>
                <c:pt idx="447">
                  <c:v>2945921.7941685678</c:v>
                </c:pt>
                <c:pt idx="448">
                  <c:v>2948584.7064597728</c:v>
                </c:pt>
                <c:pt idx="449">
                  <c:v>2951247.6187509773</c:v>
                </c:pt>
                <c:pt idx="450">
                  <c:v>2953910.5310421824</c:v>
                </c:pt>
                <c:pt idx="451">
                  <c:v>2956573.4433333874</c:v>
                </c:pt>
                <c:pt idx="452">
                  <c:v>2959236.3556245919</c:v>
                </c:pt>
                <c:pt idx="453">
                  <c:v>2961899.267915797</c:v>
                </c:pt>
                <c:pt idx="454">
                  <c:v>2964562.180207002</c:v>
                </c:pt>
                <c:pt idx="455">
                  <c:v>2967225.0924982065</c:v>
                </c:pt>
                <c:pt idx="456">
                  <c:v>2969888.0047894116</c:v>
                </c:pt>
                <c:pt idx="457">
                  <c:v>2972550.9170806166</c:v>
                </c:pt>
                <c:pt idx="458">
                  <c:v>2975213.8293718211</c:v>
                </c:pt>
                <c:pt idx="459">
                  <c:v>2977876.7416630257</c:v>
                </c:pt>
                <c:pt idx="460">
                  <c:v>2980539.6539542312</c:v>
                </c:pt>
                <c:pt idx="461">
                  <c:v>2983202.5662454357</c:v>
                </c:pt>
                <c:pt idx="462">
                  <c:v>2985865.4785366403</c:v>
                </c:pt>
                <c:pt idx="463">
                  <c:v>2988528.3908278453</c:v>
                </c:pt>
                <c:pt idx="464">
                  <c:v>2991191.3031190503</c:v>
                </c:pt>
                <c:pt idx="465">
                  <c:v>2993854.2154102549</c:v>
                </c:pt>
                <c:pt idx="466">
                  <c:v>2996517.1277014599</c:v>
                </c:pt>
                <c:pt idx="467">
                  <c:v>2999180.0399926649</c:v>
                </c:pt>
                <c:pt idx="468">
                  <c:v>3001842.9522838695</c:v>
                </c:pt>
                <c:pt idx="469">
                  <c:v>3004505.8645750745</c:v>
                </c:pt>
                <c:pt idx="470">
                  <c:v>3007168.7768662795</c:v>
                </c:pt>
                <c:pt idx="471">
                  <c:v>3009831.6891574841</c:v>
                </c:pt>
                <c:pt idx="472">
                  <c:v>3012494.6014486891</c:v>
                </c:pt>
                <c:pt idx="473">
                  <c:v>3015157.5137398941</c:v>
                </c:pt>
                <c:pt idx="474">
                  <c:v>3017820.4260310987</c:v>
                </c:pt>
                <c:pt idx="475">
                  <c:v>3020483.3383223033</c:v>
                </c:pt>
                <c:pt idx="476">
                  <c:v>3023146.2506135087</c:v>
                </c:pt>
                <c:pt idx="477">
                  <c:v>3025809.1629047133</c:v>
                </c:pt>
                <c:pt idx="478">
                  <c:v>3028472.0751959179</c:v>
                </c:pt>
                <c:pt idx="479">
                  <c:v>3031134.9874871229</c:v>
                </c:pt>
                <c:pt idx="480">
                  <c:v>3033797.8997783279</c:v>
                </c:pt>
                <c:pt idx="481">
                  <c:v>3036460.8120695325</c:v>
                </c:pt>
                <c:pt idx="482">
                  <c:v>3039123.7243607375</c:v>
                </c:pt>
                <c:pt idx="483">
                  <c:v>3041786.6366519425</c:v>
                </c:pt>
                <c:pt idx="484">
                  <c:v>3044449.5489431471</c:v>
                </c:pt>
                <c:pt idx="485">
                  <c:v>3047112.4612343521</c:v>
                </c:pt>
                <c:pt idx="486">
                  <c:v>3049775.3735255571</c:v>
                </c:pt>
                <c:pt idx="487">
                  <c:v>3052438.2858167617</c:v>
                </c:pt>
                <c:pt idx="488">
                  <c:v>3055101.1981079667</c:v>
                </c:pt>
                <c:pt idx="489">
                  <c:v>3057764.1103991717</c:v>
                </c:pt>
                <c:pt idx="490">
                  <c:v>3060427.0226903763</c:v>
                </c:pt>
                <c:pt idx="491">
                  <c:v>3063089.9349815813</c:v>
                </c:pt>
                <c:pt idx="492">
                  <c:v>3065752.8472727863</c:v>
                </c:pt>
                <c:pt idx="493">
                  <c:v>3068415.7595639909</c:v>
                </c:pt>
                <c:pt idx="494">
                  <c:v>3071078.6718551954</c:v>
                </c:pt>
                <c:pt idx="495">
                  <c:v>3073741.5841464009</c:v>
                </c:pt>
                <c:pt idx="496">
                  <c:v>3076404.4964376055</c:v>
                </c:pt>
                <c:pt idx="497">
                  <c:v>3079067.40872881</c:v>
                </c:pt>
                <c:pt idx="498">
                  <c:v>3081730.321020015</c:v>
                </c:pt>
                <c:pt idx="499">
                  <c:v>3084393.2333112201</c:v>
                </c:pt>
                <c:pt idx="500">
                  <c:v>3087056.1456024246</c:v>
                </c:pt>
                <c:pt idx="501">
                  <c:v>3089719.0578936297</c:v>
                </c:pt>
                <c:pt idx="502">
                  <c:v>3092381.9701848347</c:v>
                </c:pt>
                <c:pt idx="503">
                  <c:v>3095044.8824760392</c:v>
                </c:pt>
                <c:pt idx="504">
                  <c:v>3097707.7947672443</c:v>
                </c:pt>
                <c:pt idx="505">
                  <c:v>3100370.7070584493</c:v>
                </c:pt>
                <c:pt idx="506">
                  <c:v>3103033.6193496538</c:v>
                </c:pt>
                <c:pt idx="507">
                  <c:v>3105696.5316408589</c:v>
                </c:pt>
                <c:pt idx="508">
                  <c:v>3108359.4439320639</c:v>
                </c:pt>
                <c:pt idx="509">
                  <c:v>3111022.3562232684</c:v>
                </c:pt>
                <c:pt idx="510">
                  <c:v>3113685.268514473</c:v>
                </c:pt>
                <c:pt idx="511">
                  <c:v>3116348.1808056785</c:v>
                </c:pt>
                <c:pt idx="512">
                  <c:v>3119011.093096883</c:v>
                </c:pt>
                <c:pt idx="513">
                  <c:v>3121674.0053880876</c:v>
                </c:pt>
                <c:pt idx="514">
                  <c:v>3124336.9176792931</c:v>
                </c:pt>
                <c:pt idx="515">
                  <c:v>3126999.8299704976</c:v>
                </c:pt>
                <c:pt idx="516">
                  <c:v>3129662.7422617022</c:v>
                </c:pt>
                <c:pt idx="517">
                  <c:v>3132325.6545529072</c:v>
                </c:pt>
                <c:pt idx="518">
                  <c:v>3134988.5668441122</c:v>
                </c:pt>
                <c:pt idx="519">
                  <c:v>3137651.4791353168</c:v>
                </c:pt>
                <c:pt idx="520">
                  <c:v>3140314.3914265218</c:v>
                </c:pt>
                <c:pt idx="521">
                  <c:v>3142977.3037177268</c:v>
                </c:pt>
                <c:pt idx="522">
                  <c:v>3145640.2160089314</c:v>
                </c:pt>
                <c:pt idx="523">
                  <c:v>3148303.1283001364</c:v>
                </c:pt>
                <c:pt idx="524">
                  <c:v>3150966.0405913414</c:v>
                </c:pt>
                <c:pt idx="525">
                  <c:v>3153628.952882546</c:v>
                </c:pt>
                <c:pt idx="526">
                  <c:v>3156291.865173751</c:v>
                </c:pt>
                <c:pt idx="527">
                  <c:v>3158954.777464956</c:v>
                </c:pt>
                <c:pt idx="528">
                  <c:v>3161617.6897561606</c:v>
                </c:pt>
                <c:pt idx="529">
                  <c:v>3164280.6020473652</c:v>
                </c:pt>
                <c:pt idx="530">
                  <c:v>3166943.5143385706</c:v>
                </c:pt>
                <c:pt idx="531">
                  <c:v>3169606.4266297752</c:v>
                </c:pt>
                <c:pt idx="532">
                  <c:v>3172269.3389209798</c:v>
                </c:pt>
                <c:pt idx="533">
                  <c:v>3174932.2512121848</c:v>
                </c:pt>
                <c:pt idx="534">
                  <c:v>3177595.1635033898</c:v>
                </c:pt>
                <c:pt idx="535">
                  <c:v>3180258.0757945944</c:v>
                </c:pt>
                <c:pt idx="536">
                  <c:v>3182920.9880857994</c:v>
                </c:pt>
                <c:pt idx="537">
                  <c:v>3185583.9003770044</c:v>
                </c:pt>
                <c:pt idx="538">
                  <c:v>3188246.812668209</c:v>
                </c:pt>
                <c:pt idx="539">
                  <c:v>3190909.724959414</c:v>
                </c:pt>
                <c:pt idx="540">
                  <c:v>3193572.637250619</c:v>
                </c:pt>
                <c:pt idx="541">
                  <c:v>3196235.5495418236</c:v>
                </c:pt>
                <c:pt idx="542">
                  <c:v>3198898.4618330286</c:v>
                </c:pt>
                <c:pt idx="543">
                  <c:v>3201561.3741242336</c:v>
                </c:pt>
                <c:pt idx="544">
                  <c:v>3204224.2864154382</c:v>
                </c:pt>
                <c:pt idx="545">
                  <c:v>3206887.1987066432</c:v>
                </c:pt>
                <c:pt idx="546">
                  <c:v>3209550.1109978482</c:v>
                </c:pt>
                <c:pt idx="547">
                  <c:v>3212213.0232890528</c:v>
                </c:pt>
                <c:pt idx="548">
                  <c:v>3214875.9355802573</c:v>
                </c:pt>
                <c:pt idx="549">
                  <c:v>3217538.8478714628</c:v>
                </c:pt>
                <c:pt idx="550">
                  <c:v>3220201.7601626674</c:v>
                </c:pt>
                <c:pt idx="551">
                  <c:v>3222864.6724538719</c:v>
                </c:pt>
                <c:pt idx="552">
                  <c:v>3225527.584745077</c:v>
                </c:pt>
                <c:pt idx="553">
                  <c:v>3228190.497036282</c:v>
                </c:pt>
                <c:pt idx="554">
                  <c:v>3230853.4093274865</c:v>
                </c:pt>
                <c:pt idx="555">
                  <c:v>3233516.3216186916</c:v>
                </c:pt>
                <c:pt idx="556">
                  <c:v>3236179.2339098966</c:v>
                </c:pt>
                <c:pt idx="557">
                  <c:v>3238842.1462011011</c:v>
                </c:pt>
                <c:pt idx="558">
                  <c:v>3241505.0584923062</c:v>
                </c:pt>
                <c:pt idx="559">
                  <c:v>3244167.9707835112</c:v>
                </c:pt>
                <c:pt idx="560">
                  <c:v>3246830.8830747157</c:v>
                </c:pt>
                <c:pt idx="561">
                  <c:v>3249493.7953659208</c:v>
                </c:pt>
                <c:pt idx="562">
                  <c:v>3252156.7076571258</c:v>
                </c:pt>
                <c:pt idx="563">
                  <c:v>3254819.6199483303</c:v>
                </c:pt>
                <c:pt idx="564">
                  <c:v>3257482.5322395349</c:v>
                </c:pt>
                <c:pt idx="565">
                  <c:v>3260145.4445307404</c:v>
                </c:pt>
                <c:pt idx="566">
                  <c:v>3262808.3568219449</c:v>
                </c:pt>
                <c:pt idx="567">
                  <c:v>3265471.2691131495</c:v>
                </c:pt>
                <c:pt idx="568">
                  <c:v>3268134.1814043545</c:v>
                </c:pt>
                <c:pt idx="569">
                  <c:v>3270797.0936955595</c:v>
                </c:pt>
                <c:pt idx="570">
                  <c:v>3273460.0059867641</c:v>
                </c:pt>
                <c:pt idx="571">
                  <c:v>3276122.9182779691</c:v>
                </c:pt>
                <c:pt idx="572">
                  <c:v>3278785.8305691741</c:v>
                </c:pt>
                <c:pt idx="573">
                  <c:v>3281448.7428603787</c:v>
                </c:pt>
                <c:pt idx="574">
                  <c:v>3284111.6551515837</c:v>
                </c:pt>
                <c:pt idx="575">
                  <c:v>3286774.5674427887</c:v>
                </c:pt>
                <c:pt idx="576">
                  <c:v>3289437.4797339933</c:v>
                </c:pt>
                <c:pt idx="577">
                  <c:v>3292100.3920251983</c:v>
                </c:pt>
                <c:pt idx="578">
                  <c:v>3294763.3043164033</c:v>
                </c:pt>
                <c:pt idx="579">
                  <c:v>3297426.2166076079</c:v>
                </c:pt>
                <c:pt idx="580">
                  <c:v>3300089.1288988129</c:v>
                </c:pt>
                <c:pt idx="581">
                  <c:v>3302752.0411900179</c:v>
                </c:pt>
                <c:pt idx="582">
                  <c:v>3305414.9534812225</c:v>
                </c:pt>
                <c:pt idx="583">
                  <c:v>3308077.8657724271</c:v>
                </c:pt>
                <c:pt idx="584">
                  <c:v>3310740.7780636325</c:v>
                </c:pt>
                <c:pt idx="585">
                  <c:v>3313403.6903548371</c:v>
                </c:pt>
                <c:pt idx="586">
                  <c:v>3316066.6026460417</c:v>
                </c:pt>
                <c:pt idx="587">
                  <c:v>3318729.5149372467</c:v>
                </c:pt>
                <c:pt idx="588">
                  <c:v>3321392.4272284517</c:v>
                </c:pt>
                <c:pt idx="589">
                  <c:v>3324055.3395196563</c:v>
                </c:pt>
                <c:pt idx="590">
                  <c:v>3326718.2518108613</c:v>
                </c:pt>
                <c:pt idx="591">
                  <c:v>3329381.1641020663</c:v>
                </c:pt>
                <c:pt idx="592">
                  <c:v>3332044.0763932709</c:v>
                </c:pt>
                <c:pt idx="593">
                  <c:v>3334706.9886844759</c:v>
                </c:pt>
                <c:pt idx="594">
                  <c:v>3337369.9009756809</c:v>
                </c:pt>
                <c:pt idx="595">
                  <c:v>3340032.8132668855</c:v>
                </c:pt>
                <c:pt idx="596">
                  <c:v>3342695.7255580905</c:v>
                </c:pt>
                <c:pt idx="597">
                  <c:v>3345358.6378492955</c:v>
                </c:pt>
                <c:pt idx="598">
                  <c:v>3348021.5501405001</c:v>
                </c:pt>
                <c:pt idx="599">
                  <c:v>3350684.4624317046</c:v>
                </c:pt>
                <c:pt idx="600">
                  <c:v>3353347.3747229101</c:v>
                </c:pt>
                <c:pt idx="601">
                  <c:v>3356010.2870141147</c:v>
                </c:pt>
                <c:pt idx="602">
                  <c:v>3358673.1993053192</c:v>
                </c:pt>
                <c:pt idx="603">
                  <c:v>3361336.1115965242</c:v>
                </c:pt>
                <c:pt idx="604">
                  <c:v>3363999.0238877293</c:v>
                </c:pt>
                <c:pt idx="605">
                  <c:v>3366661.9361789338</c:v>
                </c:pt>
                <c:pt idx="606">
                  <c:v>3369324.8484701389</c:v>
                </c:pt>
                <c:pt idx="607">
                  <c:v>3371987.7607613439</c:v>
                </c:pt>
                <c:pt idx="608">
                  <c:v>3374650.6730525484</c:v>
                </c:pt>
                <c:pt idx="609">
                  <c:v>3377313.5853437535</c:v>
                </c:pt>
                <c:pt idx="610">
                  <c:v>3379976.4976349585</c:v>
                </c:pt>
                <c:pt idx="611">
                  <c:v>3382639.409926163</c:v>
                </c:pt>
                <c:pt idx="612">
                  <c:v>3385302.3222173681</c:v>
                </c:pt>
                <c:pt idx="613">
                  <c:v>3387965.2345085731</c:v>
                </c:pt>
                <c:pt idx="614">
                  <c:v>3390628.1467997776</c:v>
                </c:pt>
                <c:pt idx="615">
                  <c:v>3393291.0590909827</c:v>
                </c:pt>
                <c:pt idx="616">
                  <c:v>3395953.9713821877</c:v>
                </c:pt>
                <c:pt idx="617">
                  <c:v>3398616.8836733922</c:v>
                </c:pt>
                <c:pt idx="618">
                  <c:v>3401279.7959645968</c:v>
                </c:pt>
                <c:pt idx="619">
                  <c:v>3403942.7082558023</c:v>
                </c:pt>
                <c:pt idx="620">
                  <c:v>3406605.6205470068</c:v>
                </c:pt>
                <c:pt idx="621">
                  <c:v>3409268.5328382114</c:v>
                </c:pt>
                <c:pt idx="622">
                  <c:v>3411931.4451294164</c:v>
                </c:pt>
                <c:pt idx="623">
                  <c:v>3414594.3574206214</c:v>
                </c:pt>
                <c:pt idx="624">
                  <c:v>3417257.269711826</c:v>
                </c:pt>
                <c:pt idx="625">
                  <c:v>3419920.182003031</c:v>
                </c:pt>
                <c:pt idx="626">
                  <c:v>3422583.094294236</c:v>
                </c:pt>
                <c:pt idx="627">
                  <c:v>3425246.0065854406</c:v>
                </c:pt>
                <c:pt idx="628">
                  <c:v>3427908.9188766456</c:v>
                </c:pt>
                <c:pt idx="629">
                  <c:v>3430571.8311678506</c:v>
                </c:pt>
                <c:pt idx="630">
                  <c:v>3433234.7434590552</c:v>
                </c:pt>
                <c:pt idx="631">
                  <c:v>3435897.6557502602</c:v>
                </c:pt>
                <c:pt idx="632">
                  <c:v>3438560.5680414652</c:v>
                </c:pt>
                <c:pt idx="633">
                  <c:v>3441223.4803326698</c:v>
                </c:pt>
                <c:pt idx="634">
                  <c:v>3443886.3926238744</c:v>
                </c:pt>
                <c:pt idx="635">
                  <c:v>3446549.3049150798</c:v>
                </c:pt>
                <c:pt idx="636">
                  <c:v>3449212.2172062844</c:v>
                </c:pt>
                <c:pt idx="637">
                  <c:v>3451875.129497489</c:v>
                </c:pt>
                <c:pt idx="638">
                  <c:v>3454538.041788694</c:v>
                </c:pt>
                <c:pt idx="639">
                  <c:v>3457200.954079899</c:v>
                </c:pt>
                <c:pt idx="640">
                  <c:v>3459863.8663711036</c:v>
                </c:pt>
                <c:pt idx="641">
                  <c:v>3462526.7786623086</c:v>
                </c:pt>
                <c:pt idx="642">
                  <c:v>3465189.6909535136</c:v>
                </c:pt>
                <c:pt idx="643">
                  <c:v>3467852.6032447182</c:v>
                </c:pt>
                <c:pt idx="644">
                  <c:v>3470515.5155359232</c:v>
                </c:pt>
                <c:pt idx="645">
                  <c:v>3473178.4278271282</c:v>
                </c:pt>
                <c:pt idx="646">
                  <c:v>3475841.3401183328</c:v>
                </c:pt>
                <c:pt idx="647">
                  <c:v>3478504.2524095378</c:v>
                </c:pt>
                <c:pt idx="648">
                  <c:v>3481167.1647007428</c:v>
                </c:pt>
                <c:pt idx="649">
                  <c:v>3483830.0769919474</c:v>
                </c:pt>
                <c:pt idx="650">
                  <c:v>3486492.9892831524</c:v>
                </c:pt>
                <c:pt idx="651">
                  <c:v>3489155.9015743574</c:v>
                </c:pt>
                <c:pt idx="652">
                  <c:v>3491818.813865562</c:v>
                </c:pt>
                <c:pt idx="653">
                  <c:v>3494481.7261567665</c:v>
                </c:pt>
                <c:pt idx="654">
                  <c:v>3497144.638447972</c:v>
                </c:pt>
                <c:pt idx="655">
                  <c:v>3499807.5507391766</c:v>
                </c:pt>
                <c:pt idx="656">
                  <c:v>3502470.4630303811</c:v>
                </c:pt>
                <c:pt idx="657">
                  <c:v>3505133.3753215862</c:v>
                </c:pt>
                <c:pt idx="658">
                  <c:v>3507796.2876127912</c:v>
                </c:pt>
                <c:pt idx="659">
                  <c:v>3510459.1999039957</c:v>
                </c:pt>
                <c:pt idx="660">
                  <c:v>3513122.1121952008</c:v>
                </c:pt>
                <c:pt idx="661">
                  <c:v>3515785.0244864058</c:v>
                </c:pt>
                <c:pt idx="662">
                  <c:v>3518447.9367776103</c:v>
                </c:pt>
                <c:pt idx="663">
                  <c:v>3521110.8490688154</c:v>
                </c:pt>
                <c:pt idx="664">
                  <c:v>3523773.7613600204</c:v>
                </c:pt>
                <c:pt idx="665">
                  <c:v>3526436.6736512249</c:v>
                </c:pt>
                <c:pt idx="666">
                  <c:v>3529099.58594243</c:v>
                </c:pt>
                <c:pt idx="667">
                  <c:v>3531762.498233635</c:v>
                </c:pt>
                <c:pt idx="668">
                  <c:v>3534425.4105248395</c:v>
                </c:pt>
                <c:pt idx="669">
                  <c:v>3537088.3228160441</c:v>
                </c:pt>
                <c:pt idx="670">
                  <c:v>3539751.2351072496</c:v>
                </c:pt>
                <c:pt idx="671">
                  <c:v>3542414.1473984541</c:v>
                </c:pt>
                <c:pt idx="672">
                  <c:v>3545077.0596896587</c:v>
                </c:pt>
                <c:pt idx="673">
                  <c:v>3547739.9719808642</c:v>
                </c:pt>
                <c:pt idx="674">
                  <c:v>3550402.8842720687</c:v>
                </c:pt>
                <c:pt idx="675">
                  <c:v>3553065.7965632733</c:v>
                </c:pt>
                <c:pt idx="676">
                  <c:v>3555728.7088544783</c:v>
                </c:pt>
                <c:pt idx="677">
                  <c:v>3558391.6211456833</c:v>
                </c:pt>
                <c:pt idx="678">
                  <c:v>3561054.5334368879</c:v>
                </c:pt>
                <c:pt idx="679">
                  <c:v>3563717.4457280929</c:v>
                </c:pt>
                <c:pt idx="680">
                  <c:v>3566380.3580192979</c:v>
                </c:pt>
                <c:pt idx="681">
                  <c:v>3569043.2703105025</c:v>
                </c:pt>
                <c:pt idx="682">
                  <c:v>3571706.1826017075</c:v>
                </c:pt>
                <c:pt idx="683">
                  <c:v>3574369.0948929125</c:v>
                </c:pt>
                <c:pt idx="684">
                  <c:v>3577032.0071841171</c:v>
                </c:pt>
                <c:pt idx="685">
                  <c:v>3579694.9194753221</c:v>
                </c:pt>
                <c:pt idx="686">
                  <c:v>3582357.8317665271</c:v>
                </c:pt>
                <c:pt idx="687">
                  <c:v>3585020.7440577317</c:v>
                </c:pt>
                <c:pt idx="688">
                  <c:v>3587683.6563489363</c:v>
                </c:pt>
                <c:pt idx="689">
                  <c:v>3590346.5686401417</c:v>
                </c:pt>
                <c:pt idx="690">
                  <c:v>3593009.4809313463</c:v>
                </c:pt>
                <c:pt idx="691">
                  <c:v>3595672.3932225509</c:v>
                </c:pt>
                <c:pt idx="692">
                  <c:v>3598335.3055137559</c:v>
                </c:pt>
                <c:pt idx="693">
                  <c:v>3600998.2178049609</c:v>
                </c:pt>
                <c:pt idx="694">
                  <c:v>3603661.1300961655</c:v>
                </c:pt>
                <c:pt idx="695">
                  <c:v>3606324.0423873705</c:v>
                </c:pt>
                <c:pt idx="696">
                  <c:v>3608986.9546785755</c:v>
                </c:pt>
                <c:pt idx="697">
                  <c:v>3611649.8669697801</c:v>
                </c:pt>
                <c:pt idx="698">
                  <c:v>3614312.7792609851</c:v>
                </c:pt>
                <c:pt idx="699">
                  <c:v>3616975.6915521901</c:v>
                </c:pt>
                <c:pt idx="700">
                  <c:v>3619638.6038433947</c:v>
                </c:pt>
                <c:pt idx="701">
                  <c:v>3622301.5161345997</c:v>
                </c:pt>
                <c:pt idx="702">
                  <c:v>3624964.4284258047</c:v>
                </c:pt>
                <c:pt idx="703">
                  <c:v>3627627.3407170093</c:v>
                </c:pt>
                <c:pt idx="704">
                  <c:v>3630290.2530082143</c:v>
                </c:pt>
                <c:pt idx="705">
                  <c:v>3632953.1652994193</c:v>
                </c:pt>
                <c:pt idx="706">
                  <c:v>3635616.0775906239</c:v>
                </c:pt>
                <c:pt idx="707">
                  <c:v>3638278.9898818284</c:v>
                </c:pt>
                <c:pt idx="708">
                  <c:v>3640941.9021730339</c:v>
                </c:pt>
                <c:pt idx="709">
                  <c:v>3643604.8144642385</c:v>
                </c:pt>
                <c:pt idx="710">
                  <c:v>3646267.726755443</c:v>
                </c:pt>
                <c:pt idx="711">
                  <c:v>3648930.6390466481</c:v>
                </c:pt>
                <c:pt idx="712">
                  <c:v>3651593.5513378531</c:v>
                </c:pt>
                <c:pt idx="713">
                  <c:v>3654256.4636290576</c:v>
                </c:pt>
                <c:pt idx="714">
                  <c:v>3656919.3759202627</c:v>
                </c:pt>
                <c:pt idx="715">
                  <c:v>3659582.2882114677</c:v>
                </c:pt>
                <c:pt idx="716">
                  <c:v>3662245.2005026722</c:v>
                </c:pt>
                <c:pt idx="717">
                  <c:v>3664908.1127938773</c:v>
                </c:pt>
                <c:pt idx="718">
                  <c:v>3667571.0250850823</c:v>
                </c:pt>
                <c:pt idx="719">
                  <c:v>3670233.9373762868</c:v>
                </c:pt>
                <c:pt idx="720">
                  <c:v>3672896.8496674919</c:v>
                </c:pt>
                <c:pt idx="721">
                  <c:v>3675559.7619586969</c:v>
                </c:pt>
                <c:pt idx="722">
                  <c:v>3678222.6742499014</c:v>
                </c:pt>
                <c:pt idx="723">
                  <c:v>3680885.586541106</c:v>
                </c:pt>
                <c:pt idx="724">
                  <c:v>3683548.4988323115</c:v>
                </c:pt>
                <c:pt idx="725">
                  <c:v>3686211.411123516</c:v>
                </c:pt>
                <c:pt idx="726">
                  <c:v>3688874.3234147206</c:v>
                </c:pt>
                <c:pt idx="727">
                  <c:v>3691537.2357059256</c:v>
                </c:pt>
                <c:pt idx="728">
                  <c:v>3694200.1479971306</c:v>
                </c:pt>
                <c:pt idx="729">
                  <c:v>3696863.0602883352</c:v>
                </c:pt>
                <c:pt idx="730">
                  <c:v>3699525.9725795402</c:v>
                </c:pt>
                <c:pt idx="731">
                  <c:v>3702188.8848707452</c:v>
                </c:pt>
                <c:pt idx="732">
                  <c:v>3704851.7971619498</c:v>
                </c:pt>
                <c:pt idx="733">
                  <c:v>3707514.7094531548</c:v>
                </c:pt>
                <c:pt idx="734">
                  <c:v>3710177.6217443598</c:v>
                </c:pt>
                <c:pt idx="735">
                  <c:v>3712840.5340355644</c:v>
                </c:pt>
                <c:pt idx="736">
                  <c:v>3715503.4463267694</c:v>
                </c:pt>
                <c:pt idx="737">
                  <c:v>3718166.3586179744</c:v>
                </c:pt>
                <c:pt idx="738">
                  <c:v>3720829.270909179</c:v>
                </c:pt>
                <c:pt idx="739">
                  <c:v>3723492.183200384</c:v>
                </c:pt>
                <c:pt idx="740">
                  <c:v>3726155.095491589</c:v>
                </c:pt>
                <c:pt idx="741">
                  <c:v>3728818.0077827936</c:v>
                </c:pt>
                <c:pt idx="742">
                  <c:v>3731480.9200739982</c:v>
                </c:pt>
                <c:pt idx="743">
                  <c:v>3734143.8323652036</c:v>
                </c:pt>
                <c:pt idx="744">
                  <c:v>3736806.7446564082</c:v>
                </c:pt>
                <c:pt idx="745">
                  <c:v>3739469.6569476128</c:v>
                </c:pt>
                <c:pt idx="746">
                  <c:v>3742132.5692388178</c:v>
                </c:pt>
                <c:pt idx="747">
                  <c:v>3744795.4815300228</c:v>
                </c:pt>
                <c:pt idx="748">
                  <c:v>3747458.3938212274</c:v>
                </c:pt>
                <c:pt idx="749">
                  <c:v>3750121.3061124324</c:v>
                </c:pt>
                <c:pt idx="750">
                  <c:v>3752784.2184036374</c:v>
                </c:pt>
                <c:pt idx="751">
                  <c:v>3755447.130694842</c:v>
                </c:pt>
                <c:pt idx="752">
                  <c:v>3758110.042986047</c:v>
                </c:pt>
                <c:pt idx="753">
                  <c:v>3760772.955277252</c:v>
                </c:pt>
                <c:pt idx="754">
                  <c:v>3763435.8675684566</c:v>
                </c:pt>
                <c:pt idx="755">
                  <c:v>3766098.7798596616</c:v>
                </c:pt>
                <c:pt idx="756">
                  <c:v>3768761.6921508666</c:v>
                </c:pt>
                <c:pt idx="757">
                  <c:v>3771424.6044420712</c:v>
                </c:pt>
                <c:pt idx="758">
                  <c:v>3774087.5167332757</c:v>
                </c:pt>
                <c:pt idx="759">
                  <c:v>3776750.4290244812</c:v>
                </c:pt>
                <c:pt idx="760">
                  <c:v>3779413.3413156858</c:v>
                </c:pt>
                <c:pt idx="761">
                  <c:v>3782076.2536068903</c:v>
                </c:pt>
                <c:pt idx="762">
                  <c:v>3784739.1658980954</c:v>
                </c:pt>
                <c:pt idx="763">
                  <c:v>3787402.0781893004</c:v>
                </c:pt>
                <c:pt idx="764">
                  <c:v>3790064.9904805049</c:v>
                </c:pt>
                <c:pt idx="765">
                  <c:v>3792727.90277171</c:v>
                </c:pt>
                <c:pt idx="766">
                  <c:v>3795390.815062915</c:v>
                </c:pt>
                <c:pt idx="767">
                  <c:v>3798053.7273541195</c:v>
                </c:pt>
                <c:pt idx="768">
                  <c:v>3800716.6396453246</c:v>
                </c:pt>
                <c:pt idx="769">
                  <c:v>3803379.5519365296</c:v>
                </c:pt>
                <c:pt idx="770">
                  <c:v>3806042.4642277341</c:v>
                </c:pt>
                <c:pt idx="771">
                  <c:v>3808705.3765189392</c:v>
                </c:pt>
                <c:pt idx="772">
                  <c:v>3811368.2888101442</c:v>
                </c:pt>
                <c:pt idx="773">
                  <c:v>3814031.2011013487</c:v>
                </c:pt>
                <c:pt idx="774">
                  <c:v>3816694.1133925538</c:v>
                </c:pt>
                <c:pt idx="775">
                  <c:v>3819357.0256837588</c:v>
                </c:pt>
                <c:pt idx="776">
                  <c:v>3822019.9379749633</c:v>
                </c:pt>
                <c:pt idx="777">
                  <c:v>3824682.8502661679</c:v>
                </c:pt>
                <c:pt idx="778">
                  <c:v>3827345.7625573734</c:v>
                </c:pt>
                <c:pt idx="779">
                  <c:v>3830008.6748485779</c:v>
                </c:pt>
                <c:pt idx="780">
                  <c:v>3832671.5871397825</c:v>
                </c:pt>
                <c:pt idx="781">
                  <c:v>3835334.4994309875</c:v>
                </c:pt>
                <c:pt idx="782">
                  <c:v>3837997.4117221925</c:v>
                </c:pt>
                <c:pt idx="783">
                  <c:v>3840660.3240133971</c:v>
                </c:pt>
                <c:pt idx="784">
                  <c:v>3843323.2363046021</c:v>
                </c:pt>
                <c:pt idx="785">
                  <c:v>3845986.1485958071</c:v>
                </c:pt>
                <c:pt idx="786">
                  <c:v>3848649.0608870117</c:v>
                </c:pt>
                <c:pt idx="787">
                  <c:v>3851311.9731782167</c:v>
                </c:pt>
                <c:pt idx="788">
                  <c:v>3853974.8854694217</c:v>
                </c:pt>
                <c:pt idx="789">
                  <c:v>3856637.7977606263</c:v>
                </c:pt>
                <c:pt idx="790">
                  <c:v>3859300.7100518313</c:v>
                </c:pt>
                <c:pt idx="791">
                  <c:v>3861963.6223430359</c:v>
                </c:pt>
                <c:pt idx="792">
                  <c:v>3864626.5346342409</c:v>
                </c:pt>
                <c:pt idx="793">
                  <c:v>3867289.4469254459</c:v>
                </c:pt>
                <c:pt idx="794">
                  <c:v>3869952.3592166505</c:v>
                </c:pt>
                <c:pt idx="795">
                  <c:v>3872615.2715078555</c:v>
                </c:pt>
                <c:pt idx="796">
                  <c:v>3875278.1837990605</c:v>
                </c:pt>
                <c:pt idx="797">
                  <c:v>3877941.0960902651</c:v>
                </c:pt>
                <c:pt idx="798">
                  <c:v>3880604.0083814701</c:v>
                </c:pt>
                <c:pt idx="799">
                  <c:v>3883266.9206726747</c:v>
                </c:pt>
                <c:pt idx="800">
                  <c:v>3885929.8329638797</c:v>
                </c:pt>
                <c:pt idx="801">
                  <c:v>3888592.7452550847</c:v>
                </c:pt>
                <c:pt idx="802">
                  <c:v>3891255.6575462893</c:v>
                </c:pt>
                <c:pt idx="803">
                  <c:v>3893918.5698374943</c:v>
                </c:pt>
                <c:pt idx="804">
                  <c:v>3896581.4821286993</c:v>
                </c:pt>
                <c:pt idx="805">
                  <c:v>3899244.3944199039</c:v>
                </c:pt>
                <c:pt idx="806">
                  <c:v>3901907.3067111089</c:v>
                </c:pt>
                <c:pt idx="807">
                  <c:v>3904570.2190023139</c:v>
                </c:pt>
                <c:pt idx="808">
                  <c:v>3907233.1312935185</c:v>
                </c:pt>
                <c:pt idx="809">
                  <c:v>3909896.0435847235</c:v>
                </c:pt>
                <c:pt idx="810">
                  <c:v>3912558.955875928</c:v>
                </c:pt>
                <c:pt idx="811">
                  <c:v>3915221.8681671331</c:v>
                </c:pt>
                <c:pt idx="812">
                  <c:v>3917884.7804583381</c:v>
                </c:pt>
                <c:pt idx="813">
                  <c:v>3920547.6927495426</c:v>
                </c:pt>
                <c:pt idx="814">
                  <c:v>3923210.6050407477</c:v>
                </c:pt>
                <c:pt idx="815">
                  <c:v>3925873.5173319527</c:v>
                </c:pt>
                <c:pt idx="816">
                  <c:v>3928536.4296231573</c:v>
                </c:pt>
                <c:pt idx="817">
                  <c:v>3931199.3419143623</c:v>
                </c:pt>
                <c:pt idx="818">
                  <c:v>3933862.2542055668</c:v>
                </c:pt>
                <c:pt idx="819">
                  <c:v>3936525.1664967719</c:v>
                </c:pt>
                <c:pt idx="820">
                  <c:v>3939188.0787879769</c:v>
                </c:pt>
                <c:pt idx="821">
                  <c:v>3941850.9910791814</c:v>
                </c:pt>
                <c:pt idx="822">
                  <c:v>3944513.9033703865</c:v>
                </c:pt>
                <c:pt idx="823">
                  <c:v>3947176.8156615915</c:v>
                </c:pt>
                <c:pt idx="824">
                  <c:v>3949839.727952796</c:v>
                </c:pt>
                <c:pt idx="825">
                  <c:v>3952502.6402440011</c:v>
                </c:pt>
                <c:pt idx="826">
                  <c:v>3955165.5525352056</c:v>
                </c:pt>
                <c:pt idx="827">
                  <c:v>3957828.4648264106</c:v>
                </c:pt>
                <c:pt idx="828">
                  <c:v>3960491.3771176157</c:v>
                </c:pt>
                <c:pt idx="829">
                  <c:v>3963154.2894088202</c:v>
                </c:pt>
                <c:pt idx="830">
                  <c:v>3965817.2017000252</c:v>
                </c:pt>
                <c:pt idx="831">
                  <c:v>3968480.1139912303</c:v>
                </c:pt>
                <c:pt idx="832">
                  <c:v>3971143.0262824348</c:v>
                </c:pt>
                <c:pt idx="833">
                  <c:v>3973805.9385736398</c:v>
                </c:pt>
                <c:pt idx="834">
                  <c:v>3976468.8508648449</c:v>
                </c:pt>
                <c:pt idx="835">
                  <c:v>3979131.7631560494</c:v>
                </c:pt>
                <c:pt idx="836">
                  <c:v>3981794.6754472544</c:v>
                </c:pt>
                <c:pt idx="837">
                  <c:v>3984457.587738459</c:v>
                </c:pt>
                <c:pt idx="838">
                  <c:v>3987120.500029664</c:v>
                </c:pt>
                <c:pt idx="839">
                  <c:v>3989783.412320869</c:v>
                </c:pt>
                <c:pt idx="840">
                  <c:v>3992446.3246120736</c:v>
                </c:pt>
                <c:pt idx="841">
                  <c:v>3995109.2369032786</c:v>
                </c:pt>
                <c:pt idx="842">
                  <c:v>3997772.1491944836</c:v>
                </c:pt>
                <c:pt idx="843">
                  <c:v>4000435.0614856882</c:v>
                </c:pt>
                <c:pt idx="844">
                  <c:v>4003097.9737768932</c:v>
                </c:pt>
                <c:pt idx="845">
                  <c:v>4005760.8860680978</c:v>
                </c:pt>
                <c:pt idx="846">
                  <c:v>4008423.7983593028</c:v>
                </c:pt>
                <c:pt idx="847">
                  <c:v>4011086.7106505078</c:v>
                </c:pt>
                <c:pt idx="848">
                  <c:v>4013749.6229417124</c:v>
                </c:pt>
                <c:pt idx="849">
                  <c:v>4016412.5352329174</c:v>
                </c:pt>
                <c:pt idx="850">
                  <c:v>4019075.4475241224</c:v>
                </c:pt>
                <c:pt idx="851">
                  <c:v>4021738.359815327</c:v>
                </c:pt>
                <c:pt idx="852">
                  <c:v>4024401.272106532</c:v>
                </c:pt>
                <c:pt idx="853">
                  <c:v>4027064.1843977366</c:v>
                </c:pt>
                <c:pt idx="854">
                  <c:v>4029727.0966889416</c:v>
                </c:pt>
                <c:pt idx="855">
                  <c:v>4032390.0089801466</c:v>
                </c:pt>
                <c:pt idx="856">
                  <c:v>4035052.9212713512</c:v>
                </c:pt>
                <c:pt idx="857">
                  <c:v>4037715.8335625562</c:v>
                </c:pt>
                <c:pt idx="858">
                  <c:v>4040378.7458537612</c:v>
                </c:pt>
                <c:pt idx="859">
                  <c:v>4043041.6581449658</c:v>
                </c:pt>
                <c:pt idx="860">
                  <c:v>4045704.5704361708</c:v>
                </c:pt>
                <c:pt idx="861">
                  <c:v>4048367.4827273753</c:v>
                </c:pt>
                <c:pt idx="862">
                  <c:v>4051030.3950185804</c:v>
                </c:pt>
                <c:pt idx="863">
                  <c:v>4053693.3073097854</c:v>
                </c:pt>
                <c:pt idx="864">
                  <c:v>4056356.2196009899</c:v>
                </c:pt>
                <c:pt idx="865">
                  <c:v>4059019.131892195</c:v>
                </c:pt>
                <c:pt idx="866">
                  <c:v>4061682.0441834</c:v>
                </c:pt>
                <c:pt idx="867">
                  <c:v>4064344.9564746046</c:v>
                </c:pt>
                <c:pt idx="868">
                  <c:v>4067007.8687658096</c:v>
                </c:pt>
                <c:pt idx="869">
                  <c:v>4069670.7810570146</c:v>
                </c:pt>
                <c:pt idx="870">
                  <c:v>4072333.6933482192</c:v>
                </c:pt>
                <c:pt idx="871">
                  <c:v>4074996.6056394242</c:v>
                </c:pt>
                <c:pt idx="872">
                  <c:v>4077659.5179306287</c:v>
                </c:pt>
                <c:pt idx="873">
                  <c:v>4080322.4302218338</c:v>
                </c:pt>
                <c:pt idx="874">
                  <c:v>4082985.3425130388</c:v>
                </c:pt>
                <c:pt idx="875">
                  <c:v>4085648.2548042433</c:v>
                </c:pt>
                <c:pt idx="876">
                  <c:v>4088311.1670954484</c:v>
                </c:pt>
                <c:pt idx="877">
                  <c:v>4090974.0793866534</c:v>
                </c:pt>
                <c:pt idx="878">
                  <c:v>4093636.9916778579</c:v>
                </c:pt>
                <c:pt idx="879">
                  <c:v>4096299.903969063</c:v>
                </c:pt>
                <c:pt idx="880">
                  <c:v>4098962.8162602675</c:v>
                </c:pt>
                <c:pt idx="881">
                  <c:v>4101625.7285514725</c:v>
                </c:pt>
                <c:pt idx="882">
                  <c:v>4104288.6408426776</c:v>
                </c:pt>
                <c:pt idx="883">
                  <c:v>4106951.5531338821</c:v>
                </c:pt>
                <c:pt idx="884">
                  <c:v>4109614.4654250871</c:v>
                </c:pt>
                <c:pt idx="885">
                  <c:v>4112277.3777162922</c:v>
                </c:pt>
                <c:pt idx="886">
                  <c:v>4114940.2900074967</c:v>
                </c:pt>
                <c:pt idx="887">
                  <c:v>4117603.2022987017</c:v>
                </c:pt>
                <c:pt idx="888">
                  <c:v>4120266.1145899063</c:v>
                </c:pt>
                <c:pt idx="889">
                  <c:v>4122929.0268811113</c:v>
                </c:pt>
                <c:pt idx="890">
                  <c:v>4125591.9391723163</c:v>
                </c:pt>
                <c:pt idx="891">
                  <c:v>4128254.8514635209</c:v>
                </c:pt>
                <c:pt idx="892">
                  <c:v>4130917.7637547259</c:v>
                </c:pt>
                <c:pt idx="893">
                  <c:v>4133580.6760459309</c:v>
                </c:pt>
                <c:pt idx="894">
                  <c:v>4136243.5883371355</c:v>
                </c:pt>
                <c:pt idx="895">
                  <c:v>4138906.5006283405</c:v>
                </c:pt>
                <c:pt idx="896">
                  <c:v>4141569.4129195455</c:v>
                </c:pt>
                <c:pt idx="897">
                  <c:v>4144232.3252107501</c:v>
                </c:pt>
                <c:pt idx="898">
                  <c:v>4146895.2375019551</c:v>
                </c:pt>
                <c:pt idx="899">
                  <c:v>4149558.1497931597</c:v>
                </c:pt>
                <c:pt idx="900">
                  <c:v>4152221.0620843647</c:v>
                </c:pt>
                <c:pt idx="901">
                  <c:v>4154883.9743755697</c:v>
                </c:pt>
                <c:pt idx="902">
                  <c:v>4157546.8866667743</c:v>
                </c:pt>
                <c:pt idx="903">
                  <c:v>4160209.7989579793</c:v>
                </c:pt>
                <c:pt idx="904">
                  <c:v>4162872.7112491843</c:v>
                </c:pt>
                <c:pt idx="905">
                  <c:v>4165535.6235403889</c:v>
                </c:pt>
                <c:pt idx="906">
                  <c:v>4168198.5358315939</c:v>
                </c:pt>
                <c:pt idx="907">
                  <c:v>4170861.4481227985</c:v>
                </c:pt>
                <c:pt idx="908">
                  <c:v>4173524.3604140035</c:v>
                </c:pt>
                <c:pt idx="909">
                  <c:v>4176187.2727052085</c:v>
                </c:pt>
                <c:pt idx="910">
                  <c:v>4178850.1849964131</c:v>
                </c:pt>
                <c:pt idx="911">
                  <c:v>4181513.0972876181</c:v>
                </c:pt>
                <c:pt idx="912">
                  <c:v>4184176.0095788231</c:v>
                </c:pt>
                <c:pt idx="913">
                  <c:v>4186838.9218700277</c:v>
                </c:pt>
                <c:pt idx="914">
                  <c:v>4189501.8341612327</c:v>
                </c:pt>
                <c:pt idx="915">
                  <c:v>4192164.7464524372</c:v>
                </c:pt>
                <c:pt idx="916">
                  <c:v>4194827.6587436423</c:v>
                </c:pt>
                <c:pt idx="917">
                  <c:v>4197490.5710348468</c:v>
                </c:pt>
                <c:pt idx="918">
                  <c:v>4200153.4833260514</c:v>
                </c:pt>
                <c:pt idx="919">
                  <c:v>4202816.3956172569</c:v>
                </c:pt>
                <c:pt idx="920">
                  <c:v>4205479.3079084624</c:v>
                </c:pt>
                <c:pt idx="921">
                  <c:v>4208142.2201996669</c:v>
                </c:pt>
                <c:pt idx="922">
                  <c:v>4210805.1324908715</c:v>
                </c:pt>
                <c:pt idx="923">
                  <c:v>4213468.044782076</c:v>
                </c:pt>
                <c:pt idx="924">
                  <c:v>4216130.9570732806</c:v>
                </c:pt>
                <c:pt idx="925">
                  <c:v>4218793.8693644861</c:v>
                </c:pt>
                <c:pt idx="926">
                  <c:v>4221456.7816556906</c:v>
                </c:pt>
                <c:pt idx="927">
                  <c:v>4224119.6939468961</c:v>
                </c:pt>
                <c:pt idx="928">
                  <c:v>4226782.6062381007</c:v>
                </c:pt>
                <c:pt idx="929">
                  <c:v>4229445.5185293052</c:v>
                </c:pt>
                <c:pt idx="930">
                  <c:v>4232108.4308205098</c:v>
                </c:pt>
                <c:pt idx="931">
                  <c:v>4234771.3431117153</c:v>
                </c:pt>
                <c:pt idx="932">
                  <c:v>4237434.2554029198</c:v>
                </c:pt>
                <c:pt idx="933">
                  <c:v>4240097.1676941253</c:v>
                </c:pt>
                <c:pt idx="934">
                  <c:v>4242760.0799853299</c:v>
                </c:pt>
                <c:pt idx="935">
                  <c:v>4245422.9922765344</c:v>
                </c:pt>
                <c:pt idx="936">
                  <c:v>4248085.904567739</c:v>
                </c:pt>
                <c:pt idx="937">
                  <c:v>4250748.8168589436</c:v>
                </c:pt>
                <c:pt idx="938">
                  <c:v>4253411.729150149</c:v>
                </c:pt>
                <c:pt idx="939">
                  <c:v>4256074.6414413545</c:v>
                </c:pt>
                <c:pt idx="940">
                  <c:v>4258737.5537325591</c:v>
                </c:pt>
                <c:pt idx="941">
                  <c:v>4261400.4660237636</c:v>
                </c:pt>
                <c:pt idx="942">
                  <c:v>4264063.3783149682</c:v>
                </c:pt>
                <c:pt idx="943">
                  <c:v>4266726.2906061728</c:v>
                </c:pt>
                <c:pt idx="944">
                  <c:v>4269389.2028973782</c:v>
                </c:pt>
                <c:pt idx="945">
                  <c:v>4272052.1151885828</c:v>
                </c:pt>
                <c:pt idx="946">
                  <c:v>4274715.0274797883</c:v>
                </c:pt>
                <c:pt idx="947">
                  <c:v>4277377.9397709928</c:v>
                </c:pt>
                <c:pt idx="948">
                  <c:v>4280040.8520621974</c:v>
                </c:pt>
                <c:pt idx="949">
                  <c:v>4282703.764353402</c:v>
                </c:pt>
                <c:pt idx="950">
                  <c:v>4285366.6766446065</c:v>
                </c:pt>
                <c:pt idx="951">
                  <c:v>4288029.588935812</c:v>
                </c:pt>
                <c:pt idx="952">
                  <c:v>4290692.5012270175</c:v>
                </c:pt>
                <c:pt idx="953">
                  <c:v>4293355.413518222</c:v>
                </c:pt>
                <c:pt idx="954">
                  <c:v>4296018.3258094266</c:v>
                </c:pt>
                <c:pt idx="955">
                  <c:v>4298681.2381006312</c:v>
                </c:pt>
                <c:pt idx="956">
                  <c:v>4301344.1503918357</c:v>
                </c:pt>
                <c:pt idx="957">
                  <c:v>4304007.0626830412</c:v>
                </c:pt>
                <c:pt idx="958">
                  <c:v>4306669.9749742458</c:v>
                </c:pt>
                <c:pt idx="959">
                  <c:v>4309332.8872654513</c:v>
                </c:pt>
                <c:pt idx="960">
                  <c:v>4311995.7995566558</c:v>
                </c:pt>
                <c:pt idx="961">
                  <c:v>4314658.7118478604</c:v>
                </c:pt>
                <c:pt idx="962">
                  <c:v>4317321.6241390649</c:v>
                </c:pt>
                <c:pt idx="963">
                  <c:v>4319984.5364302704</c:v>
                </c:pt>
                <c:pt idx="964">
                  <c:v>4322647.448721475</c:v>
                </c:pt>
                <c:pt idx="965">
                  <c:v>4325310.3610126805</c:v>
                </c:pt>
                <c:pt idx="966">
                  <c:v>4327973.273303885</c:v>
                </c:pt>
                <c:pt idx="967">
                  <c:v>4330636.1855950896</c:v>
                </c:pt>
                <c:pt idx="968">
                  <c:v>4333299.0978862941</c:v>
                </c:pt>
                <c:pt idx="969">
                  <c:v>4335962.0101774987</c:v>
                </c:pt>
                <c:pt idx="970">
                  <c:v>4338624.9224687042</c:v>
                </c:pt>
                <c:pt idx="971">
                  <c:v>4341287.8347599097</c:v>
                </c:pt>
                <c:pt idx="972">
                  <c:v>4343950.7470511142</c:v>
                </c:pt>
                <c:pt idx="973">
                  <c:v>4346613.6593423188</c:v>
                </c:pt>
                <c:pt idx="974">
                  <c:v>4349276.5716335233</c:v>
                </c:pt>
                <c:pt idx="975">
                  <c:v>4351939.4839247279</c:v>
                </c:pt>
                <c:pt idx="976">
                  <c:v>4354602.3962159334</c:v>
                </c:pt>
                <c:pt idx="977">
                  <c:v>4357265.3085071379</c:v>
                </c:pt>
                <c:pt idx="978">
                  <c:v>4359928.2207983434</c:v>
                </c:pt>
                <c:pt idx="979">
                  <c:v>4362591.133089548</c:v>
                </c:pt>
                <c:pt idx="980">
                  <c:v>4365254.0453807525</c:v>
                </c:pt>
                <c:pt idx="981">
                  <c:v>4367916.9576719571</c:v>
                </c:pt>
                <c:pt idx="982">
                  <c:v>4370579.8699631626</c:v>
                </c:pt>
                <c:pt idx="983">
                  <c:v>4373242.7822543671</c:v>
                </c:pt>
                <c:pt idx="984">
                  <c:v>4375905.6945455726</c:v>
                </c:pt>
                <c:pt idx="985">
                  <c:v>4378568.6068367772</c:v>
                </c:pt>
                <c:pt idx="986">
                  <c:v>4381231.5191279817</c:v>
                </c:pt>
                <c:pt idx="987">
                  <c:v>4383894.4314191863</c:v>
                </c:pt>
                <c:pt idx="988">
                  <c:v>4386557.3437103909</c:v>
                </c:pt>
                <c:pt idx="989">
                  <c:v>4389220.2560015963</c:v>
                </c:pt>
                <c:pt idx="990">
                  <c:v>4391883.1682928018</c:v>
                </c:pt>
                <c:pt idx="991">
                  <c:v>4394546.0805840064</c:v>
                </c:pt>
                <c:pt idx="992">
                  <c:v>4397208.9928752109</c:v>
                </c:pt>
                <c:pt idx="993">
                  <c:v>4399871.9051664155</c:v>
                </c:pt>
                <c:pt idx="994">
                  <c:v>4402534.8174576201</c:v>
                </c:pt>
                <c:pt idx="995">
                  <c:v>4405197.7297488255</c:v>
                </c:pt>
                <c:pt idx="996">
                  <c:v>4407860.6420400301</c:v>
                </c:pt>
                <c:pt idx="997">
                  <c:v>4410523.5543312356</c:v>
                </c:pt>
                <c:pt idx="998">
                  <c:v>4413186.4666224401</c:v>
                </c:pt>
                <c:pt idx="999">
                  <c:v>4415849.3789136447</c:v>
                </c:pt>
                <c:pt idx="1000">
                  <c:v>4418512.2912048493</c:v>
                </c:pt>
                <c:pt idx="1001">
                  <c:v>4421175.2034960547</c:v>
                </c:pt>
                <c:pt idx="1002">
                  <c:v>4423838.1157872593</c:v>
                </c:pt>
                <c:pt idx="1003">
                  <c:v>4426501.0280784648</c:v>
                </c:pt>
                <c:pt idx="1004">
                  <c:v>4429163.9403696693</c:v>
                </c:pt>
                <c:pt idx="1005">
                  <c:v>4431826.8526608739</c:v>
                </c:pt>
                <c:pt idx="1006">
                  <c:v>4434489.7649520785</c:v>
                </c:pt>
                <c:pt idx="1007">
                  <c:v>4437152.677243283</c:v>
                </c:pt>
                <c:pt idx="1008">
                  <c:v>4439815.5895344885</c:v>
                </c:pt>
                <c:pt idx="1009">
                  <c:v>4442478.501825694</c:v>
                </c:pt>
                <c:pt idx="1010">
                  <c:v>4445141.4141168986</c:v>
                </c:pt>
                <c:pt idx="1011">
                  <c:v>4447804.3264081031</c:v>
                </c:pt>
                <c:pt idx="1012">
                  <c:v>4450467.2386993077</c:v>
                </c:pt>
                <c:pt idx="1013">
                  <c:v>4453130.1509905122</c:v>
                </c:pt>
                <c:pt idx="1014">
                  <c:v>4455793.0632817177</c:v>
                </c:pt>
                <c:pt idx="1015">
                  <c:v>4458455.9755729223</c:v>
                </c:pt>
                <c:pt idx="1016">
                  <c:v>4461118.8878641278</c:v>
                </c:pt>
                <c:pt idx="1017">
                  <c:v>4463781.8001553323</c:v>
                </c:pt>
                <c:pt idx="1018">
                  <c:v>4466444.7124465369</c:v>
                </c:pt>
                <c:pt idx="1019">
                  <c:v>4469107.6247377414</c:v>
                </c:pt>
                <c:pt idx="1020">
                  <c:v>4471770.537028946</c:v>
                </c:pt>
                <c:pt idx="1021">
                  <c:v>4474433.4493201515</c:v>
                </c:pt>
                <c:pt idx="1022">
                  <c:v>4477096.361611357</c:v>
                </c:pt>
                <c:pt idx="1023">
                  <c:v>4479759.2739025615</c:v>
                </c:pt>
                <c:pt idx="1024">
                  <c:v>4482422.1861937661</c:v>
                </c:pt>
                <c:pt idx="1025">
                  <c:v>4485085.0984849706</c:v>
                </c:pt>
                <c:pt idx="1026">
                  <c:v>4487748.0107761752</c:v>
                </c:pt>
                <c:pt idx="1027">
                  <c:v>4490410.9230673807</c:v>
                </c:pt>
                <c:pt idx="1028">
                  <c:v>4493073.8353585862</c:v>
                </c:pt>
                <c:pt idx="1029">
                  <c:v>4495736.7476497907</c:v>
                </c:pt>
                <c:pt idx="1030">
                  <c:v>4498399.6599409953</c:v>
                </c:pt>
                <c:pt idx="1031">
                  <c:v>4501062.5722321998</c:v>
                </c:pt>
                <c:pt idx="1032">
                  <c:v>4503725.4845234044</c:v>
                </c:pt>
                <c:pt idx="1033">
                  <c:v>4506388.3968146099</c:v>
                </c:pt>
                <c:pt idx="1034">
                  <c:v>4509051.3091058144</c:v>
                </c:pt>
                <c:pt idx="1035">
                  <c:v>4511714.2213970199</c:v>
                </c:pt>
                <c:pt idx="1036">
                  <c:v>4514377.1336882245</c:v>
                </c:pt>
                <c:pt idx="1037">
                  <c:v>4517040.045979429</c:v>
                </c:pt>
                <c:pt idx="1038">
                  <c:v>4519702.9582706336</c:v>
                </c:pt>
                <c:pt idx="1039">
                  <c:v>4522365.8705618382</c:v>
                </c:pt>
                <c:pt idx="1040">
                  <c:v>4525028.7828530436</c:v>
                </c:pt>
                <c:pt idx="1041">
                  <c:v>4527691.6951442491</c:v>
                </c:pt>
                <c:pt idx="1042">
                  <c:v>4530354.6074354537</c:v>
                </c:pt>
                <c:pt idx="1043">
                  <c:v>4533017.5197266582</c:v>
                </c:pt>
                <c:pt idx="1044">
                  <c:v>4535680.4320178628</c:v>
                </c:pt>
                <c:pt idx="1045">
                  <c:v>4538343.3443090674</c:v>
                </c:pt>
                <c:pt idx="1046">
                  <c:v>4541006.2566002728</c:v>
                </c:pt>
                <c:pt idx="1047">
                  <c:v>4543669.1688914774</c:v>
                </c:pt>
                <c:pt idx="1048">
                  <c:v>4546332.0811826829</c:v>
                </c:pt>
                <c:pt idx="1049">
                  <c:v>4548994.9934738874</c:v>
                </c:pt>
                <c:pt idx="1050">
                  <c:v>4551657.905765092</c:v>
                </c:pt>
                <c:pt idx="1051">
                  <c:v>4554320.8180562966</c:v>
                </c:pt>
                <c:pt idx="1052">
                  <c:v>4556983.730347502</c:v>
                </c:pt>
                <c:pt idx="1053">
                  <c:v>4559646.6426387066</c:v>
                </c:pt>
                <c:pt idx="1054">
                  <c:v>4562309.5549299121</c:v>
                </c:pt>
                <c:pt idx="1055">
                  <c:v>4564972.4672211166</c:v>
                </c:pt>
                <c:pt idx="1056">
                  <c:v>4567635.3795123212</c:v>
                </c:pt>
                <c:pt idx="1057">
                  <c:v>4570298.2918035258</c:v>
                </c:pt>
                <c:pt idx="1058">
                  <c:v>4572961.2040947303</c:v>
                </c:pt>
                <c:pt idx="1059">
                  <c:v>4575624.1163859358</c:v>
                </c:pt>
                <c:pt idx="1060">
                  <c:v>4578287.0286771413</c:v>
                </c:pt>
                <c:pt idx="1061">
                  <c:v>4580949.9409683459</c:v>
                </c:pt>
                <c:pt idx="1062">
                  <c:v>4583612.8532595504</c:v>
                </c:pt>
                <c:pt idx="1063">
                  <c:v>4586275.765550755</c:v>
                </c:pt>
                <c:pt idx="1064">
                  <c:v>4588938.6778419595</c:v>
                </c:pt>
                <c:pt idx="1065">
                  <c:v>4591601.590133165</c:v>
                </c:pt>
                <c:pt idx="1066">
                  <c:v>4594264.5024243696</c:v>
                </c:pt>
                <c:pt idx="1067">
                  <c:v>4596927.4147155751</c:v>
                </c:pt>
                <c:pt idx="1068">
                  <c:v>4599590.3270067796</c:v>
                </c:pt>
                <c:pt idx="1069">
                  <c:v>4602253.2392979842</c:v>
                </c:pt>
                <c:pt idx="1070">
                  <c:v>4604916.1515891887</c:v>
                </c:pt>
                <c:pt idx="1071">
                  <c:v>4607579.0638803942</c:v>
                </c:pt>
                <c:pt idx="1072">
                  <c:v>4610241.9761715988</c:v>
                </c:pt>
                <c:pt idx="1073">
                  <c:v>4612904.8884628043</c:v>
                </c:pt>
                <c:pt idx="1074">
                  <c:v>4615567.8007540088</c:v>
                </c:pt>
                <c:pt idx="1075">
                  <c:v>4618230.7130452134</c:v>
                </c:pt>
                <c:pt idx="1076">
                  <c:v>4620893.6253364179</c:v>
                </c:pt>
                <c:pt idx="1077">
                  <c:v>4623556.5376276225</c:v>
                </c:pt>
                <c:pt idx="1078">
                  <c:v>4626219.449918828</c:v>
                </c:pt>
                <c:pt idx="1079">
                  <c:v>4628882.3622100335</c:v>
                </c:pt>
                <c:pt idx="1080">
                  <c:v>4631545.274501238</c:v>
                </c:pt>
                <c:pt idx="1081">
                  <c:v>4634208.1867924426</c:v>
                </c:pt>
                <c:pt idx="1082">
                  <c:v>4636871.0990836471</c:v>
                </c:pt>
                <c:pt idx="1083">
                  <c:v>4639534.0113748517</c:v>
                </c:pt>
                <c:pt idx="1084">
                  <c:v>4642196.9236660572</c:v>
                </c:pt>
                <c:pt idx="1085">
                  <c:v>4644859.8359572617</c:v>
                </c:pt>
                <c:pt idx="1086">
                  <c:v>4647522.7482484672</c:v>
                </c:pt>
                <c:pt idx="1087">
                  <c:v>4650185.6605396718</c:v>
                </c:pt>
                <c:pt idx="1088">
                  <c:v>4652848.5728308763</c:v>
                </c:pt>
                <c:pt idx="1089">
                  <c:v>4655511.4851220809</c:v>
                </c:pt>
                <c:pt idx="1090">
                  <c:v>4658174.3974132864</c:v>
                </c:pt>
                <c:pt idx="1091">
                  <c:v>4660837.3097044909</c:v>
                </c:pt>
                <c:pt idx="1092">
                  <c:v>4663500.2219956964</c:v>
                </c:pt>
                <c:pt idx="1093">
                  <c:v>4666163.134286901</c:v>
                </c:pt>
                <c:pt idx="1094">
                  <c:v>4668826.0465781055</c:v>
                </c:pt>
                <c:pt idx="1095">
                  <c:v>4671488.9588693101</c:v>
                </c:pt>
                <c:pt idx="1096">
                  <c:v>4674151.8711605147</c:v>
                </c:pt>
                <c:pt idx="1097">
                  <c:v>4676814.7834517201</c:v>
                </c:pt>
                <c:pt idx="1098">
                  <c:v>4679477.6957429256</c:v>
                </c:pt>
                <c:pt idx="1099">
                  <c:v>4682140.6080341302</c:v>
                </c:pt>
                <c:pt idx="1100">
                  <c:v>4684803.5203253347</c:v>
                </c:pt>
                <c:pt idx="1101">
                  <c:v>4687466.4326165393</c:v>
                </c:pt>
                <c:pt idx="1102">
                  <c:v>4690129.3449077439</c:v>
                </c:pt>
                <c:pt idx="1103">
                  <c:v>4692792.2571989493</c:v>
                </c:pt>
                <c:pt idx="1104">
                  <c:v>4695455.1694901539</c:v>
                </c:pt>
                <c:pt idx="1105">
                  <c:v>4698118.0817813594</c:v>
                </c:pt>
                <c:pt idx="1106">
                  <c:v>4700780.9940725639</c:v>
                </c:pt>
                <c:pt idx="1107">
                  <c:v>4703443.9063637685</c:v>
                </c:pt>
                <c:pt idx="1108">
                  <c:v>4706106.8186549731</c:v>
                </c:pt>
                <c:pt idx="1109">
                  <c:v>4708769.7309461776</c:v>
                </c:pt>
                <c:pt idx="1110">
                  <c:v>4711432.6432373831</c:v>
                </c:pt>
                <c:pt idx="1111">
                  <c:v>4714095.5555285886</c:v>
                </c:pt>
                <c:pt idx="1112">
                  <c:v>4716758.4678197931</c:v>
                </c:pt>
                <c:pt idx="1113">
                  <c:v>4719421.3801109977</c:v>
                </c:pt>
                <c:pt idx="1114">
                  <c:v>4722084.2924022023</c:v>
                </c:pt>
                <c:pt idx="1115">
                  <c:v>4724747.2046934068</c:v>
                </c:pt>
                <c:pt idx="1116">
                  <c:v>4727410.1169846123</c:v>
                </c:pt>
                <c:pt idx="1117">
                  <c:v>4730073.0292758169</c:v>
                </c:pt>
                <c:pt idx="1118">
                  <c:v>4732735.9415670224</c:v>
                </c:pt>
                <c:pt idx="1119">
                  <c:v>4735398.8538582269</c:v>
                </c:pt>
                <c:pt idx="1120">
                  <c:v>4738061.7661494315</c:v>
                </c:pt>
                <c:pt idx="1121">
                  <c:v>4740724.678440636</c:v>
                </c:pt>
                <c:pt idx="1122">
                  <c:v>4743387.5907318415</c:v>
                </c:pt>
                <c:pt idx="1123">
                  <c:v>4746050.5030230461</c:v>
                </c:pt>
                <c:pt idx="1124">
                  <c:v>4748713.4153142516</c:v>
                </c:pt>
                <c:pt idx="1125">
                  <c:v>4751376.3276054561</c:v>
                </c:pt>
                <c:pt idx="1126">
                  <c:v>4754039.2398966607</c:v>
                </c:pt>
                <c:pt idx="1127">
                  <c:v>4756702.1521878652</c:v>
                </c:pt>
                <c:pt idx="1128">
                  <c:v>4759365.0644790698</c:v>
                </c:pt>
                <c:pt idx="1129">
                  <c:v>4762027.9767702753</c:v>
                </c:pt>
                <c:pt idx="1130">
                  <c:v>4764690.8890614808</c:v>
                </c:pt>
                <c:pt idx="1131">
                  <c:v>4767353.8013526853</c:v>
                </c:pt>
                <c:pt idx="1132">
                  <c:v>4770016.7136438899</c:v>
                </c:pt>
                <c:pt idx="1133">
                  <c:v>4772679.6259350944</c:v>
                </c:pt>
                <c:pt idx="1134">
                  <c:v>4775342.538226299</c:v>
                </c:pt>
                <c:pt idx="1135">
                  <c:v>4778005.4505175045</c:v>
                </c:pt>
                <c:pt idx="1136">
                  <c:v>4780668.362808709</c:v>
                </c:pt>
                <c:pt idx="1137">
                  <c:v>4783331.2750999145</c:v>
                </c:pt>
                <c:pt idx="1138">
                  <c:v>4785994.1873911191</c:v>
                </c:pt>
                <c:pt idx="1139">
                  <c:v>4788657.0996823236</c:v>
                </c:pt>
                <c:pt idx="1140">
                  <c:v>4791320.0119735282</c:v>
                </c:pt>
                <c:pt idx="1141">
                  <c:v>4793982.9242647337</c:v>
                </c:pt>
                <c:pt idx="1142">
                  <c:v>4796645.8365559382</c:v>
                </c:pt>
                <c:pt idx="1143">
                  <c:v>4799308.7488471437</c:v>
                </c:pt>
                <c:pt idx="1144">
                  <c:v>4801971.6611383483</c:v>
                </c:pt>
                <c:pt idx="1145">
                  <c:v>4804634.5734295528</c:v>
                </c:pt>
                <c:pt idx="1146">
                  <c:v>4807297.4857207574</c:v>
                </c:pt>
                <c:pt idx="1147">
                  <c:v>4809960.398011962</c:v>
                </c:pt>
                <c:pt idx="1148">
                  <c:v>4812623.3103031674</c:v>
                </c:pt>
                <c:pt idx="1149">
                  <c:v>4815286.2225943729</c:v>
                </c:pt>
                <c:pt idx="1150">
                  <c:v>4817949.1348855775</c:v>
                </c:pt>
                <c:pt idx="1151">
                  <c:v>4820612.047176782</c:v>
                </c:pt>
                <c:pt idx="1152">
                  <c:v>4823274.9594679866</c:v>
                </c:pt>
                <c:pt idx="1153">
                  <c:v>4825937.8717591912</c:v>
                </c:pt>
                <c:pt idx="1154">
                  <c:v>4828600.7840503966</c:v>
                </c:pt>
                <c:pt idx="1155">
                  <c:v>4831263.6963416012</c:v>
                </c:pt>
                <c:pt idx="1156">
                  <c:v>4833926.6086328067</c:v>
                </c:pt>
                <c:pt idx="1157">
                  <c:v>4836589.5209240112</c:v>
                </c:pt>
                <c:pt idx="1158">
                  <c:v>4839252.4332152158</c:v>
                </c:pt>
                <c:pt idx="1159">
                  <c:v>4841915.3455064204</c:v>
                </c:pt>
                <c:pt idx="1160">
                  <c:v>4844578.2577976258</c:v>
                </c:pt>
                <c:pt idx="1161">
                  <c:v>4847241.1700888304</c:v>
                </c:pt>
                <c:pt idx="1162">
                  <c:v>4849904.0823800359</c:v>
                </c:pt>
                <c:pt idx="1163">
                  <c:v>4852566.9946712404</c:v>
                </c:pt>
                <c:pt idx="1164">
                  <c:v>4855229.906962445</c:v>
                </c:pt>
                <c:pt idx="1165">
                  <c:v>4857892.8192536496</c:v>
                </c:pt>
                <c:pt idx="1166">
                  <c:v>4860555.7315448541</c:v>
                </c:pt>
                <c:pt idx="1167">
                  <c:v>4863218.6438360596</c:v>
                </c:pt>
                <c:pt idx="1168">
                  <c:v>4865881.5561272651</c:v>
                </c:pt>
                <c:pt idx="1169">
                  <c:v>4868544.4684184697</c:v>
                </c:pt>
                <c:pt idx="1170">
                  <c:v>4871207.3807096742</c:v>
                </c:pt>
                <c:pt idx="1171">
                  <c:v>4873870.2930008788</c:v>
                </c:pt>
                <c:pt idx="1172">
                  <c:v>4876533.2052920833</c:v>
                </c:pt>
                <c:pt idx="1173">
                  <c:v>4879196.1175832888</c:v>
                </c:pt>
                <c:pt idx="1174">
                  <c:v>4881859.0298744934</c:v>
                </c:pt>
                <c:pt idx="1175">
                  <c:v>4884521.9421656989</c:v>
                </c:pt>
                <c:pt idx="1176">
                  <c:v>4887184.8544569034</c:v>
                </c:pt>
                <c:pt idx="1177">
                  <c:v>4889847.766748108</c:v>
                </c:pt>
                <c:pt idx="1178">
                  <c:v>4892510.6790393125</c:v>
                </c:pt>
                <c:pt idx="1179">
                  <c:v>4895173.5913305171</c:v>
                </c:pt>
                <c:pt idx="1180">
                  <c:v>4897836.5036217226</c:v>
                </c:pt>
                <c:pt idx="1181">
                  <c:v>4900499.4159129281</c:v>
                </c:pt>
                <c:pt idx="1182">
                  <c:v>4903162.3282041326</c:v>
                </c:pt>
                <c:pt idx="1183">
                  <c:v>4905825.2404953372</c:v>
                </c:pt>
                <c:pt idx="1184">
                  <c:v>4908488.1527865417</c:v>
                </c:pt>
                <c:pt idx="1185">
                  <c:v>4911151.0650777463</c:v>
                </c:pt>
                <c:pt idx="1186">
                  <c:v>4913813.9773689518</c:v>
                </c:pt>
                <c:pt idx="1187">
                  <c:v>4916476.8896601573</c:v>
                </c:pt>
                <c:pt idx="1188">
                  <c:v>4919139.8019513618</c:v>
                </c:pt>
                <c:pt idx="1189">
                  <c:v>4921802.7142425664</c:v>
                </c:pt>
                <c:pt idx="1190">
                  <c:v>4924465.6265337709</c:v>
                </c:pt>
                <c:pt idx="1191">
                  <c:v>4927128.5388249755</c:v>
                </c:pt>
                <c:pt idx="1192">
                  <c:v>4929791.451116181</c:v>
                </c:pt>
                <c:pt idx="1193">
                  <c:v>4932454.3634073855</c:v>
                </c:pt>
                <c:pt idx="1194">
                  <c:v>4935117.275698591</c:v>
                </c:pt>
                <c:pt idx="1195">
                  <c:v>4937780.1879897956</c:v>
                </c:pt>
                <c:pt idx="1196">
                  <c:v>4940443.1002810001</c:v>
                </c:pt>
                <c:pt idx="1197">
                  <c:v>4943106.0125722047</c:v>
                </c:pt>
                <c:pt idx="1198">
                  <c:v>4945768.9248634093</c:v>
                </c:pt>
                <c:pt idx="1199">
                  <c:v>4948431.8371546147</c:v>
                </c:pt>
                <c:pt idx="1200">
                  <c:v>4951094.7494458202</c:v>
                </c:pt>
                <c:pt idx="1201">
                  <c:v>4953757.6617370248</c:v>
                </c:pt>
                <c:pt idx="1202">
                  <c:v>4956420.5740282293</c:v>
                </c:pt>
                <c:pt idx="1203">
                  <c:v>4959083.4863194339</c:v>
                </c:pt>
                <c:pt idx="1204">
                  <c:v>4961746.3986106385</c:v>
                </c:pt>
                <c:pt idx="1205">
                  <c:v>4964409.3109018439</c:v>
                </c:pt>
                <c:pt idx="1206">
                  <c:v>4967072.2231930485</c:v>
                </c:pt>
                <c:pt idx="1207">
                  <c:v>4969735.135484254</c:v>
                </c:pt>
                <c:pt idx="1208">
                  <c:v>4972398.0477754585</c:v>
                </c:pt>
                <c:pt idx="1209">
                  <c:v>4975060.9600666631</c:v>
                </c:pt>
                <c:pt idx="1210">
                  <c:v>4977723.8723578677</c:v>
                </c:pt>
                <c:pt idx="1211">
                  <c:v>4980386.7846490731</c:v>
                </c:pt>
                <c:pt idx="1212">
                  <c:v>4983049.6969402777</c:v>
                </c:pt>
                <c:pt idx="1213">
                  <c:v>4985712.6092314832</c:v>
                </c:pt>
                <c:pt idx="1214">
                  <c:v>4988375.5215226877</c:v>
                </c:pt>
                <c:pt idx="1215">
                  <c:v>4991038.4338138923</c:v>
                </c:pt>
                <c:pt idx="1216">
                  <c:v>4993701.3461050969</c:v>
                </c:pt>
                <c:pt idx="1217">
                  <c:v>4996364.2583963014</c:v>
                </c:pt>
                <c:pt idx="1218">
                  <c:v>4999027.1706875069</c:v>
                </c:pt>
                <c:pt idx="1219">
                  <c:v>5001690.0829787124</c:v>
                </c:pt>
                <c:pt idx="1220">
                  <c:v>5004352.995269917</c:v>
                </c:pt>
                <c:pt idx="1221">
                  <c:v>5007015.9075611215</c:v>
                </c:pt>
                <c:pt idx="1222">
                  <c:v>5009678.8198523261</c:v>
                </c:pt>
                <c:pt idx="1223">
                  <c:v>5012341.7321435306</c:v>
                </c:pt>
                <c:pt idx="1224">
                  <c:v>5015004.6444347361</c:v>
                </c:pt>
                <c:pt idx="1225">
                  <c:v>5017667.5567259407</c:v>
                </c:pt>
                <c:pt idx="1226">
                  <c:v>5020330.4690171462</c:v>
                </c:pt>
                <c:pt idx="1227">
                  <c:v>5022993.3813083507</c:v>
                </c:pt>
                <c:pt idx="1228">
                  <c:v>5025656.2935995553</c:v>
                </c:pt>
                <c:pt idx="1229">
                  <c:v>5028319.2058907598</c:v>
                </c:pt>
                <c:pt idx="1230">
                  <c:v>5030982.1181819653</c:v>
                </c:pt>
                <c:pt idx="1231">
                  <c:v>5033645.0304731699</c:v>
                </c:pt>
                <c:pt idx="1232">
                  <c:v>5036307.9427643754</c:v>
                </c:pt>
                <c:pt idx="1233">
                  <c:v>5038970.8550555799</c:v>
                </c:pt>
                <c:pt idx="1234">
                  <c:v>5041633.7673467845</c:v>
                </c:pt>
                <c:pt idx="1235">
                  <c:v>5044296.679637989</c:v>
                </c:pt>
                <c:pt idx="1236">
                  <c:v>5046959.5919291936</c:v>
                </c:pt>
                <c:pt idx="1237">
                  <c:v>5049622.5042203991</c:v>
                </c:pt>
                <c:pt idx="1238">
                  <c:v>5052285.4165116046</c:v>
                </c:pt>
                <c:pt idx="1239">
                  <c:v>5054948.3288028091</c:v>
                </c:pt>
                <c:pt idx="1240">
                  <c:v>5057611.2410940137</c:v>
                </c:pt>
                <c:pt idx="1241">
                  <c:v>5060274.1533852182</c:v>
                </c:pt>
                <c:pt idx="1242">
                  <c:v>5062937.0656764228</c:v>
                </c:pt>
                <c:pt idx="1243">
                  <c:v>5065599.9779676283</c:v>
                </c:pt>
                <c:pt idx="1244">
                  <c:v>5068262.8902588328</c:v>
                </c:pt>
                <c:pt idx="1245">
                  <c:v>5070925.8025500383</c:v>
                </c:pt>
                <c:pt idx="1246">
                  <c:v>5073588.7148412429</c:v>
                </c:pt>
                <c:pt idx="1247">
                  <c:v>5076251.6271324474</c:v>
                </c:pt>
                <c:pt idx="1248">
                  <c:v>5078914.539423652</c:v>
                </c:pt>
                <c:pt idx="1249">
                  <c:v>5081577.4517148575</c:v>
                </c:pt>
                <c:pt idx="1250">
                  <c:v>5084240.364006062</c:v>
                </c:pt>
                <c:pt idx="1251">
                  <c:v>5086903.2762972675</c:v>
                </c:pt>
                <c:pt idx="1252">
                  <c:v>5089566.1885884721</c:v>
                </c:pt>
                <c:pt idx="1253">
                  <c:v>5092229.1008796766</c:v>
                </c:pt>
                <c:pt idx="1254">
                  <c:v>5094892.0131708812</c:v>
                </c:pt>
                <c:pt idx="1255">
                  <c:v>5097554.9254620858</c:v>
                </c:pt>
                <c:pt idx="1256">
                  <c:v>5100217.8377532912</c:v>
                </c:pt>
                <c:pt idx="1257">
                  <c:v>5102880.7500444967</c:v>
                </c:pt>
                <c:pt idx="1258">
                  <c:v>5105543.6623357013</c:v>
                </c:pt>
                <c:pt idx="1259">
                  <c:v>5108206.5746269058</c:v>
                </c:pt>
                <c:pt idx="1260">
                  <c:v>5110869.4869181104</c:v>
                </c:pt>
                <c:pt idx="1261">
                  <c:v>5113532.399209315</c:v>
                </c:pt>
                <c:pt idx="1262">
                  <c:v>5116195.3115005204</c:v>
                </c:pt>
                <c:pt idx="1263">
                  <c:v>5118858.223791725</c:v>
                </c:pt>
                <c:pt idx="1264">
                  <c:v>5121521.1360829305</c:v>
                </c:pt>
                <c:pt idx="1265">
                  <c:v>5124184.048374135</c:v>
                </c:pt>
                <c:pt idx="1266">
                  <c:v>5126846.9606653396</c:v>
                </c:pt>
                <c:pt idx="1267">
                  <c:v>5129509.8729565442</c:v>
                </c:pt>
                <c:pt idx="1268">
                  <c:v>5132172.7852477487</c:v>
                </c:pt>
                <c:pt idx="1269">
                  <c:v>5134835.6975389542</c:v>
                </c:pt>
                <c:pt idx="1270">
                  <c:v>5137498.6098301597</c:v>
                </c:pt>
                <c:pt idx="1271">
                  <c:v>5140161.5221213643</c:v>
                </c:pt>
                <c:pt idx="1272">
                  <c:v>5142824.4344125688</c:v>
                </c:pt>
                <c:pt idx="1273">
                  <c:v>5145487.3467037734</c:v>
                </c:pt>
                <c:pt idx="1274">
                  <c:v>5148150.2589949779</c:v>
                </c:pt>
                <c:pt idx="1275">
                  <c:v>5150813.1712861834</c:v>
                </c:pt>
                <c:pt idx="1276">
                  <c:v>5153476.083577388</c:v>
                </c:pt>
                <c:pt idx="1277">
                  <c:v>5156138.9958685935</c:v>
                </c:pt>
                <c:pt idx="1278">
                  <c:v>5158801.908159798</c:v>
                </c:pt>
                <c:pt idx="1279">
                  <c:v>5161464.8204510026</c:v>
                </c:pt>
                <c:pt idx="1280">
                  <c:v>5164127.7327422071</c:v>
                </c:pt>
                <c:pt idx="1281">
                  <c:v>5166790.6450334126</c:v>
                </c:pt>
                <c:pt idx="1282">
                  <c:v>5169453.5573246172</c:v>
                </c:pt>
                <c:pt idx="1283">
                  <c:v>5172116.4696158227</c:v>
                </c:pt>
                <c:pt idx="1284">
                  <c:v>5174779.3819070272</c:v>
                </c:pt>
                <c:pt idx="1285">
                  <c:v>5177442.2941982318</c:v>
                </c:pt>
                <c:pt idx="1286">
                  <c:v>5180105.2064894363</c:v>
                </c:pt>
                <c:pt idx="1287">
                  <c:v>5182768.1187806409</c:v>
                </c:pt>
                <c:pt idx="1288">
                  <c:v>5185431.0310718464</c:v>
                </c:pt>
                <c:pt idx="1289">
                  <c:v>5188093.9433630519</c:v>
                </c:pt>
                <c:pt idx="1290">
                  <c:v>5190756.8556542564</c:v>
                </c:pt>
                <c:pt idx="1291">
                  <c:v>5193419.767945461</c:v>
                </c:pt>
                <c:pt idx="1292">
                  <c:v>5196082.6802366655</c:v>
                </c:pt>
                <c:pt idx="1293">
                  <c:v>5198745.5925278701</c:v>
                </c:pt>
                <c:pt idx="1294">
                  <c:v>5201408.5048190756</c:v>
                </c:pt>
                <c:pt idx="1295">
                  <c:v>5204071.4171102801</c:v>
                </c:pt>
                <c:pt idx="1296">
                  <c:v>5206734.3294014856</c:v>
                </c:pt>
                <c:pt idx="1297">
                  <c:v>5209397.2416926902</c:v>
                </c:pt>
                <c:pt idx="1298">
                  <c:v>5212060.1539838947</c:v>
                </c:pt>
                <c:pt idx="1299">
                  <c:v>5214723.0662750993</c:v>
                </c:pt>
                <c:pt idx="1300">
                  <c:v>5217385.9785663048</c:v>
                </c:pt>
                <c:pt idx="1301">
                  <c:v>5220048.8908575093</c:v>
                </c:pt>
                <c:pt idx="1302">
                  <c:v>5222711.8031487148</c:v>
                </c:pt>
                <c:pt idx="1303">
                  <c:v>5225374.7154399194</c:v>
                </c:pt>
                <c:pt idx="1304">
                  <c:v>5228037.6277311239</c:v>
                </c:pt>
                <c:pt idx="1305">
                  <c:v>5230700.5400223285</c:v>
                </c:pt>
                <c:pt idx="1306">
                  <c:v>5233363.4523135331</c:v>
                </c:pt>
                <c:pt idx="1307">
                  <c:v>5236026.3646047385</c:v>
                </c:pt>
                <c:pt idx="1308">
                  <c:v>5238689.276895944</c:v>
                </c:pt>
                <c:pt idx="1309">
                  <c:v>5241352.1891871486</c:v>
                </c:pt>
                <c:pt idx="1310">
                  <c:v>5244015.1014783531</c:v>
                </c:pt>
                <c:pt idx="1311">
                  <c:v>5246678.0137695577</c:v>
                </c:pt>
                <c:pt idx="1312">
                  <c:v>5249340.9260607623</c:v>
                </c:pt>
                <c:pt idx="1313">
                  <c:v>5252003.8383519677</c:v>
                </c:pt>
                <c:pt idx="1314">
                  <c:v>5254666.7506431723</c:v>
                </c:pt>
                <c:pt idx="1315">
                  <c:v>5257329.6629343778</c:v>
                </c:pt>
                <c:pt idx="1316">
                  <c:v>5259992.5752255823</c:v>
                </c:pt>
                <c:pt idx="1317">
                  <c:v>5262655.4875167869</c:v>
                </c:pt>
                <c:pt idx="1318">
                  <c:v>5265318.3998079915</c:v>
                </c:pt>
                <c:pt idx="1319">
                  <c:v>5267981.3120991969</c:v>
                </c:pt>
                <c:pt idx="1320">
                  <c:v>5270644.2243904015</c:v>
                </c:pt>
                <c:pt idx="1321">
                  <c:v>5273307.136681607</c:v>
                </c:pt>
                <c:pt idx="1322">
                  <c:v>5275970.0489728115</c:v>
                </c:pt>
                <c:pt idx="1323">
                  <c:v>5278632.9612640161</c:v>
                </c:pt>
                <c:pt idx="1324">
                  <c:v>5281295.8735552207</c:v>
                </c:pt>
                <c:pt idx="1325">
                  <c:v>5283958.7858464252</c:v>
                </c:pt>
                <c:pt idx="1326">
                  <c:v>5286621.6981376307</c:v>
                </c:pt>
                <c:pt idx="1327">
                  <c:v>5289284.6104288362</c:v>
                </c:pt>
                <c:pt idx="1328">
                  <c:v>5291947.5227200408</c:v>
                </c:pt>
                <c:pt idx="1329">
                  <c:v>5294610.4350112453</c:v>
                </c:pt>
                <c:pt idx="1330">
                  <c:v>5297273.3473024499</c:v>
                </c:pt>
                <c:pt idx="1331">
                  <c:v>5299936.2595936544</c:v>
                </c:pt>
                <c:pt idx="1332">
                  <c:v>5302599.1718848599</c:v>
                </c:pt>
                <c:pt idx="1333">
                  <c:v>5305262.0841760645</c:v>
                </c:pt>
                <c:pt idx="1334">
                  <c:v>5307924.99646727</c:v>
                </c:pt>
                <c:pt idx="1335">
                  <c:v>5310587.9087584745</c:v>
                </c:pt>
                <c:pt idx="1336">
                  <c:v>5313250.8210496791</c:v>
                </c:pt>
                <c:pt idx="1337">
                  <c:v>5315913.7333408836</c:v>
                </c:pt>
                <c:pt idx="1338">
                  <c:v>5318576.6456320882</c:v>
                </c:pt>
                <c:pt idx="1339">
                  <c:v>5321239.5579232937</c:v>
                </c:pt>
                <c:pt idx="1340">
                  <c:v>5323902.4702144992</c:v>
                </c:pt>
                <c:pt idx="1341">
                  <c:v>5326565.3825057037</c:v>
                </c:pt>
                <c:pt idx="1342">
                  <c:v>5329228.2947969083</c:v>
                </c:pt>
                <c:pt idx="1343">
                  <c:v>5331891.2070881128</c:v>
                </c:pt>
                <c:pt idx="1344">
                  <c:v>5334554.1193793174</c:v>
                </c:pt>
                <c:pt idx="1345">
                  <c:v>5337217.0316705229</c:v>
                </c:pt>
                <c:pt idx="1346">
                  <c:v>5339879.9439617284</c:v>
                </c:pt>
                <c:pt idx="1347">
                  <c:v>5342542.8562529329</c:v>
                </c:pt>
                <c:pt idx="1348">
                  <c:v>5345205.7685441375</c:v>
                </c:pt>
                <c:pt idx="1349">
                  <c:v>5347868.680835342</c:v>
                </c:pt>
                <c:pt idx="1350">
                  <c:v>5350531.5931265466</c:v>
                </c:pt>
                <c:pt idx="1351">
                  <c:v>5353194.5054177521</c:v>
                </c:pt>
                <c:pt idx="1352">
                  <c:v>5355857.4177089566</c:v>
                </c:pt>
                <c:pt idx="1353">
                  <c:v>5358520.3300001621</c:v>
                </c:pt>
                <c:pt idx="1354">
                  <c:v>5361183.2422913667</c:v>
                </c:pt>
                <c:pt idx="1355">
                  <c:v>5363846.1545825712</c:v>
                </c:pt>
                <c:pt idx="1356">
                  <c:v>5366509.0668737758</c:v>
                </c:pt>
                <c:pt idx="1357">
                  <c:v>5369171.9791649804</c:v>
                </c:pt>
                <c:pt idx="1358">
                  <c:v>5371834.8914561858</c:v>
                </c:pt>
                <c:pt idx="1359">
                  <c:v>5374497.8037473913</c:v>
                </c:pt>
                <c:pt idx="1360">
                  <c:v>5377160.7160385959</c:v>
                </c:pt>
                <c:pt idx="1361">
                  <c:v>5379823.6283298004</c:v>
                </c:pt>
                <c:pt idx="1362">
                  <c:v>5382486.540621005</c:v>
                </c:pt>
                <c:pt idx="1363">
                  <c:v>5385149.4529122096</c:v>
                </c:pt>
                <c:pt idx="1364">
                  <c:v>5387812.365203415</c:v>
                </c:pt>
                <c:pt idx="1365">
                  <c:v>5390475.2774946196</c:v>
                </c:pt>
                <c:pt idx="1366">
                  <c:v>5393138.1897858251</c:v>
                </c:pt>
                <c:pt idx="1367">
                  <c:v>5395801.1020770296</c:v>
                </c:pt>
                <c:pt idx="1368">
                  <c:v>5398464.0143682342</c:v>
                </c:pt>
                <c:pt idx="1369">
                  <c:v>5401126.9266594388</c:v>
                </c:pt>
                <c:pt idx="1370">
                  <c:v>5403789.8389506442</c:v>
                </c:pt>
                <c:pt idx="1371">
                  <c:v>5406452.7512418488</c:v>
                </c:pt>
                <c:pt idx="1372">
                  <c:v>5409115.6635330543</c:v>
                </c:pt>
                <c:pt idx="1373">
                  <c:v>5411778.5758242588</c:v>
                </c:pt>
                <c:pt idx="1374">
                  <c:v>5414441.4881154634</c:v>
                </c:pt>
                <c:pt idx="1375">
                  <c:v>5417104.400406668</c:v>
                </c:pt>
                <c:pt idx="1376">
                  <c:v>5419767.3126978725</c:v>
                </c:pt>
                <c:pt idx="1377">
                  <c:v>5422430.224989078</c:v>
                </c:pt>
                <c:pt idx="1378">
                  <c:v>5425093.1372802835</c:v>
                </c:pt>
                <c:pt idx="1379">
                  <c:v>5427756.0495714881</c:v>
                </c:pt>
                <c:pt idx="1380">
                  <c:v>5430418.9618626926</c:v>
                </c:pt>
                <c:pt idx="1381">
                  <c:v>5433081.8741538972</c:v>
                </c:pt>
                <c:pt idx="1382">
                  <c:v>5435744.7864451017</c:v>
                </c:pt>
                <c:pt idx="1383">
                  <c:v>5438407.6987363072</c:v>
                </c:pt>
                <c:pt idx="1384">
                  <c:v>5441070.6110275118</c:v>
                </c:pt>
                <c:pt idx="1385">
                  <c:v>5443733.5233187173</c:v>
                </c:pt>
                <c:pt idx="1386">
                  <c:v>5446396.4356099218</c:v>
                </c:pt>
                <c:pt idx="1387">
                  <c:v>5449059.3479011264</c:v>
                </c:pt>
                <c:pt idx="1388">
                  <c:v>5451722.2601923309</c:v>
                </c:pt>
                <c:pt idx="1389">
                  <c:v>5454385.1724835364</c:v>
                </c:pt>
                <c:pt idx="1390">
                  <c:v>5457048.084774741</c:v>
                </c:pt>
                <c:pt idx="1391">
                  <c:v>5459710.9970659465</c:v>
                </c:pt>
                <c:pt idx="1392">
                  <c:v>5462373.909357151</c:v>
                </c:pt>
                <c:pt idx="1393">
                  <c:v>5465036.8216483556</c:v>
                </c:pt>
                <c:pt idx="1394">
                  <c:v>5467699.7339395601</c:v>
                </c:pt>
                <c:pt idx="1395">
                  <c:v>5470362.6462307647</c:v>
                </c:pt>
                <c:pt idx="1396">
                  <c:v>5473025.5585219702</c:v>
                </c:pt>
                <c:pt idx="1397">
                  <c:v>5475688.4708131757</c:v>
                </c:pt>
                <c:pt idx="1398">
                  <c:v>5478351.3831043802</c:v>
                </c:pt>
                <c:pt idx="1399">
                  <c:v>5481014.2953955848</c:v>
                </c:pt>
                <c:pt idx="1400">
                  <c:v>5483677.2076867893</c:v>
                </c:pt>
                <c:pt idx="1401">
                  <c:v>5486340.1199779939</c:v>
                </c:pt>
                <c:pt idx="1402">
                  <c:v>5489003.0322691994</c:v>
                </c:pt>
                <c:pt idx="1403">
                  <c:v>5491665.9445604039</c:v>
                </c:pt>
                <c:pt idx="1404">
                  <c:v>5494328.8568516094</c:v>
                </c:pt>
                <c:pt idx="1405">
                  <c:v>5496991.769142814</c:v>
                </c:pt>
                <c:pt idx="1406">
                  <c:v>5499654.6814340185</c:v>
                </c:pt>
                <c:pt idx="1407">
                  <c:v>5502317.5937252231</c:v>
                </c:pt>
                <c:pt idx="1408">
                  <c:v>5504980.5060164286</c:v>
                </c:pt>
                <c:pt idx="1409">
                  <c:v>5507643.4183076331</c:v>
                </c:pt>
                <c:pt idx="1410">
                  <c:v>5510306.3305988386</c:v>
                </c:pt>
                <c:pt idx="1411">
                  <c:v>5512969.2428900432</c:v>
                </c:pt>
                <c:pt idx="1412">
                  <c:v>5515632.1551812477</c:v>
                </c:pt>
                <c:pt idx="1413">
                  <c:v>5518295.0674724523</c:v>
                </c:pt>
                <c:pt idx="1414">
                  <c:v>5520957.9797636569</c:v>
                </c:pt>
                <c:pt idx="1415">
                  <c:v>5523620.8920548623</c:v>
                </c:pt>
                <c:pt idx="1416">
                  <c:v>5526283.8043460678</c:v>
                </c:pt>
                <c:pt idx="1417">
                  <c:v>5528946.7166372724</c:v>
                </c:pt>
                <c:pt idx="1418">
                  <c:v>5531609.6289284769</c:v>
                </c:pt>
                <c:pt idx="1419">
                  <c:v>5534272.5412196815</c:v>
                </c:pt>
                <c:pt idx="1420">
                  <c:v>5536935.4535108861</c:v>
                </c:pt>
                <c:pt idx="1421">
                  <c:v>5539598.3658020915</c:v>
                </c:pt>
                <c:pt idx="1422">
                  <c:v>5542261.2780932961</c:v>
                </c:pt>
                <c:pt idx="1423">
                  <c:v>5544924.1903845016</c:v>
                </c:pt>
                <c:pt idx="1424">
                  <c:v>5547587.1026757061</c:v>
                </c:pt>
                <c:pt idx="1425">
                  <c:v>5550250.0149669107</c:v>
                </c:pt>
                <c:pt idx="1426">
                  <c:v>5552912.9272581153</c:v>
                </c:pt>
                <c:pt idx="1427">
                  <c:v>5555575.8395493198</c:v>
                </c:pt>
                <c:pt idx="1428">
                  <c:v>5558238.7518405253</c:v>
                </c:pt>
                <c:pt idx="1429">
                  <c:v>5560901.6641317308</c:v>
                </c:pt>
                <c:pt idx="1430">
                  <c:v>5563564.5764229354</c:v>
                </c:pt>
                <c:pt idx="1431">
                  <c:v>5566227.4887141399</c:v>
                </c:pt>
                <c:pt idx="1432">
                  <c:v>5568890.4010053445</c:v>
                </c:pt>
                <c:pt idx="1433">
                  <c:v>5571553.313296549</c:v>
                </c:pt>
                <c:pt idx="1434">
                  <c:v>5574216.2255877545</c:v>
                </c:pt>
                <c:pt idx="1435">
                  <c:v>5576879.1378789591</c:v>
                </c:pt>
                <c:pt idx="1436">
                  <c:v>5579542.0501701646</c:v>
                </c:pt>
                <c:pt idx="1437">
                  <c:v>5582204.9624613691</c:v>
                </c:pt>
                <c:pt idx="1438">
                  <c:v>5584867.8747525737</c:v>
                </c:pt>
                <c:pt idx="1439">
                  <c:v>5587530.7870437782</c:v>
                </c:pt>
                <c:pt idx="1440">
                  <c:v>5590193.6993349837</c:v>
                </c:pt>
                <c:pt idx="1441">
                  <c:v>5592856.6116261883</c:v>
                </c:pt>
                <c:pt idx="1442">
                  <c:v>5595519.5239173938</c:v>
                </c:pt>
                <c:pt idx="1443">
                  <c:v>5598182.4362085983</c:v>
                </c:pt>
                <c:pt idx="1444">
                  <c:v>5600845.3484998029</c:v>
                </c:pt>
                <c:pt idx="1445">
                  <c:v>5603508.2607910074</c:v>
                </c:pt>
                <c:pt idx="1446">
                  <c:v>5606171.173082212</c:v>
                </c:pt>
                <c:pt idx="1447">
                  <c:v>5608834.0853734175</c:v>
                </c:pt>
                <c:pt idx="1448">
                  <c:v>5611496.997664623</c:v>
                </c:pt>
                <c:pt idx="1449">
                  <c:v>5614159.9099558275</c:v>
                </c:pt>
                <c:pt idx="1450">
                  <c:v>5616822.8222470321</c:v>
                </c:pt>
                <c:pt idx="1451">
                  <c:v>5619485.7345382366</c:v>
                </c:pt>
                <c:pt idx="1452">
                  <c:v>5622148.6468294412</c:v>
                </c:pt>
                <c:pt idx="1453">
                  <c:v>5624811.5591206467</c:v>
                </c:pt>
                <c:pt idx="1454">
                  <c:v>5627474.4714118512</c:v>
                </c:pt>
                <c:pt idx="1455">
                  <c:v>5630137.3837030567</c:v>
                </c:pt>
                <c:pt idx="1456">
                  <c:v>5632800.2959942613</c:v>
                </c:pt>
                <c:pt idx="1457">
                  <c:v>5635463.2082854658</c:v>
                </c:pt>
                <c:pt idx="1458">
                  <c:v>5638126.1205766704</c:v>
                </c:pt>
                <c:pt idx="1459">
                  <c:v>5640789.0328678759</c:v>
                </c:pt>
                <c:pt idx="1460">
                  <c:v>5643451.9451590804</c:v>
                </c:pt>
                <c:pt idx="1461">
                  <c:v>5646114.8574502859</c:v>
                </c:pt>
                <c:pt idx="1462">
                  <c:v>5648777.7697414905</c:v>
                </c:pt>
                <c:pt idx="1463">
                  <c:v>5651440.682032695</c:v>
                </c:pt>
                <c:pt idx="1464">
                  <c:v>5654103.5943238996</c:v>
                </c:pt>
                <c:pt idx="1465">
                  <c:v>5656766.5066151042</c:v>
                </c:pt>
                <c:pt idx="1466">
                  <c:v>5659429.4189063096</c:v>
                </c:pt>
                <c:pt idx="1467">
                  <c:v>5662092.3311975151</c:v>
                </c:pt>
                <c:pt idx="1468">
                  <c:v>5664755.2434887197</c:v>
                </c:pt>
                <c:pt idx="1469">
                  <c:v>5667418.1557799242</c:v>
                </c:pt>
                <c:pt idx="1470">
                  <c:v>5670081.0680711288</c:v>
                </c:pt>
                <c:pt idx="1471">
                  <c:v>5672743.9803623334</c:v>
                </c:pt>
                <c:pt idx="1472">
                  <c:v>5675406.8926535388</c:v>
                </c:pt>
                <c:pt idx="1473">
                  <c:v>5678069.8049447434</c:v>
                </c:pt>
                <c:pt idx="1474">
                  <c:v>5680732.7172359489</c:v>
                </c:pt>
                <c:pt idx="1475">
                  <c:v>5683395.6295271534</c:v>
                </c:pt>
                <c:pt idx="1476">
                  <c:v>5686058.541818358</c:v>
                </c:pt>
                <c:pt idx="1477">
                  <c:v>5688721.4541095626</c:v>
                </c:pt>
                <c:pt idx="1478">
                  <c:v>5691384.366400768</c:v>
                </c:pt>
                <c:pt idx="1479">
                  <c:v>5694047.2786919726</c:v>
                </c:pt>
                <c:pt idx="1480">
                  <c:v>5696710.1909831781</c:v>
                </c:pt>
                <c:pt idx="1481">
                  <c:v>5699373.1032743827</c:v>
                </c:pt>
                <c:pt idx="1482">
                  <c:v>5702036.0155655872</c:v>
                </c:pt>
                <c:pt idx="1483">
                  <c:v>5704698.9278567918</c:v>
                </c:pt>
                <c:pt idx="1484">
                  <c:v>5707361.8401479963</c:v>
                </c:pt>
                <c:pt idx="1485">
                  <c:v>5710024.7524392018</c:v>
                </c:pt>
                <c:pt idx="1486">
                  <c:v>5712687.6647304073</c:v>
                </c:pt>
                <c:pt idx="1487">
                  <c:v>5715350.5770216119</c:v>
                </c:pt>
                <c:pt idx="1488">
                  <c:v>5718013.4893128164</c:v>
                </c:pt>
                <c:pt idx="1489">
                  <c:v>5720676.401604021</c:v>
                </c:pt>
                <c:pt idx="1490">
                  <c:v>5723339.3138952255</c:v>
                </c:pt>
                <c:pt idx="1491">
                  <c:v>5726002.226186431</c:v>
                </c:pt>
                <c:pt idx="1492">
                  <c:v>5728665.1384776356</c:v>
                </c:pt>
                <c:pt idx="1493">
                  <c:v>5731328.0507688411</c:v>
                </c:pt>
                <c:pt idx="1494">
                  <c:v>5733990.9630600456</c:v>
                </c:pt>
                <c:pt idx="1495">
                  <c:v>5736653.8753512502</c:v>
                </c:pt>
                <c:pt idx="1496">
                  <c:v>5739316.7876424547</c:v>
                </c:pt>
                <c:pt idx="1497">
                  <c:v>5741979.6999336593</c:v>
                </c:pt>
                <c:pt idx="1498">
                  <c:v>5744642.6122248648</c:v>
                </c:pt>
                <c:pt idx="1499">
                  <c:v>5747305.5245160703</c:v>
                </c:pt>
                <c:pt idx="1500">
                  <c:v>5749968.4368072748</c:v>
                </c:pt>
                <c:pt idx="1501">
                  <c:v>5752631.3490984794</c:v>
                </c:pt>
                <c:pt idx="1502">
                  <c:v>5755294.2613896839</c:v>
                </c:pt>
                <c:pt idx="1503">
                  <c:v>5757957.1736808885</c:v>
                </c:pt>
                <c:pt idx="1504">
                  <c:v>5760620.085972094</c:v>
                </c:pt>
                <c:pt idx="1505">
                  <c:v>5763282.9982632995</c:v>
                </c:pt>
                <c:pt idx="1506">
                  <c:v>5765945.910554504</c:v>
                </c:pt>
                <c:pt idx="1507">
                  <c:v>5768608.8228457086</c:v>
                </c:pt>
                <c:pt idx="1508">
                  <c:v>5771271.7351369131</c:v>
                </c:pt>
                <c:pt idx="1509">
                  <c:v>5773934.6474281177</c:v>
                </c:pt>
                <c:pt idx="1510">
                  <c:v>5776597.5597193232</c:v>
                </c:pt>
                <c:pt idx="1511">
                  <c:v>5779260.4720105277</c:v>
                </c:pt>
                <c:pt idx="1512">
                  <c:v>5781923.3843017332</c:v>
                </c:pt>
                <c:pt idx="1513">
                  <c:v>5784586.2965929378</c:v>
                </c:pt>
                <c:pt idx="1514">
                  <c:v>5787249.2088841423</c:v>
                </c:pt>
                <c:pt idx="1515">
                  <c:v>5789912.1211753469</c:v>
                </c:pt>
                <c:pt idx="1516">
                  <c:v>5792575.0334665515</c:v>
                </c:pt>
                <c:pt idx="1517">
                  <c:v>5795237.9457577569</c:v>
                </c:pt>
                <c:pt idx="1518">
                  <c:v>5797900.8580489624</c:v>
                </c:pt>
                <c:pt idx="1519">
                  <c:v>5800563.770340167</c:v>
                </c:pt>
                <c:pt idx="1520">
                  <c:v>5803226.6826313715</c:v>
                </c:pt>
                <c:pt idx="1521">
                  <c:v>5805889.5949225761</c:v>
                </c:pt>
                <c:pt idx="1522">
                  <c:v>5808552.5072137807</c:v>
                </c:pt>
                <c:pt idx="1523">
                  <c:v>5811215.4195049861</c:v>
                </c:pt>
                <c:pt idx="1524">
                  <c:v>5813878.3317961907</c:v>
                </c:pt>
                <c:pt idx="1525">
                  <c:v>5816541.2440873962</c:v>
                </c:pt>
                <c:pt idx="1526">
                  <c:v>5819204.1563786007</c:v>
                </c:pt>
                <c:pt idx="1527">
                  <c:v>5821867.0686698053</c:v>
                </c:pt>
                <c:pt idx="1528">
                  <c:v>5824529.9809610099</c:v>
                </c:pt>
                <c:pt idx="1529">
                  <c:v>5827192.8932522153</c:v>
                </c:pt>
                <c:pt idx="1530">
                  <c:v>5829855.8055434199</c:v>
                </c:pt>
                <c:pt idx="1531">
                  <c:v>5832518.7178346254</c:v>
                </c:pt>
                <c:pt idx="1532">
                  <c:v>5835181.6301258299</c:v>
                </c:pt>
                <c:pt idx="1533">
                  <c:v>5837844.5424170345</c:v>
                </c:pt>
                <c:pt idx="1534">
                  <c:v>5840507.4547082391</c:v>
                </c:pt>
                <c:pt idx="1535">
                  <c:v>5843170.3669994436</c:v>
                </c:pt>
                <c:pt idx="1536">
                  <c:v>5845833.2792906491</c:v>
                </c:pt>
                <c:pt idx="1537">
                  <c:v>5848496.1915818546</c:v>
                </c:pt>
                <c:pt idx="1538">
                  <c:v>5851159.1038730592</c:v>
                </c:pt>
                <c:pt idx="1539">
                  <c:v>5853822.0161642637</c:v>
                </c:pt>
                <c:pt idx="1540">
                  <c:v>5856484.9284554683</c:v>
                </c:pt>
                <c:pt idx="1541">
                  <c:v>5859147.8407466728</c:v>
                </c:pt>
                <c:pt idx="1542">
                  <c:v>5861810.7530378783</c:v>
                </c:pt>
                <c:pt idx="1543">
                  <c:v>5864473.6653290829</c:v>
                </c:pt>
                <c:pt idx="1544">
                  <c:v>5867136.5776202884</c:v>
                </c:pt>
                <c:pt idx="1545">
                  <c:v>5869799.4899114929</c:v>
                </c:pt>
                <c:pt idx="1546">
                  <c:v>5872462.4022026975</c:v>
                </c:pt>
                <c:pt idx="1547">
                  <c:v>5875125.314493902</c:v>
                </c:pt>
                <c:pt idx="1548">
                  <c:v>5877788.2267851075</c:v>
                </c:pt>
                <c:pt idx="1549">
                  <c:v>5880451.1390763121</c:v>
                </c:pt>
                <c:pt idx="1550">
                  <c:v>5883114.0513675176</c:v>
                </c:pt>
                <c:pt idx="1551">
                  <c:v>5885776.9636587221</c:v>
                </c:pt>
                <c:pt idx="1552">
                  <c:v>5888439.8759499267</c:v>
                </c:pt>
                <c:pt idx="1553">
                  <c:v>5891102.7882411312</c:v>
                </c:pt>
                <c:pt idx="1554">
                  <c:v>5893765.7005323358</c:v>
                </c:pt>
                <c:pt idx="1555">
                  <c:v>5896428.6128235413</c:v>
                </c:pt>
                <c:pt idx="1556">
                  <c:v>5899091.5251147468</c:v>
                </c:pt>
                <c:pt idx="1557">
                  <c:v>5901754.4374059513</c:v>
                </c:pt>
                <c:pt idx="1558">
                  <c:v>5904417.3496971559</c:v>
                </c:pt>
                <c:pt idx="1559">
                  <c:v>5907080.2619883604</c:v>
                </c:pt>
                <c:pt idx="1560">
                  <c:v>5909743.174279565</c:v>
                </c:pt>
                <c:pt idx="1561">
                  <c:v>5912406.0865707705</c:v>
                </c:pt>
                <c:pt idx="1562">
                  <c:v>5915068.998861975</c:v>
                </c:pt>
                <c:pt idx="1563">
                  <c:v>5917731.9111531805</c:v>
                </c:pt>
                <c:pt idx="1564">
                  <c:v>5920394.8234443851</c:v>
                </c:pt>
                <c:pt idx="1565">
                  <c:v>5923057.7357355896</c:v>
                </c:pt>
                <c:pt idx="1566">
                  <c:v>5925720.6480267942</c:v>
                </c:pt>
                <c:pt idx="1567">
                  <c:v>5928383.5603179988</c:v>
                </c:pt>
                <c:pt idx="1568">
                  <c:v>5931046.4726092042</c:v>
                </c:pt>
                <c:pt idx="1569">
                  <c:v>5933709.3849004097</c:v>
                </c:pt>
                <c:pt idx="1570">
                  <c:v>5936372.2971916143</c:v>
                </c:pt>
                <c:pt idx="1571">
                  <c:v>5939035.2094828188</c:v>
                </c:pt>
                <c:pt idx="1572">
                  <c:v>5941698.1217740234</c:v>
                </c:pt>
                <c:pt idx="1573">
                  <c:v>5944361.034065228</c:v>
                </c:pt>
                <c:pt idx="1574">
                  <c:v>5947023.9463564334</c:v>
                </c:pt>
                <c:pt idx="1575">
                  <c:v>5949686.8586476389</c:v>
                </c:pt>
                <c:pt idx="1576">
                  <c:v>5952349.7709388435</c:v>
                </c:pt>
                <c:pt idx="1577">
                  <c:v>5955012.683230048</c:v>
                </c:pt>
                <c:pt idx="1578">
                  <c:v>5957675.5955212526</c:v>
                </c:pt>
                <c:pt idx="1579">
                  <c:v>5960338.5078124581</c:v>
                </c:pt>
                <c:pt idx="1580">
                  <c:v>5963001.4201036626</c:v>
                </c:pt>
                <c:pt idx="1581">
                  <c:v>5965664.3323948672</c:v>
                </c:pt>
                <c:pt idx="1582">
                  <c:v>5968327.2446860718</c:v>
                </c:pt>
                <c:pt idx="1583">
                  <c:v>5970990.1569772772</c:v>
                </c:pt>
                <c:pt idx="1584">
                  <c:v>5973653.0692684818</c:v>
                </c:pt>
                <c:pt idx="1585">
                  <c:v>5976315.9815596864</c:v>
                </c:pt>
                <c:pt idx="1586">
                  <c:v>5978978.8938508919</c:v>
                </c:pt>
                <c:pt idx="1587">
                  <c:v>5981641.8061420964</c:v>
                </c:pt>
                <c:pt idx="1588">
                  <c:v>5984304.718433301</c:v>
                </c:pt>
                <c:pt idx="1589">
                  <c:v>5986967.6307245065</c:v>
                </c:pt>
                <c:pt idx="1590">
                  <c:v>5989630.543015711</c:v>
                </c:pt>
                <c:pt idx="1591">
                  <c:v>5992293.4553069156</c:v>
                </c:pt>
                <c:pt idx="1592">
                  <c:v>5994956.3675981211</c:v>
                </c:pt>
                <c:pt idx="1593">
                  <c:v>5997619.2798893256</c:v>
                </c:pt>
                <c:pt idx="1594">
                  <c:v>6000282.1921805302</c:v>
                </c:pt>
                <c:pt idx="1595">
                  <c:v>6002945.1044717357</c:v>
                </c:pt>
                <c:pt idx="1596">
                  <c:v>6005608.0167629402</c:v>
                </c:pt>
                <c:pt idx="1597">
                  <c:v>6008270.9290541448</c:v>
                </c:pt>
                <c:pt idx="1598">
                  <c:v>6010933.8413453493</c:v>
                </c:pt>
                <c:pt idx="1599">
                  <c:v>6013596.7536365548</c:v>
                </c:pt>
                <c:pt idx="1600">
                  <c:v>6016259.6659277594</c:v>
                </c:pt>
                <c:pt idx="1601">
                  <c:v>6018922.5782189639</c:v>
                </c:pt>
                <c:pt idx="1602">
                  <c:v>6021585.4905101694</c:v>
                </c:pt>
                <c:pt idx="1603">
                  <c:v>6024248.402801374</c:v>
                </c:pt>
                <c:pt idx="1604">
                  <c:v>6026911.3150925785</c:v>
                </c:pt>
                <c:pt idx="1605">
                  <c:v>6029574.227383784</c:v>
                </c:pt>
                <c:pt idx="1606">
                  <c:v>6032237.1396749886</c:v>
                </c:pt>
                <c:pt idx="1607">
                  <c:v>6034900.0519661931</c:v>
                </c:pt>
                <c:pt idx="1608">
                  <c:v>6037562.9642573986</c:v>
                </c:pt>
                <c:pt idx="1609">
                  <c:v>6040225.8765486032</c:v>
                </c:pt>
                <c:pt idx="1610">
                  <c:v>6042888.7888398077</c:v>
                </c:pt>
                <c:pt idx="1611">
                  <c:v>6045551.7011310132</c:v>
                </c:pt>
                <c:pt idx="1612">
                  <c:v>6048214.6134222178</c:v>
                </c:pt>
                <c:pt idx="1613">
                  <c:v>6050877.5257134223</c:v>
                </c:pt>
                <c:pt idx="1614">
                  <c:v>6053540.4380046278</c:v>
                </c:pt>
                <c:pt idx="1615">
                  <c:v>6056203.3502958324</c:v>
                </c:pt>
                <c:pt idx="1616">
                  <c:v>6058866.2625870369</c:v>
                </c:pt>
                <c:pt idx="1617">
                  <c:v>6061529.1748782415</c:v>
                </c:pt>
                <c:pt idx="1618">
                  <c:v>6064192.087169447</c:v>
                </c:pt>
                <c:pt idx="1619">
                  <c:v>6066854.9994606515</c:v>
                </c:pt>
                <c:pt idx="1620">
                  <c:v>6069517.9117518561</c:v>
                </c:pt>
                <c:pt idx="1621">
                  <c:v>6072180.8240430616</c:v>
                </c:pt>
                <c:pt idx="1622">
                  <c:v>6074843.7363342661</c:v>
                </c:pt>
                <c:pt idx="1623">
                  <c:v>6077506.6486254707</c:v>
                </c:pt>
                <c:pt idx="1624">
                  <c:v>6080169.5609166762</c:v>
                </c:pt>
                <c:pt idx="1625">
                  <c:v>6082832.4732078807</c:v>
                </c:pt>
                <c:pt idx="1626">
                  <c:v>6085495.3854990853</c:v>
                </c:pt>
                <c:pt idx="1627">
                  <c:v>6088158.2977902908</c:v>
                </c:pt>
                <c:pt idx="1628">
                  <c:v>6090821.2100814953</c:v>
                </c:pt>
                <c:pt idx="1629">
                  <c:v>6093484.1223726999</c:v>
                </c:pt>
                <c:pt idx="1630">
                  <c:v>6096147.0346639054</c:v>
                </c:pt>
                <c:pt idx="1631">
                  <c:v>6098809.9469551099</c:v>
                </c:pt>
                <c:pt idx="1632">
                  <c:v>6101472.8592463145</c:v>
                </c:pt>
                <c:pt idx="1633">
                  <c:v>6104135.77153752</c:v>
                </c:pt>
                <c:pt idx="1634">
                  <c:v>6106798.6838287245</c:v>
                </c:pt>
                <c:pt idx="1635">
                  <c:v>6109461.5961199291</c:v>
                </c:pt>
                <c:pt idx="1636">
                  <c:v>6112124.5084111337</c:v>
                </c:pt>
                <c:pt idx="1637">
                  <c:v>6114787.4207023392</c:v>
                </c:pt>
                <c:pt idx="1638">
                  <c:v>6117450.3329935437</c:v>
                </c:pt>
                <c:pt idx="1639">
                  <c:v>6120113.2452847483</c:v>
                </c:pt>
                <c:pt idx="1640">
                  <c:v>6122776.1575759538</c:v>
                </c:pt>
                <c:pt idx="1641">
                  <c:v>6125439.0698671583</c:v>
                </c:pt>
                <c:pt idx="1642">
                  <c:v>6128101.9821583629</c:v>
                </c:pt>
                <c:pt idx="1643">
                  <c:v>6130764.8944495684</c:v>
                </c:pt>
                <c:pt idx="1644">
                  <c:v>6133427.8067407729</c:v>
                </c:pt>
                <c:pt idx="1645">
                  <c:v>6136090.7190319775</c:v>
                </c:pt>
                <c:pt idx="1646">
                  <c:v>6138753.631323183</c:v>
                </c:pt>
                <c:pt idx="1647">
                  <c:v>6141416.5436143875</c:v>
                </c:pt>
                <c:pt idx="1648">
                  <c:v>6144079.4559055921</c:v>
                </c:pt>
                <c:pt idx="1649">
                  <c:v>6146742.3681967976</c:v>
                </c:pt>
                <c:pt idx="1650">
                  <c:v>6149405.2804880021</c:v>
                </c:pt>
                <c:pt idx="1651">
                  <c:v>6152068.1927792067</c:v>
                </c:pt>
                <c:pt idx="1652">
                  <c:v>6154731.1050704112</c:v>
                </c:pt>
                <c:pt idx="1653">
                  <c:v>6157394.0173616167</c:v>
                </c:pt>
                <c:pt idx="1654">
                  <c:v>6160056.9296528213</c:v>
                </c:pt>
                <c:pt idx="1655">
                  <c:v>6162719.8419440258</c:v>
                </c:pt>
                <c:pt idx="1656">
                  <c:v>6165382.7542352313</c:v>
                </c:pt>
                <c:pt idx="1657">
                  <c:v>6168045.6665264359</c:v>
                </c:pt>
                <c:pt idx="1658">
                  <c:v>6170708.5788176404</c:v>
                </c:pt>
                <c:pt idx="1659">
                  <c:v>6173371.4911088459</c:v>
                </c:pt>
                <c:pt idx="1660">
                  <c:v>6176034.4034000505</c:v>
                </c:pt>
                <c:pt idx="1661">
                  <c:v>6178697.315691255</c:v>
                </c:pt>
                <c:pt idx="1662">
                  <c:v>6181360.2279824605</c:v>
                </c:pt>
                <c:pt idx="1663">
                  <c:v>6184023.1402736651</c:v>
                </c:pt>
                <c:pt idx="1664">
                  <c:v>6186686.0525648696</c:v>
                </c:pt>
                <c:pt idx="1665">
                  <c:v>6189348.9648560751</c:v>
                </c:pt>
                <c:pt idx="1666">
                  <c:v>6192011.8771472797</c:v>
                </c:pt>
                <c:pt idx="1667">
                  <c:v>6194674.7894384842</c:v>
                </c:pt>
                <c:pt idx="1668">
                  <c:v>6197337.7017296897</c:v>
                </c:pt>
                <c:pt idx="1669">
                  <c:v>6200000.6140208943</c:v>
                </c:pt>
                <c:pt idx="1670">
                  <c:v>6202663.5263120988</c:v>
                </c:pt>
                <c:pt idx="1671">
                  <c:v>6205326.4386033034</c:v>
                </c:pt>
                <c:pt idx="1672">
                  <c:v>6207989.3508945089</c:v>
                </c:pt>
                <c:pt idx="1673">
                  <c:v>6210652.2631857134</c:v>
                </c:pt>
                <c:pt idx="1674">
                  <c:v>6213315.175476918</c:v>
                </c:pt>
                <c:pt idx="1675">
                  <c:v>6215978.0877681235</c:v>
                </c:pt>
                <c:pt idx="1676">
                  <c:v>6218641.000059328</c:v>
                </c:pt>
                <c:pt idx="1677">
                  <c:v>6221303.9123505326</c:v>
                </c:pt>
                <c:pt idx="1678">
                  <c:v>6223966.8246417381</c:v>
                </c:pt>
                <c:pt idx="1679">
                  <c:v>6226629.7369329426</c:v>
                </c:pt>
                <c:pt idx="1680">
                  <c:v>6229292.6492241472</c:v>
                </c:pt>
                <c:pt idx="1681">
                  <c:v>6231955.5615153527</c:v>
                </c:pt>
                <c:pt idx="1682">
                  <c:v>6234618.4738065572</c:v>
                </c:pt>
                <c:pt idx="1683">
                  <c:v>6237281.3860977618</c:v>
                </c:pt>
                <c:pt idx="1684">
                  <c:v>6239944.2983889673</c:v>
                </c:pt>
                <c:pt idx="1685">
                  <c:v>6242607.2106801718</c:v>
                </c:pt>
                <c:pt idx="1686">
                  <c:v>6245270.1229713764</c:v>
                </c:pt>
                <c:pt idx="1687">
                  <c:v>6247933.035262581</c:v>
                </c:pt>
                <c:pt idx="1688">
                  <c:v>6250595.9475537864</c:v>
                </c:pt>
                <c:pt idx="1689">
                  <c:v>6253258.859844991</c:v>
                </c:pt>
                <c:pt idx="1690">
                  <c:v>6255921.7721361956</c:v>
                </c:pt>
                <c:pt idx="1691">
                  <c:v>6258584.6844274011</c:v>
                </c:pt>
                <c:pt idx="1692">
                  <c:v>6261247.5967186056</c:v>
                </c:pt>
                <c:pt idx="1693">
                  <c:v>6263910.5090098102</c:v>
                </c:pt>
                <c:pt idx="1694">
                  <c:v>6266573.4213010157</c:v>
                </c:pt>
                <c:pt idx="1695">
                  <c:v>6269236.3335922202</c:v>
                </c:pt>
                <c:pt idx="1696">
                  <c:v>6271899.2458834248</c:v>
                </c:pt>
                <c:pt idx="1697">
                  <c:v>6274562.1581746303</c:v>
                </c:pt>
                <c:pt idx="1698">
                  <c:v>6277225.0704658348</c:v>
                </c:pt>
                <c:pt idx="1699">
                  <c:v>6279887.9827570394</c:v>
                </c:pt>
                <c:pt idx="1700">
                  <c:v>6282550.8950482449</c:v>
                </c:pt>
                <c:pt idx="1701">
                  <c:v>6285213.8073394494</c:v>
                </c:pt>
                <c:pt idx="1702">
                  <c:v>6287876.719630654</c:v>
                </c:pt>
                <c:pt idx="1703">
                  <c:v>6290539.6319218595</c:v>
                </c:pt>
                <c:pt idx="1704">
                  <c:v>6293202.544213064</c:v>
                </c:pt>
                <c:pt idx="1705">
                  <c:v>6295865.4565042686</c:v>
                </c:pt>
                <c:pt idx="1706">
                  <c:v>6298528.3687954731</c:v>
                </c:pt>
                <c:pt idx="1707">
                  <c:v>6301191.2810866786</c:v>
                </c:pt>
                <c:pt idx="1708">
                  <c:v>6303854.1933778832</c:v>
                </c:pt>
                <c:pt idx="1709">
                  <c:v>6306517.1056690877</c:v>
                </c:pt>
                <c:pt idx="1710">
                  <c:v>6309180.0179602932</c:v>
                </c:pt>
                <c:pt idx="1711">
                  <c:v>6311842.9302514978</c:v>
                </c:pt>
                <c:pt idx="1712">
                  <c:v>6314505.8425427023</c:v>
                </c:pt>
                <c:pt idx="1713">
                  <c:v>6317168.7548339078</c:v>
                </c:pt>
                <c:pt idx="1714">
                  <c:v>6319831.6671251124</c:v>
                </c:pt>
                <c:pt idx="1715">
                  <c:v>6322494.5794163169</c:v>
                </c:pt>
                <c:pt idx="1716">
                  <c:v>6325157.4917075224</c:v>
                </c:pt>
                <c:pt idx="1717">
                  <c:v>6327820.403998727</c:v>
                </c:pt>
                <c:pt idx="1718">
                  <c:v>6330483.3162899315</c:v>
                </c:pt>
                <c:pt idx="1719">
                  <c:v>6333146.228581137</c:v>
                </c:pt>
                <c:pt idx="1720">
                  <c:v>6335809.1408723416</c:v>
                </c:pt>
                <c:pt idx="1721">
                  <c:v>6338472.0531635461</c:v>
                </c:pt>
                <c:pt idx="1722">
                  <c:v>6341134.9654547507</c:v>
                </c:pt>
                <c:pt idx="1723">
                  <c:v>6343797.8777459562</c:v>
                </c:pt>
                <c:pt idx="1724">
                  <c:v>6346460.7900371607</c:v>
                </c:pt>
                <c:pt idx="1725">
                  <c:v>6349123.7023283653</c:v>
                </c:pt>
                <c:pt idx="1726">
                  <c:v>6351786.6146195708</c:v>
                </c:pt>
                <c:pt idx="1727">
                  <c:v>6354449.5269107753</c:v>
                </c:pt>
                <c:pt idx="1728">
                  <c:v>6357112.4392019799</c:v>
                </c:pt>
                <c:pt idx="1729">
                  <c:v>6359775.3514931854</c:v>
                </c:pt>
                <c:pt idx="1730">
                  <c:v>6362438.2637843899</c:v>
                </c:pt>
                <c:pt idx="1731">
                  <c:v>6365101.1760755945</c:v>
                </c:pt>
                <c:pt idx="1732">
                  <c:v>6367764.0883668</c:v>
                </c:pt>
                <c:pt idx="1733">
                  <c:v>6370427.0006580045</c:v>
                </c:pt>
                <c:pt idx="1734">
                  <c:v>6373089.9129492091</c:v>
                </c:pt>
                <c:pt idx="1735">
                  <c:v>6375752.8252404146</c:v>
                </c:pt>
                <c:pt idx="1736">
                  <c:v>6378415.7375316191</c:v>
                </c:pt>
                <c:pt idx="1737">
                  <c:v>6381078.6498228237</c:v>
                </c:pt>
                <c:pt idx="1738">
                  <c:v>6383741.5621140292</c:v>
                </c:pt>
                <c:pt idx="1739">
                  <c:v>6386404.4744052337</c:v>
                </c:pt>
                <c:pt idx="1740">
                  <c:v>6389067.3866964383</c:v>
                </c:pt>
                <c:pt idx="1741">
                  <c:v>6391730.2989876429</c:v>
                </c:pt>
                <c:pt idx="1742">
                  <c:v>6394393.2112788484</c:v>
                </c:pt>
                <c:pt idx="1743">
                  <c:v>6397056.1235700529</c:v>
                </c:pt>
                <c:pt idx="1744">
                  <c:v>6399719.0358612575</c:v>
                </c:pt>
                <c:pt idx="1745">
                  <c:v>6402381.948152463</c:v>
                </c:pt>
                <c:pt idx="1746">
                  <c:v>6405044.8604436675</c:v>
                </c:pt>
                <c:pt idx="1747">
                  <c:v>6407707.7727348721</c:v>
                </c:pt>
                <c:pt idx="1748">
                  <c:v>6410370.6850260776</c:v>
                </c:pt>
                <c:pt idx="1749">
                  <c:v>6413033.5973172821</c:v>
                </c:pt>
                <c:pt idx="1750">
                  <c:v>6415696.5096084867</c:v>
                </c:pt>
                <c:pt idx="1751">
                  <c:v>6418359.4218996922</c:v>
                </c:pt>
                <c:pt idx="1752">
                  <c:v>6421022.3341908967</c:v>
                </c:pt>
                <c:pt idx="1753">
                  <c:v>6423685.2464821013</c:v>
                </c:pt>
                <c:pt idx="1754">
                  <c:v>6426348.1587733068</c:v>
                </c:pt>
                <c:pt idx="1755">
                  <c:v>6429011.0710645113</c:v>
                </c:pt>
                <c:pt idx="1756">
                  <c:v>6431673.9833557159</c:v>
                </c:pt>
                <c:pt idx="1757">
                  <c:v>6434336.8956469204</c:v>
                </c:pt>
                <c:pt idx="1758">
                  <c:v>6436999.8079381259</c:v>
                </c:pt>
                <c:pt idx="1759">
                  <c:v>6439662.7202293305</c:v>
                </c:pt>
                <c:pt idx="1760">
                  <c:v>6442325.632520535</c:v>
                </c:pt>
                <c:pt idx="1761">
                  <c:v>6444988.5448117405</c:v>
                </c:pt>
                <c:pt idx="1762">
                  <c:v>6447651.4571029451</c:v>
                </c:pt>
                <c:pt idx="1763">
                  <c:v>6450314.3693941496</c:v>
                </c:pt>
                <c:pt idx="1764">
                  <c:v>6452977.2816853551</c:v>
                </c:pt>
                <c:pt idx="1765">
                  <c:v>6455640.1939765597</c:v>
                </c:pt>
                <c:pt idx="1766">
                  <c:v>6458303.1062677642</c:v>
                </c:pt>
                <c:pt idx="1767">
                  <c:v>6460966.0185589697</c:v>
                </c:pt>
                <c:pt idx="1768">
                  <c:v>6463628.9308501743</c:v>
                </c:pt>
                <c:pt idx="1769">
                  <c:v>6466291.8431413788</c:v>
                </c:pt>
                <c:pt idx="1770">
                  <c:v>6468954.7554325843</c:v>
                </c:pt>
                <c:pt idx="1771">
                  <c:v>6471617.6677237889</c:v>
                </c:pt>
                <c:pt idx="1772">
                  <c:v>6474280.5800149934</c:v>
                </c:pt>
                <c:pt idx="1773">
                  <c:v>6476943.4923061989</c:v>
                </c:pt>
                <c:pt idx="1774">
                  <c:v>6479606.4045974035</c:v>
                </c:pt>
                <c:pt idx="1775">
                  <c:v>6482269.316888608</c:v>
                </c:pt>
                <c:pt idx="1776">
                  <c:v>6484932.2291798126</c:v>
                </c:pt>
                <c:pt idx="1777">
                  <c:v>6487595.1414710181</c:v>
                </c:pt>
                <c:pt idx="1778">
                  <c:v>6490258.0537622226</c:v>
                </c:pt>
                <c:pt idx="1779">
                  <c:v>6492920.9660534272</c:v>
                </c:pt>
                <c:pt idx="1780">
                  <c:v>6495583.8783446327</c:v>
                </c:pt>
                <c:pt idx="1781">
                  <c:v>6498246.7906358372</c:v>
                </c:pt>
                <c:pt idx="1782">
                  <c:v>6500909.7029270418</c:v>
                </c:pt>
                <c:pt idx="1783">
                  <c:v>6503572.6152182473</c:v>
                </c:pt>
                <c:pt idx="1784">
                  <c:v>6506235.5275094518</c:v>
                </c:pt>
                <c:pt idx="1785">
                  <c:v>6508898.4398006564</c:v>
                </c:pt>
                <c:pt idx="1786">
                  <c:v>6511561.3520918619</c:v>
                </c:pt>
                <c:pt idx="1787">
                  <c:v>6514224.2643830664</c:v>
                </c:pt>
                <c:pt idx="1788">
                  <c:v>6516887.176674271</c:v>
                </c:pt>
                <c:pt idx="1789">
                  <c:v>6519550.0889654765</c:v>
                </c:pt>
                <c:pt idx="1790">
                  <c:v>6522213.001256681</c:v>
                </c:pt>
                <c:pt idx="1791">
                  <c:v>6524875.9135478856</c:v>
                </c:pt>
                <c:pt idx="1792">
                  <c:v>6527538.8258390911</c:v>
                </c:pt>
                <c:pt idx="1793">
                  <c:v>6530201.7381302956</c:v>
                </c:pt>
                <c:pt idx="1794">
                  <c:v>6532864.6504215002</c:v>
                </c:pt>
                <c:pt idx="1795">
                  <c:v>6535527.5627127048</c:v>
                </c:pt>
                <c:pt idx="1796">
                  <c:v>6538190.4750039103</c:v>
                </c:pt>
                <c:pt idx="1797">
                  <c:v>6540853.3872951148</c:v>
                </c:pt>
                <c:pt idx="1798">
                  <c:v>6543516.2995863194</c:v>
                </c:pt>
                <c:pt idx="1799">
                  <c:v>6546179.2118775249</c:v>
                </c:pt>
                <c:pt idx="1800">
                  <c:v>6548842.1241687294</c:v>
                </c:pt>
                <c:pt idx="1801">
                  <c:v>6551505.036459934</c:v>
                </c:pt>
                <c:pt idx="1802">
                  <c:v>6554167.9487511395</c:v>
                </c:pt>
                <c:pt idx="1803">
                  <c:v>6556830.861042344</c:v>
                </c:pt>
                <c:pt idx="1804">
                  <c:v>6559493.7733335486</c:v>
                </c:pt>
                <c:pt idx="1805">
                  <c:v>6562156.6856247541</c:v>
                </c:pt>
                <c:pt idx="1806">
                  <c:v>6564819.5979159586</c:v>
                </c:pt>
                <c:pt idx="1807">
                  <c:v>6567482.5102071632</c:v>
                </c:pt>
                <c:pt idx="1808">
                  <c:v>6570145.4224983687</c:v>
                </c:pt>
                <c:pt idx="1809">
                  <c:v>6572808.3347895732</c:v>
                </c:pt>
                <c:pt idx="1810">
                  <c:v>6575471.2470807778</c:v>
                </c:pt>
                <c:pt idx="1811">
                  <c:v>6578134.1593719823</c:v>
                </c:pt>
                <c:pt idx="1812">
                  <c:v>6580797.0716631878</c:v>
                </c:pt>
                <c:pt idx="1813">
                  <c:v>6583459.9839543924</c:v>
                </c:pt>
                <c:pt idx="1814">
                  <c:v>6586122.8962455969</c:v>
                </c:pt>
                <c:pt idx="1815">
                  <c:v>6588785.8085368024</c:v>
                </c:pt>
                <c:pt idx="1816">
                  <c:v>6591448.720828007</c:v>
                </c:pt>
                <c:pt idx="1817">
                  <c:v>6594111.6331192115</c:v>
                </c:pt>
                <c:pt idx="1818">
                  <c:v>6596774.545410417</c:v>
                </c:pt>
                <c:pt idx="1819">
                  <c:v>6599437.4577016216</c:v>
                </c:pt>
                <c:pt idx="1820">
                  <c:v>6602100.3699928261</c:v>
                </c:pt>
                <c:pt idx="1821">
                  <c:v>6604763.2822840316</c:v>
                </c:pt>
                <c:pt idx="1822">
                  <c:v>6607426.1945752362</c:v>
                </c:pt>
                <c:pt idx="1823">
                  <c:v>6610089.1068664407</c:v>
                </c:pt>
                <c:pt idx="1824">
                  <c:v>6612752.0191576462</c:v>
                </c:pt>
                <c:pt idx="1825">
                  <c:v>6615414.9314488508</c:v>
                </c:pt>
                <c:pt idx="1826">
                  <c:v>6618077.8437400553</c:v>
                </c:pt>
                <c:pt idx="1827">
                  <c:v>6620740.7560312608</c:v>
                </c:pt>
                <c:pt idx="1828">
                  <c:v>6623403.6683224654</c:v>
                </c:pt>
                <c:pt idx="1829">
                  <c:v>6626066.5806136699</c:v>
                </c:pt>
                <c:pt idx="1830">
                  <c:v>6628729.4929048745</c:v>
                </c:pt>
                <c:pt idx="1831">
                  <c:v>6631392.40519608</c:v>
                </c:pt>
                <c:pt idx="1832">
                  <c:v>6634055.3174872845</c:v>
                </c:pt>
                <c:pt idx="1833">
                  <c:v>6636718.2297784891</c:v>
                </c:pt>
                <c:pt idx="1834">
                  <c:v>6639381.1420696946</c:v>
                </c:pt>
                <c:pt idx="1835">
                  <c:v>6642044.0543608991</c:v>
                </c:pt>
                <c:pt idx="1836">
                  <c:v>6644706.9666521037</c:v>
                </c:pt>
                <c:pt idx="1837">
                  <c:v>6647369.8789433092</c:v>
                </c:pt>
                <c:pt idx="1838">
                  <c:v>6650032.7912345137</c:v>
                </c:pt>
                <c:pt idx="1839">
                  <c:v>6652695.7035257183</c:v>
                </c:pt>
                <c:pt idx="1840">
                  <c:v>6655358.6158169238</c:v>
                </c:pt>
                <c:pt idx="1841">
                  <c:v>6658021.5281081283</c:v>
                </c:pt>
                <c:pt idx="1842">
                  <c:v>6660684.4403993329</c:v>
                </c:pt>
                <c:pt idx="1843">
                  <c:v>6663347.3526905384</c:v>
                </c:pt>
                <c:pt idx="1844">
                  <c:v>6666010.2649817429</c:v>
                </c:pt>
                <c:pt idx="1845">
                  <c:v>6668673.1772729475</c:v>
                </c:pt>
                <c:pt idx="1846">
                  <c:v>6671336.0895641521</c:v>
                </c:pt>
                <c:pt idx="1847">
                  <c:v>6673999.0018553576</c:v>
                </c:pt>
                <c:pt idx="1848">
                  <c:v>6676661.9141465621</c:v>
                </c:pt>
                <c:pt idx="1849">
                  <c:v>6679324.8264377667</c:v>
                </c:pt>
                <c:pt idx="1850">
                  <c:v>6681987.7387289722</c:v>
                </c:pt>
                <c:pt idx="1851">
                  <c:v>6684650.6510201767</c:v>
                </c:pt>
                <c:pt idx="1852">
                  <c:v>6687313.5633113813</c:v>
                </c:pt>
                <c:pt idx="1853">
                  <c:v>6689976.4756025868</c:v>
                </c:pt>
                <c:pt idx="1854">
                  <c:v>6692639.3878937913</c:v>
                </c:pt>
                <c:pt idx="1855">
                  <c:v>6695302.3001849959</c:v>
                </c:pt>
                <c:pt idx="1856">
                  <c:v>6697965.2124762014</c:v>
                </c:pt>
                <c:pt idx="1857">
                  <c:v>6700628.1247674059</c:v>
                </c:pt>
                <c:pt idx="1858">
                  <c:v>6703291.0370586105</c:v>
                </c:pt>
                <c:pt idx="1859">
                  <c:v>6705953.949349816</c:v>
                </c:pt>
                <c:pt idx="1860">
                  <c:v>6708616.8616410205</c:v>
                </c:pt>
                <c:pt idx="1861">
                  <c:v>6711279.7739322251</c:v>
                </c:pt>
                <c:pt idx="1862">
                  <c:v>6713942.6862234306</c:v>
                </c:pt>
                <c:pt idx="1863">
                  <c:v>6716605.5985146351</c:v>
                </c:pt>
                <c:pt idx="1864">
                  <c:v>6719268.5108058397</c:v>
                </c:pt>
                <c:pt idx="1865">
                  <c:v>6721931.4230970442</c:v>
                </c:pt>
                <c:pt idx="1866">
                  <c:v>6724594.3353882497</c:v>
                </c:pt>
                <c:pt idx="1867">
                  <c:v>6727257.2476794543</c:v>
                </c:pt>
                <c:pt idx="1868">
                  <c:v>6729920.1599706588</c:v>
                </c:pt>
                <c:pt idx="1869">
                  <c:v>6732583.0722618643</c:v>
                </c:pt>
                <c:pt idx="1870">
                  <c:v>6735245.9845530689</c:v>
                </c:pt>
                <c:pt idx="1871">
                  <c:v>6737908.8968442734</c:v>
                </c:pt>
                <c:pt idx="1872">
                  <c:v>6740571.8091354789</c:v>
                </c:pt>
                <c:pt idx="1873">
                  <c:v>6743234.7214266835</c:v>
                </c:pt>
                <c:pt idx="1874">
                  <c:v>6745897.633717888</c:v>
                </c:pt>
                <c:pt idx="1875">
                  <c:v>6748560.5460090935</c:v>
                </c:pt>
                <c:pt idx="1876">
                  <c:v>6751223.4583002981</c:v>
                </c:pt>
                <c:pt idx="1877">
                  <c:v>6753886.3705915026</c:v>
                </c:pt>
                <c:pt idx="1878">
                  <c:v>6756549.2828827081</c:v>
                </c:pt>
                <c:pt idx="1879">
                  <c:v>6759212.1951739127</c:v>
                </c:pt>
                <c:pt idx="1880">
                  <c:v>6761875.1074651172</c:v>
                </c:pt>
                <c:pt idx="1881">
                  <c:v>6764538.0197563218</c:v>
                </c:pt>
                <c:pt idx="1882">
                  <c:v>6767200.9320475273</c:v>
                </c:pt>
                <c:pt idx="1883">
                  <c:v>6769863.8443387318</c:v>
                </c:pt>
                <c:pt idx="1884">
                  <c:v>6772526.7566299364</c:v>
                </c:pt>
                <c:pt idx="1885">
                  <c:v>6775189.6689211419</c:v>
                </c:pt>
                <c:pt idx="1886">
                  <c:v>6777852.5812123464</c:v>
                </c:pt>
                <c:pt idx="1887">
                  <c:v>6780515.493503551</c:v>
                </c:pt>
                <c:pt idx="1888">
                  <c:v>6783178.4057947565</c:v>
                </c:pt>
                <c:pt idx="1889">
                  <c:v>6785841.318085961</c:v>
                </c:pt>
                <c:pt idx="1890">
                  <c:v>6788504.2303771656</c:v>
                </c:pt>
                <c:pt idx="1891">
                  <c:v>6791167.1426683711</c:v>
                </c:pt>
                <c:pt idx="1892">
                  <c:v>6793830.0549595756</c:v>
                </c:pt>
                <c:pt idx="1893">
                  <c:v>6796492.9672507802</c:v>
                </c:pt>
                <c:pt idx="1894">
                  <c:v>6799155.8795419857</c:v>
                </c:pt>
                <c:pt idx="1895">
                  <c:v>6801818.7918331902</c:v>
                </c:pt>
                <c:pt idx="1896">
                  <c:v>6804481.7041243948</c:v>
                </c:pt>
                <c:pt idx="1897">
                  <c:v>6807144.6164156003</c:v>
                </c:pt>
                <c:pt idx="1898">
                  <c:v>6809807.5287068048</c:v>
                </c:pt>
                <c:pt idx="1899">
                  <c:v>6812470.4409980094</c:v>
                </c:pt>
                <c:pt idx="1900">
                  <c:v>6815133.353289214</c:v>
                </c:pt>
                <c:pt idx="1901">
                  <c:v>6817796.2655804195</c:v>
                </c:pt>
                <c:pt idx="1902">
                  <c:v>6820459.177871624</c:v>
                </c:pt>
                <c:pt idx="1903">
                  <c:v>6823122.0901628286</c:v>
                </c:pt>
                <c:pt idx="1904">
                  <c:v>6825785.0024540341</c:v>
                </c:pt>
                <c:pt idx="1905">
                  <c:v>6828447.9147452386</c:v>
                </c:pt>
                <c:pt idx="1906">
                  <c:v>6831110.8270364432</c:v>
                </c:pt>
                <c:pt idx="1907">
                  <c:v>6833773.7393276487</c:v>
                </c:pt>
                <c:pt idx="1908">
                  <c:v>6836436.6516188532</c:v>
                </c:pt>
                <c:pt idx="1909">
                  <c:v>6839099.5639100578</c:v>
                </c:pt>
                <c:pt idx="1910">
                  <c:v>6841762.4762012633</c:v>
                </c:pt>
                <c:pt idx="1911">
                  <c:v>6844425.3884924678</c:v>
                </c:pt>
                <c:pt idx="1912">
                  <c:v>6847088.3007836724</c:v>
                </c:pt>
                <c:pt idx="1913">
                  <c:v>6849751.2130748779</c:v>
                </c:pt>
                <c:pt idx="1914">
                  <c:v>6852414.1253660824</c:v>
                </c:pt>
                <c:pt idx="1915">
                  <c:v>6855077.037657287</c:v>
                </c:pt>
                <c:pt idx="1916">
                  <c:v>6857739.9499484915</c:v>
                </c:pt>
                <c:pt idx="1917">
                  <c:v>6860402.862239697</c:v>
                </c:pt>
                <c:pt idx="1918">
                  <c:v>6863065.7745309016</c:v>
                </c:pt>
                <c:pt idx="1919">
                  <c:v>6865728.6868221061</c:v>
                </c:pt>
                <c:pt idx="1920">
                  <c:v>6868391.5991133116</c:v>
                </c:pt>
                <c:pt idx="1921">
                  <c:v>6871054.5114045162</c:v>
                </c:pt>
                <c:pt idx="1922">
                  <c:v>6873717.4236957207</c:v>
                </c:pt>
                <c:pt idx="1923">
                  <c:v>6876380.3359869262</c:v>
                </c:pt>
                <c:pt idx="1924">
                  <c:v>6879043.2482781308</c:v>
                </c:pt>
                <c:pt idx="1925">
                  <c:v>6881706.1605693353</c:v>
                </c:pt>
                <c:pt idx="1926">
                  <c:v>6884369.0728605408</c:v>
                </c:pt>
                <c:pt idx="1927">
                  <c:v>6887031.9851517454</c:v>
                </c:pt>
                <c:pt idx="1928">
                  <c:v>6889694.8974429499</c:v>
                </c:pt>
                <c:pt idx="1929">
                  <c:v>6892357.8097341554</c:v>
                </c:pt>
                <c:pt idx="1930">
                  <c:v>6895020.72202536</c:v>
                </c:pt>
                <c:pt idx="1931">
                  <c:v>6897683.6343165645</c:v>
                </c:pt>
                <c:pt idx="1932">
                  <c:v>6900346.54660777</c:v>
                </c:pt>
                <c:pt idx="1933">
                  <c:v>6903009.4588989746</c:v>
                </c:pt>
                <c:pt idx="1934">
                  <c:v>6905672.3711901791</c:v>
                </c:pt>
                <c:pt idx="1935">
                  <c:v>6908335.2834813837</c:v>
                </c:pt>
                <c:pt idx="1936">
                  <c:v>6910998.1957725892</c:v>
                </c:pt>
                <c:pt idx="1937">
                  <c:v>6913661.1080637937</c:v>
                </c:pt>
                <c:pt idx="1938">
                  <c:v>6916324.0203549983</c:v>
                </c:pt>
                <c:pt idx="1939">
                  <c:v>6918986.9326462038</c:v>
                </c:pt>
                <c:pt idx="1940">
                  <c:v>6921649.8449374083</c:v>
                </c:pt>
                <c:pt idx="1941">
                  <c:v>6924312.7572286129</c:v>
                </c:pt>
                <c:pt idx="1942">
                  <c:v>6926975.6695198184</c:v>
                </c:pt>
                <c:pt idx="1943">
                  <c:v>6929638.5818110229</c:v>
                </c:pt>
                <c:pt idx="1944">
                  <c:v>6932301.4941022275</c:v>
                </c:pt>
                <c:pt idx="1945">
                  <c:v>6934964.406393433</c:v>
                </c:pt>
                <c:pt idx="1946">
                  <c:v>6937627.3186846375</c:v>
                </c:pt>
                <c:pt idx="1947">
                  <c:v>6940290.2309758421</c:v>
                </c:pt>
                <c:pt idx="1948">
                  <c:v>6942953.1432670476</c:v>
                </c:pt>
                <c:pt idx="1949">
                  <c:v>6945616.0555582521</c:v>
                </c:pt>
                <c:pt idx="1950">
                  <c:v>6948278.9678494567</c:v>
                </c:pt>
                <c:pt idx="1951">
                  <c:v>6950941.8801406613</c:v>
                </c:pt>
                <c:pt idx="1952">
                  <c:v>6953604.7924318668</c:v>
                </c:pt>
                <c:pt idx="1953">
                  <c:v>6956267.7047230713</c:v>
                </c:pt>
                <c:pt idx="1954">
                  <c:v>6958930.6170142759</c:v>
                </c:pt>
                <c:pt idx="1955">
                  <c:v>6961593.5293054814</c:v>
                </c:pt>
                <c:pt idx="1956">
                  <c:v>6964256.4415966859</c:v>
                </c:pt>
                <c:pt idx="1957">
                  <c:v>6966919.3538878905</c:v>
                </c:pt>
                <c:pt idx="1958">
                  <c:v>6969582.266179096</c:v>
                </c:pt>
                <c:pt idx="1959">
                  <c:v>6972245.1784703005</c:v>
                </c:pt>
                <c:pt idx="1960">
                  <c:v>6974908.0907615051</c:v>
                </c:pt>
                <c:pt idx="1961">
                  <c:v>6977571.0030527106</c:v>
                </c:pt>
                <c:pt idx="1962">
                  <c:v>6980233.9153439151</c:v>
                </c:pt>
                <c:pt idx="1963">
                  <c:v>6982896.8276351197</c:v>
                </c:pt>
                <c:pt idx="1964">
                  <c:v>6985559.7399263252</c:v>
                </c:pt>
                <c:pt idx="1965">
                  <c:v>6988222.6522175297</c:v>
                </c:pt>
                <c:pt idx="1966">
                  <c:v>6990885.5645087343</c:v>
                </c:pt>
                <c:pt idx="1967">
                  <c:v>6993548.4767999398</c:v>
                </c:pt>
                <c:pt idx="1968">
                  <c:v>6996211.3890911443</c:v>
                </c:pt>
                <c:pt idx="1969">
                  <c:v>6998874.3013823489</c:v>
                </c:pt>
                <c:pt idx="1970">
                  <c:v>7001537.2136735534</c:v>
                </c:pt>
                <c:pt idx="1971">
                  <c:v>7004200.1259647589</c:v>
                </c:pt>
                <c:pt idx="1972">
                  <c:v>7006863.0382559635</c:v>
                </c:pt>
                <c:pt idx="1973">
                  <c:v>7009525.950547168</c:v>
                </c:pt>
                <c:pt idx="1974">
                  <c:v>7012188.8628383735</c:v>
                </c:pt>
                <c:pt idx="1975">
                  <c:v>7014851.7751295781</c:v>
                </c:pt>
                <c:pt idx="1976">
                  <c:v>7017514.6874207826</c:v>
                </c:pt>
                <c:pt idx="1977">
                  <c:v>7020177.5997119881</c:v>
                </c:pt>
                <c:pt idx="1978">
                  <c:v>7022840.5120031927</c:v>
                </c:pt>
                <c:pt idx="1979">
                  <c:v>7025503.4242943972</c:v>
                </c:pt>
                <c:pt idx="1980">
                  <c:v>7028166.3365856027</c:v>
                </c:pt>
                <c:pt idx="1981">
                  <c:v>7030829.2488768073</c:v>
                </c:pt>
                <c:pt idx="1982">
                  <c:v>7033492.1611680118</c:v>
                </c:pt>
                <c:pt idx="1983">
                  <c:v>7036155.0734592173</c:v>
                </c:pt>
                <c:pt idx="1984">
                  <c:v>7038817.9857504219</c:v>
                </c:pt>
                <c:pt idx="1985">
                  <c:v>7041480.8980416264</c:v>
                </c:pt>
                <c:pt idx="1986">
                  <c:v>7044143.8103328319</c:v>
                </c:pt>
                <c:pt idx="1987">
                  <c:v>7046806.7226240365</c:v>
                </c:pt>
                <c:pt idx="1988">
                  <c:v>7049469.634915241</c:v>
                </c:pt>
                <c:pt idx="1989">
                  <c:v>7052132.5472064456</c:v>
                </c:pt>
                <c:pt idx="1990">
                  <c:v>7054795.4594976511</c:v>
                </c:pt>
                <c:pt idx="1991">
                  <c:v>7057458.3717888556</c:v>
                </c:pt>
                <c:pt idx="1992">
                  <c:v>7060121.2840800602</c:v>
                </c:pt>
                <c:pt idx="1993">
                  <c:v>7062784.1963712657</c:v>
                </c:pt>
                <c:pt idx="1994">
                  <c:v>7065447.1086624702</c:v>
                </c:pt>
                <c:pt idx="1995">
                  <c:v>7068110.0209536748</c:v>
                </c:pt>
                <c:pt idx="1996">
                  <c:v>7070772.9332448803</c:v>
                </c:pt>
                <c:pt idx="1997">
                  <c:v>7073435.8455360848</c:v>
                </c:pt>
                <c:pt idx="1998">
                  <c:v>7076098.7578272894</c:v>
                </c:pt>
                <c:pt idx="1999">
                  <c:v>7078761.6701184949</c:v>
                </c:pt>
                <c:pt idx="2000">
                  <c:v>7081424.5824096994</c:v>
                </c:pt>
                <c:pt idx="2001">
                  <c:v>7084087.494700904</c:v>
                </c:pt>
                <c:pt idx="2002">
                  <c:v>7086750.4069921095</c:v>
                </c:pt>
                <c:pt idx="2003">
                  <c:v>7089413.319283314</c:v>
                </c:pt>
                <c:pt idx="2004">
                  <c:v>7092076.2315745186</c:v>
                </c:pt>
                <c:pt idx="2005">
                  <c:v>7094739.1438657232</c:v>
                </c:pt>
                <c:pt idx="2006">
                  <c:v>7097402.0561569287</c:v>
                </c:pt>
                <c:pt idx="2007">
                  <c:v>7100064.9684481332</c:v>
                </c:pt>
                <c:pt idx="2008">
                  <c:v>7102727.8807393378</c:v>
                </c:pt>
                <c:pt idx="2009">
                  <c:v>7105390.7930305433</c:v>
                </c:pt>
                <c:pt idx="2010">
                  <c:v>7108053.7053217478</c:v>
                </c:pt>
                <c:pt idx="2011">
                  <c:v>7110716.6176129524</c:v>
                </c:pt>
                <c:pt idx="2012">
                  <c:v>7113379.5299041579</c:v>
                </c:pt>
                <c:pt idx="2013">
                  <c:v>7116042.4421953624</c:v>
                </c:pt>
                <c:pt idx="2014">
                  <c:v>7118705.354486567</c:v>
                </c:pt>
                <c:pt idx="2015">
                  <c:v>7121368.2667777725</c:v>
                </c:pt>
                <c:pt idx="2016">
                  <c:v>7124031.179068977</c:v>
                </c:pt>
                <c:pt idx="2017">
                  <c:v>7126694.0913601816</c:v>
                </c:pt>
                <c:pt idx="2018">
                  <c:v>7129357.0036513871</c:v>
                </c:pt>
                <c:pt idx="2019">
                  <c:v>7132019.9159425916</c:v>
                </c:pt>
                <c:pt idx="2020">
                  <c:v>7134682.8282337962</c:v>
                </c:pt>
                <c:pt idx="2021">
                  <c:v>7137345.7405250017</c:v>
                </c:pt>
                <c:pt idx="2022">
                  <c:v>7140008.6528162062</c:v>
                </c:pt>
                <c:pt idx="2023">
                  <c:v>7142671.5651074108</c:v>
                </c:pt>
                <c:pt idx="2024">
                  <c:v>7145334.4773986153</c:v>
                </c:pt>
                <c:pt idx="2025">
                  <c:v>7147997.3896898208</c:v>
                </c:pt>
                <c:pt idx="2026">
                  <c:v>7150660.3019810254</c:v>
                </c:pt>
                <c:pt idx="2027">
                  <c:v>7153323.2142722299</c:v>
                </c:pt>
                <c:pt idx="2028">
                  <c:v>7155986.1265634354</c:v>
                </c:pt>
                <c:pt idx="2029">
                  <c:v>7158649.03885464</c:v>
                </c:pt>
                <c:pt idx="2030">
                  <c:v>7161311.9511458445</c:v>
                </c:pt>
                <c:pt idx="2031">
                  <c:v>7163974.86343705</c:v>
                </c:pt>
                <c:pt idx="2032">
                  <c:v>7166637.7757282546</c:v>
                </c:pt>
                <c:pt idx="2033">
                  <c:v>7169300.6880194591</c:v>
                </c:pt>
                <c:pt idx="2034">
                  <c:v>7171963.6003106646</c:v>
                </c:pt>
                <c:pt idx="2035">
                  <c:v>7174626.5126018692</c:v>
                </c:pt>
                <c:pt idx="2036">
                  <c:v>7177289.4248930737</c:v>
                </c:pt>
                <c:pt idx="2037">
                  <c:v>7179952.3371842792</c:v>
                </c:pt>
                <c:pt idx="2038">
                  <c:v>7182615.2494754838</c:v>
                </c:pt>
                <c:pt idx="2039">
                  <c:v>7185278.1617666883</c:v>
                </c:pt>
                <c:pt idx="2040">
                  <c:v>7187941.0740578929</c:v>
                </c:pt>
                <c:pt idx="2041">
                  <c:v>7190603.9863490984</c:v>
                </c:pt>
                <c:pt idx="2042">
                  <c:v>7193266.8986403029</c:v>
                </c:pt>
                <c:pt idx="2043">
                  <c:v>7195929.8109315075</c:v>
                </c:pt>
                <c:pt idx="2044">
                  <c:v>7198592.723222713</c:v>
                </c:pt>
                <c:pt idx="2045">
                  <c:v>7201255.6355139175</c:v>
                </c:pt>
                <c:pt idx="2046">
                  <c:v>7203918.5478051221</c:v>
                </c:pt>
                <c:pt idx="2047">
                  <c:v>7206581.4600963276</c:v>
                </c:pt>
                <c:pt idx="2048">
                  <c:v>7209244.3723875321</c:v>
                </c:pt>
                <c:pt idx="2049">
                  <c:v>7211907.2846787367</c:v>
                </c:pt>
                <c:pt idx="2050">
                  <c:v>7214570.1969699422</c:v>
                </c:pt>
                <c:pt idx="2051">
                  <c:v>7217233.1092611467</c:v>
                </c:pt>
                <c:pt idx="2052">
                  <c:v>7219896.0215523513</c:v>
                </c:pt>
                <c:pt idx="2053">
                  <c:v>7222558.9338435568</c:v>
                </c:pt>
                <c:pt idx="2054">
                  <c:v>7225221.8461347613</c:v>
                </c:pt>
                <c:pt idx="2055">
                  <c:v>7227884.7584259659</c:v>
                </c:pt>
                <c:pt idx="2056">
                  <c:v>7230547.6707171714</c:v>
                </c:pt>
                <c:pt idx="2057">
                  <c:v>7233210.583008376</c:v>
                </c:pt>
                <c:pt idx="2058">
                  <c:v>7235873.4952995805</c:v>
                </c:pt>
                <c:pt idx="2059">
                  <c:v>7238536.4075907851</c:v>
                </c:pt>
                <c:pt idx="2060">
                  <c:v>7241199.3198819906</c:v>
                </c:pt>
                <c:pt idx="2061">
                  <c:v>7243862.2321731951</c:v>
                </c:pt>
                <c:pt idx="2062">
                  <c:v>7246525.1444643997</c:v>
                </c:pt>
                <c:pt idx="2063">
                  <c:v>7249188.0567556052</c:v>
                </c:pt>
                <c:pt idx="2064">
                  <c:v>7251850.9690468097</c:v>
                </c:pt>
                <c:pt idx="2065">
                  <c:v>7254513.8813380143</c:v>
                </c:pt>
                <c:pt idx="2066">
                  <c:v>7257176.7936292198</c:v>
                </c:pt>
                <c:pt idx="2067">
                  <c:v>7259839.7059204243</c:v>
                </c:pt>
                <c:pt idx="2068">
                  <c:v>7262502.6182116289</c:v>
                </c:pt>
                <c:pt idx="2069">
                  <c:v>7265165.5305028344</c:v>
                </c:pt>
                <c:pt idx="2070">
                  <c:v>7267828.4427940389</c:v>
                </c:pt>
                <c:pt idx="2071">
                  <c:v>7270491.3550852435</c:v>
                </c:pt>
                <c:pt idx="2072">
                  <c:v>7273154.267376449</c:v>
                </c:pt>
                <c:pt idx="2073">
                  <c:v>7275817.1796676535</c:v>
                </c:pt>
                <c:pt idx="2074">
                  <c:v>7278480.0919588581</c:v>
                </c:pt>
                <c:pt idx="2075">
                  <c:v>7281143.0042500626</c:v>
                </c:pt>
                <c:pt idx="2076">
                  <c:v>7283805.9165412681</c:v>
                </c:pt>
                <c:pt idx="2077">
                  <c:v>7286468.8288324727</c:v>
                </c:pt>
                <c:pt idx="2078">
                  <c:v>7289131.7411236772</c:v>
                </c:pt>
                <c:pt idx="2079">
                  <c:v>7291794.6534148827</c:v>
                </c:pt>
                <c:pt idx="2080">
                  <c:v>7294457.5657060873</c:v>
                </c:pt>
                <c:pt idx="2081">
                  <c:v>7297120.4779972918</c:v>
                </c:pt>
                <c:pt idx="2082">
                  <c:v>7299783.3902884973</c:v>
                </c:pt>
                <c:pt idx="2083">
                  <c:v>7302446.3025797019</c:v>
                </c:pt>
                <c:pt idx="2084">
                  <c:v>7305109.2148709064</c:v>
                </c:pt>
                <c:pt idx="2085">
                  <c:v>7307772.1271621119</c:v>
                </c:pt>
                <c:pt idx="2086">
                  <c:v>7310435.0394533165</c:v>
                </c:pt>
                <c:pt idx="2087">
                  <c:v>7313097.951744521</c:v>
                </c:pt>
                <c:pt idx="2088">
                  <c:v>7315760.8640357265</c:v>
                </c:pt>
                <c:pt idx="2089">
                  <c:v>7318423.7763269311</c:v>
                </c:pt>
                <c:pt idx="2090">
                  <c:v>7321086.6886181356</c:v>
                </c:pt>
                <c:pt idx="2091">
                  <c:v>7323749.6009093411</c:v>
                </c:pt>
                <c:pt idx="2092">
                  <c:v>7326412.5132005457</c:v>
                </c:pt>
                <c:pt idx="2093">
                  <c:v>7329075.4254917502</c:v>
                </c:pt>
                <c:pt idx="2094">
                  <c:v>7331738.3377829548</c:v>
                </c:pt>
                <c:pt idx="2095">
                  <c:v>7334401.2500741603</c:v>
                </c:pt>
                <c:pt idx="2096">
                  <c:v>7337064.1623653648</c:v>
                </c:pt>
                <c:pt idx="2097">
                  <c:v>7339727.0746565694</c:v>
                </c:pt>
                <c:pt idx="2098">
                  <c:v>7342389.9869477749</c:v>
                </c:pt>
                <c:pt idx="2099">
                  <c:v>7345052.8992389794</c:v>
                </c:pt>
                <c:pt idx="2100">
                  <c:v>7347715.811530184</c:v>
                </c:pt>
                <c:pt idx="2101">
                  <c:v>7350378.7238213895</c:v>
                </c:pt>
                <c:pt idx="2102">
                  <c:v>7353041.636112594</c:v>
                </c:pt>
                <c:pt idx="2103">
                  <c:v>7355704.5484037986</c:v>
                </c:pt>
                <c:pt idx="2104">
                  <c:v>7358367.4606950041</c:v>
                </c:pt>
                <c:pt idx="2105">
                  <c:v>7361030.3729862086</c:v>
                </c:pt>
                <c:pt idx="2106">
                  <c:v>7363693.2852774132</c:v>
                </c:pt>
                <c:pt idx="2107">
                  <c:v>7366356.1975686187</c:v>
                </c:pt>
                <c:pt idx="2108">
                  <c:v>7369019.1098598232</c:v>
                </c:pt>
                <c:pt idx="2109">
                  <c:v>7371682.0221510278</c:v>
                </c:pt>
                <c:pt idx="2110">
                  <c:v>7374344.9344422324</c:v>
                </c:pt>
                <c:pt idx="2111">
                  <c:v>7377007.8467334379</c:v>
                </c:pt>
                <c:pt idx="2112">
                  <c:v>7379670.7590246424</c:v>
                </c:pt>
                <c:pt idx="2113">
                  <c:v>7382333.671315847</c:v>
                </c:pt>
                <c:pt idx="2114">
                  <c:v>7384996.5836070525</c:v>
                </c:pt>
                <c:pt idx="2115">
                  <c:v>7387659.495898257</c:v>
                </c:pt>
                <c:pt idx="2116">
                  <c:v>7390322.4081894616</c:v>
                </c:pt>
                <c:pt idx="2117">
                  <c:v>7392985.3204806671</c:v>
                </c:pt>
                <c:pt idx="2118">
                  <c:v>7395648.2327718716</c:v>
                </c:pt>
                <c:pt idx="2119">
                  <c:v>7398311.1450630762</c:v>
                </c:pt>
                <c:pt idx="2120">
                  <c:v>7400974.0573542817</c:v>
                </c:pt>
                <c:pt idx="2121">
                  <c:v>7403636.9696454862</c:v>
                </c:pt>
                <c:pt idx="2122">
                  <c:v>7406299.8819366908</c:v>
                </c:pt>
                <c:pt idx="2123">
                  <c:v>7408962.7942278963</c:v>
                </c:pt>
                <c:pt idx="2124">
                  <c:v>7411625.7065191008</c:v>
                </c:pt>
                <c:pt idx="2125">
                  <c:v>7414288.6188103054</c:v>
                </c:pt>
                <c:pt idx="2126">
                  <c:v>7416951.5311015109</c:v>
                </c:pt>
                <c:pt idx="2127">
                  <c:v>7419614.4433927154</c:v>
                </c:pt>
                <c:pt idx="2128">
                  <c:v>7422277.35568392</c:v>
                </c:pt>
                <c:pt idx="2129">
                  <c:v>7424940.2679751245</c:v>
                </c:pt>
                <c:pt idx="2130">
                  <c:v>7427603.18026633</c:v>
                </c:pt>
                <c:pt idx="2131">
                  <c:v>7430266.0925575346</c:v>
                </c:pt>
                <c:pt idx="2132">
                  <c:v>7432929.0048487391</c:v>
                </c:pt>
                <c:pt idx="2133">
                  <c:v>7435591.9171399446</c:v>
                </c:pt>
                <c:pt idx="2134">
                  <c:v>7438254.8294311492</c:v>
                </c:pt>
                <c:pt idx="2135">
                  <c:v>7440917.7417223537</c:v>
                </c:pt>
                <c:pt idx="2136">
                  <c:v>7443580.6540135592</c:v>
                </c:pt>
                <c:pt idx="2137">
                  <c:v>7446243.5663047638</c:v>
                </c:pt>
                <c:pt idx="2138">
                  <c:v>7448906.4785959683</c:v>
                </c:pt>
                <c:pt idx="2139">
                  <c:v>7451569.3908871738</c:v>
                </c:pt>
                <c:pt idx="2140">
                  <c:v>7454232.3031783784</c:v>
                </c:pt>
                <c:pt idx="2141">
                  <c:v>7456895.2154695829</c:v>
                </c:pt>
                <c:pt idx="2142">
                  <c:v>7459558.1277607884</c:v>
                </c:pt>
                <c:pt idx="2143">
                  <c:v>7462221.040051993</c:v>
                </c:pt>
                <c:pt idx="2144">
                  <c:v>7464883.9523431975</c:v>
                </c:pt>
                <c:pt idx="2145">
                  <c:v>7467546.864634403</c:v>
                </c:pt>
                <c:pt idx="2146">
                  <c:v>7470209.7769256076</c:v>
                </c:pt>
                <c:pt idx="2147">
                  <c:v>7472872.6892168121</c:v>
                </c:pt>
                <c:pt idx="2148">
                  <c:v>7475535.6015080167</c:v>
                </c:pt>
                <c:pt idx="2149">
                  <c:v>7478198.5137992222</c:v>
                </c:pt>
                <c:pt idx="2150">
                  <c:v>7480861.4260904267</c:v>
                </c:pt>
                <c:pt idx="2151">
                  <c:v>7483524.3383816313</c:v>
                </c:pt>
                <c:pt idx="2152">
                  <c:v>7486187.2506728368</c:v>
                </c:pt>
                <c:pt idx="2153">
                  <c:v>7488850.1629640413</c:v>
                </c:pt>
                <c:pt idx="2154">
                  <c:v>7491513.0752552459</c:v>
                </c:pt>
                <c:pt idx="2155">
                  <c:v>7494175.9875464514</c:v>
                </c:pt>
                <c:pt idx="2156">
                  <c:v>7496838.8998376559</c:v>
                </c:pt>
                <c:pt idx="2157">
                  <c:v>7499501.8121288605</c:v>
                </c:pt>
                <c:pt idx="2158">
                  <c:v>7502164.724420066</c:v>
                </c:pt>
                <c:pt idx="2159">
                  <c:v>7504827.6367112705</c:v>
                </c:pt>
                <c:pt idx="2160">
                  <c:v>7507490.5490024751</c:v>
                </c:pt>
                <c:pt idx="2161">
                  <c:v>7510153.4612936806</c:v>
                </c:pt>
                <c:pt idx="2162">
                  <c:v>7512816.3735848852</c:v>
                </c:pt>
                <c:pt idx="2163">
                  <c:v>7515479.2858760897</c:v>
                </c:pt>
                <c:pt idx="2164">
                  <c:v>7518142.1981672943</c:v>
                </c:pt>
                <c:pt idx="2165">
                  <c:v>7520805.1104584998</c:v>
                </c:pt>
                <c:pt idx="2166">
                  <c:v>7523468.0227497043</c:v>
                </c:pt>
                <c:pt idx="2167">
                  <c:v>7526130.9350409089</c:v>
                </c:pt>
                <c:pt idx="2168">
                  <c:v>7528793.8473321144</c:v>
                </c:pt>
                <c:pt idx="2169">
                  <c:v>7531456.7596233189</c:v>
                </c:pt>
                <c:pt idx="2170">
                  <c:v>7534119.6719145235</c:v>
                </c:pt>
                <c:pt idx="2171">
                  <c:v>7536782.584205729</c:v>
                </c:pt>
                <c:pt idx="2172">
                  <c:v>7539445.4964969335</c:v>
                </c:pt>
                <c:pt idx="2173">
                  <c:v>7542108.4087881381</c:v>
                </c:pt>
                <c:pt idx="2174">
                  <c:v>7544771.3210793436</c:v>
                </c:pt>
                <c:pt idx="2175">
                  <c:v>7547434.2333705481</c:v>
                </c:pt>
                <c:pt idx="2176">
                  <c:v>7550097.1456617527</c:v>
                </c:pt>
                <c:pt idx="2177">
                  <c:v>7552760.0579529582</c:v>
                </c:pt>
                <c:pt idx="2178">
                  <c:v>7555422.9702441627</c:v>
                </c:pt>
                <c:pt idx="2179">
                  <c:v>7558085.8825353673</c:v>
                </c:pt>
                <c:pt idx="2180">
                  <c:v>7560748.7948265728</c:v>
                </c:pt>
                <c:pt idx="2181">
                  <c:v>7563411.7071177773</c:v>
                </c:pt>
                <c:pt idx="2182">
                  <c:v>7566074.6194089819</c:v>
                </c:pt>
                <c:pt idx="2183">
                  <c:v>7568737.5317001864</c:v>
                </c:pt>
                <c:pt idx="2184">
                  <c:v>7571400.4439913919</c:v>
                </c:pt>
                <c:pt idx="2185">
                  <c:v>7574063.3562825965</c:v>
                </c:pt>
                <c:pt idx="2186">
                  <c:v>7576726.268573801</c:v>
                </c:pt>
                <c:pt idx="2187">
                  <c:v>7579389.1808650065</c:v>
                </c:pt>
                <c:pt idx="2188">
                  <c:v>7582052.0931562111</c:v>
                </c:pt>
                <c:pt idx="2189">
                  <c:v>7584715.0054474156</c:v>
                </c:pt>
                <c:pt idx="2190">
                  <c:v>7587377.9177386211</c:v>
                </c:pt>
                <c:pt idx="2191">
                  <c:v>7590040.8300298257</c:v>
                </c:pt>
                <c:pt idx="2192">
                  <c:v>7592703.7423210302</c:v>
                </c:pt>
                <c:pt idx="2193">
                  <c:v>7595366.6546122357</c:v>
                </c:pt>
                <c:pt idx="2194">
                  <c:v>7598029.5669034403</c:v>
                </c:pt>
                <c:pt idx="2195">
                  <c:v>7600692.4791946448</c:v>
                </c:pt>
                <c:pt idx="2196">
                  <c:v>7603355.3914858503</c:v>
                </c:pt>
                <c:pt idx="2197">
                  <c:v>7606018.3037770549</c:v>
                </c:pt>
                <c:pt idx="2198">
                  <c:v>7608681.2160682594</c:v>
                </c:pt>
                <c:pt idx="2199">
                  <c:v>7611344.128359464</c:v>
                </c:pt>
                <c:pt idx="2200">
                  <c:v>7614007.0406506695</c:v>
                </c:pt>
                <c:pt idx="2201">
                  <c:v>7616669.952941874</c:v>
                </c:pt>
                <c:pt idx="2202">
                  <c:v>7619332.8652330786</c:v>
                </c:pt>
                <c:pt idx="2203">
                  <c:v>7621995.7775242841</c:v>
                </c:pt>
                <c:pt idx="2204">
                  <c:v>7624658.6898154886</c:v>
                </c:pt>
                <c:pt idx="2205">
                  <c:v>7627321.6021066932</c:v>
                </c:pt>
                <c:pt idx="2206">
                  <c:v>7629984.5143978987</c:v>
                </c:pt>
                <c:pt idx="2207">
                  <c:v>7632647.4266891032</c:v>
                </c:pt>
                <c:pt idx="2208">
                  <c:v>7635310.3389803078</c:v>
                </c:pt>
                <c:pt idx="2209">
                  <c:v>7637973.2512715133</c:v>
                </c:pt>
                <c:pt idx="2210">
                  <c:v>7640636.1635627178</c:v>
                </c:pt>
                <c:pt idx="2211">
                  <c:v>7643299.0758539224</c:v>
                </c:pt>
                <c:pt idx="2212">
                  <c:v>7645961.9881451279</c:v>
                </c:pt>
                <c:pt idx="2213">
                  <c:v>7648624.9004363324</c:v>
                </c:pt>
                <c:pt idx="2214">
                  <c:v>7651287.812727537</c:v>
                </c:pt>
                <c:pt idx="2215">
                  <c:v>7653950.7250187425</c:v>
                </c:pt>
                <c:pt idx="2216">
                  <c:v>7656613.6373099471</c:v>
                </c:pt>
                <c:pt idx="2217">
                  <c:v>7659276.5496011516</c:v>
                </c:pt>
                <c:pt idx="2218">
                  <c:v>7661939.4618923562</c:v>
                </c:pt>
                <c:pt idx="2219">
                  <c:v>7664602.3741835617</c:v>
                </c:pt>
                <c:pt idx="2220">
                  <c:v>7667265.2864747662</c:v>
                </c:pt>
                <c:pt idx="2221">
                  <c:v>7669928.1987659708</c:v>
                </c:pt>
                <c:pt idx="2222">
                  <c:v>7672591.1110571763</c:v>
                </c:pt>
                <c:pt idx="2223">
                  <c:v>7675254.0233483808</c:v>
                </c:pt>
                <c:pt idx="2224">
                  <c:v>7677916.9356395854</c:v>
                </c:pt>
                <c:pt idx="2225">
                  <c:v>7680579.8479307909</c:v>
                </c:pt>
                <c:pt idx="2226">
                  <c:v>7683242.7602219954</c:v>
                </c:pt>
                <c:pt idx="2227">
                  <c:v>7685905.6725132</c:v>
                </c:pt>
                <c:pt idx="2228">
                  <c:v>7688568.5848044055</c:v>
                </c:pt>
                <c:pt idx="2229">
                  <c:v>7691231.49709561</c:v>
                </c:pt>
                <c:pt idx="2230">
                  <c:v>7693894.4093868146</c:v>
                </c:pt>
                <c:pt idx="2231">
                  <c:v>7696557.3216780201</c:v>
                </c:pt>
                <c:pt idx="2232">
                  <c:v>7699220.2339692246</c:v>
                </c:pt>
                <c:pt idx="2233">
                  <c:v>7701883.1462604292</c:v>
                </c:pt>
                <c:pt idx="2234">
                  <c:v>7704546.0585516337</c:v>
                </c:pt>
                <c:pt idx="2235">
                  <c:v>7707208.9708428392</c:v>
                </c:pt>
                <c:pt idx="2236">
                  <c:v>7709871.8831340438</c:v>
                </c:pt>
                <c:pt idx="2237">
                  <c:v>7712534.7954252483</c:v>
                </c:pt>
                <c:pt idx="2238">
                  <c:v>7715197.7077164538</c:v>
                </c:pt>
                <c:pt idx="2239">
                  <c:v>7717860.6200076584</c:v>
                </c:pt>
                <c:pt idx="2240">
                  <c:v>7720523.5322988629</c:v>
                </c:pt>
                <c:pt idx="2241">
                  <c:v>7723186.4445900684</c:v>
                </c:pt>
                <c:pt idx="2242">
                  <c:v>7725849.356881273</c:v>
                </c:pt>
                <c:pt idx="2243">
                  <c:v>7728512.2691724775</c:v>
                </c:pt>
                <c:pt idx="2244">
                  <c:v>7731175.181463683</c:v>
                </c:pt>
                <c:pt idx="2245">
                  <c:v>7733838.0937548876</c:v>
                </c:pt>
                <c:pt idx="2246">
                  <c:v>7736501.0060460921</c:v>
                </c:pt>
                <c:pt idx="2247">
                  <c:v>7739163.9183372976</c:v>
                </c:pt>
                <c:pt idx="2248">
                  <c:v>7741826.8306285022</c:v>
                </c:pt>
                <c:pt idx="2249">
                  <c:v>7744489.7429197067</c:v>
                </c:pt>
                <c:pt idx="2250">
                  <c:v>7747152.6552109122</c:v>
                </c:pt>
                <c:pt idx="2251">
                  <c:v>7749815.5675021168</c:v>
                </c:pt>
                <c:pt idx="2252">
                  <c:v>7752478.4797933213</c:v>
                </c:pt>
                <c:pt idx="2253">
                  <c:v>7755141.3920845259</c:v>
                </c:pt>
                <c:pt idx="2254">
                  <c:v>7757804.3043757314</c:v>
                </c:pt>
                <c:pt idx="2255">
                  <c:v>7760467.2166669359</c:v>
                </c:pt>
                <c:pt idx="2256">
                  <c:v>7763130.1289581405</c:v>
                </c:pt>
                <c:pt idx="2257">
                  <c:v>7765793.041249346</c:v>
                </c:pt>
                <c:pt idx="2258">
                  <c:v>7768455.9535405505</c:v>
                </c:pt>
                <c:pt idx="2259">
                  <c:v>7771118.8658317551</c:v>
                </c:pt>
                <c:pt idx="2260">
                  <c:v>7773781.7781229606</c:v>
                </c:pt>
                <c:pt idx="2261">
                  <c:v>7776444.6904141651</c:v>
                </c:pt>
                <c:pt idx="2262">
                  <c:v>7779107.6027053697</c:v>
                </c:pt>
                <c:pt idx="2263">
                  <c:v>7781770.5149965752</c:v>
                </c:pt>
                <c:pt idx="2264">
                  <c:v>7784433.4272877797</c:v>
                </c:pt>
                <c:pt idx="2265">
                  <c:v>7787096.3395789843</c:v>
                </c:pt>
                <c:pt idx="2266">
                  <c:v>7789759.2518701898</c:v>
                </c:pt>
                <c:pt idx="2267">
                  <c:v>7792422.1641613944</c:v>
                </c:pt>
                <c:pt idx="2268">
                  <c:v>7795085.0764525989</c:v>
                </c:pt>
                <c:pt idx="2269">
                  <c:v>7797747.9887438035</c:v>
                </c:pt>
                <c:pt idx="2270">
                  <c:v>7800410.901035009</c:v>
                </c:pt>
                <c:pt idx="2271">
                  <c:v>7803073.8133262135</c:v>
                </c:pt>
                <c:pt idx="2272">
                  <c:v>7805736.7256174181</c:v>
                </c:pt>
                <c:pt idx="2273">
                  <c:v>7808399.6379086236</c:v>
                </c:pt>
                <c:pt idx="2274">
                  <c:v>7811062.5501998281</c:v>
                </c:pt>
                <c:pt idx="2275">
                  <c:v>7813725.4624910327</c:v>
                </c:pt>
                <c:pt idx="2276">
                  <c:v>7816388.3747822382</c:v>
                </c:pt>
                <c:pt idx="2277">
                  <c:v>7819051.2870734427</c:v>
                </c:pt>
                <c:pt idx="2278">
                  <c:v>7821714.1993646473</c:v>
                </c:pt>
                <c:pt idx="2279">
                  <c:v>7824377.1116558528</c:v>
                </c:pt>
                <c:pt idx="2280">
                  <c:v>7827040.0239470573</c:v>
                </c:pt>
                <c:pt idx="2281">
                  <c:v>7829702.9362382619</c:v>
                </c:pt>
                <c:pt idx="2282">
                  <c:v>7832365.8485294674</c:v>
                </c:pt>
                <c:pt idx="2283">
                  <c:v>7835028.7608206719</c:v>
                </c:pt>
                <c:pt idx="2284">
                  <c:v>7837691.6731118765</c:v>
                </c:pt>
                <c:pt idx="2285">
                  <c:v>7840354.585403082</c:v>
                </c:pt>
                <c:pt idx="2286">
                  <c:v>7843017.4976942865</c:v>
                </c:pt>
                <c:pt idx="2287">
                  <c:v>7845680.4099854911</c:v>
                </c:pt>
                <c:pt idx="2288">
                  <c:v>7848343.3222766956</c:v>
                </c:pt>
                <c:pt idx="2289">
                  <c:v>7851006.2345679011</c:v>
                </c:pt>
                <c:pt idx="2290">
                  <c:v>7853669.1468591057</c:v>
                </c:pt>
                <c:pt idx="2291">
                  <c:v>7856332.0591503102</c:v>
                </c:pt>
                <c:pt idx="2292">
                  <c:v>7858994.9714415157</c:v>
                </c:pt>
                <c:pt idx="2293">
                  <c:v>7861657.8837327203</c:v>
                </c:pt>
                <c:pt idx="2294">
                  <c:v>7864320.7960239248</c:v>
                </c:pt>
                <c:pt idx="2295">
                  <c:v>7866983.7083151303</c:v>
                </c:pt>
                <c:pt idx="2296">
                  <c:v>7869646.6206063349</c:v>
                </c:pt>
                <c:pt idx="2297">
                  <c:v>7872309.5328975394</c:v>
                </c:pt>
                <c:pt idx="2298">
                  <c:v>7874972.4451887449</c:v>
                </c:pt>
                <c:pt idx="2299">
                  <c:v>7877635.3574799495</c:v>
                </c:pt>
                <c:pt idx="2300">
                  <c:v>7880298.269771154</c:v>
                </c:pt>
                <c:pt idx="2301">
                  <c:v>7882961.1820623595</c:v>
                </c:pt>
                <c:pt idx="2302">
                  <c:v>7885624.0943535641</c:v>
                </c:pt>
                <c:pt idx="2303">
                  <c:v>7888287.0066447686</c:v>
                </c:pt>
                <c:pt idx="2304">
                  <c:v>7890949.9189359732</c:v>
                </c:pt>
                <c:pt idx="2305">
                  <c:v>7893612.8312271787</c:v>
                </c:pt>
                <c:pt idx="2306">
                  <c:v>7896275.7435183832</c:v>
                </c:pt>
                <c:pt idx="2307">
                  <c:v>7898938.6558095878</c:v>
                </c:pt>
                <c:pt idx="2308">
                  <c:v>7901601.5681007933</c:v>
                </c:pt>
                <c:pt idx="2309">
                  <c:v>7904264.4803919978</c:v>
                </c:pt>
                <c:pt idx="2310">
                  <c:v>7906927.3926832024</c:v>
                </c:pt>
                <c:pt idx="2311">
                  <c:v>7909590.3049744079</c:v>
                </c:pt>
                <c:pt idx="2312">
                  <c:v>7912253.2172656124</c:v>
                </c:pt>
                <c:pt idx="2313">
                  <c:v>7914916.129556817</c:v>
                </c:pt>
                <c:pt idx="2314">
                  <c:v>7917579.0418480225</c:v>
                </c:pt>
                <c:pt idx="2315">
                  <c:v>7920241.954139227</c:v>
                </c:pt>
                <c:pt idx="2316">
                  <c:v>7922904.8664304316</c:v>
                </c:pt>
                <c:pt idx="2317">
                  <c:v>7925567.7787216371</c:v>
                </c:pt>
                <c:pt idx="2318">
                  <c:v>7928230.6910128416</c:v>
                </c:pt>
                <c:pt idx="2319">
                  <c:v>7930893.6033040462</c:v>
                </c:pt>
                <c:pt idx="2320">
                  <c:v>7933556.5155952517</c:v>
                </c:pt>
                <c:pt idx="2321">
                  <c:v>7936219.4278864563</c:v>
                </c:pt>
                <c:pt idx="2322">
                  <c:v>7938882.3401776608</c:v>
                </c:pt>
                <c:pt idx="2323">
                  <c:v>7941545.2524688654</c:v>
                </c:pt>
                <c:pt idx="2324">
                  <c:v>7944208.1647600709</c:v>
                </c:pt>
                <c:pt idx="2325">
                  <c:v>7946871.0770512754</c:v>
                </c:pt>
                <c:pt idx="2326">
                  <c:v>7949533.98934248</c:v>
                </c:pt>
                <c:pt idx="2327">
                  <c:v>7952196.9016336855</c:v>
                </c:pt>
                <c:pt idx="2328">
                  <c:v>7954859.81392489</c:v>
                </c:pt>
                <c:pt idx="2329">
                  <c:v>7957522.7262160946</c:v>
                </c:pt>
                <c:pt idx="2330">
                  <c:v>7960185.6385073001</c:v>
                </c:pt>
                <c:pt idx="2331">
                  <c:v>7962848.5507985046</c:v>
                </c:pt>
                <c:pt idx="2332">
                  <c:v>7965511.4630897092</c:v>
                </c:pt>
                <c:pt idx="2333">
                  <c:v>7968174.3753809147</c:v>
                </c:pt>
                <c:pt idx="2334">
                  <c:v>7970837.2876721192</c:v>
                </c:pt>
                <c:pt idx="2335">
                  <c:v>7973500.1999633238</c:v>
                </c:pt>
                <c:pt idx="2336">
                  <c:v>7976163.1122545293</c:v>
                </c:pt>
                <c:pt idx="2337">
                  <c:v>7978826.0245457338</c:v>
                </c:pt>
                <c:pt idx="2338">
                  <c:v>7981488.9368369384</c:v>
                </c:pt>
                <c:pt idx="2339">
                  <c:v>7984151.8491281439</c:v>
                </c:pt>
                <c:pt idx="2340">
                  <c:v>7986814.7614193484</c:v>
                </c:pt>
                <c:pt idx="2341">
                  <c:v>7989477.673710553</c:v>
                </c:pt>
                <c:pt idx="2342">
                  <c:v>7992140.5860017575</c:v>
                </c:pt>
                <c:pt idx="2343">
                  <c:v>7994803.498292963</c:v>
                </c:pt>
                <c:pt idx="2344">
                  <c:v>7997466.4105841676</c:v>
                </c:pt>
                <c:pt idx="2345">
                  <c:v>8000129.3228753721</c:v>
                </c:pt>
                <c:pt idx="2346">
                  <c:v>8002792.2351665776</c:v>
                </c:pt>
                <c:pt idx="2347">
                  <c:v>8005455.1474577822</c:v>
                </c:pt>
                <c:pt idx="2348">
                  <c:v>8008118.0597489867</c:v>
                </c:pt>
                <c:pt idx="2349">
                  <c:v>8010780.9720401922</c:v>
                </c:pt>
                <c:pt idx="2350">
                  <c:v>8013443.8843313968</c:v>
                </c:pt>
                <c:pt idx="2351">
                  <c:v>8016106.7966226013</c:v>
                </c:pt>
                <c:pt idx="2352">
                  <c:v>8018769.7089138068</c:v>
                </c:pt>
                <c:pt idx="2353">
                  <c:v>8021432.6212050114</c:v>
                </c:pt>
                <c:pt idx="2354">
                  <c:v>8024095.5334962159</c:v>
                </c:pt>
                <c:pt idx="2355">
                  <c:v>8026758.4457874214</c:v>
                </c:pt>
                <c:pt idx="2356">
                  <c:v>8029421.358078626</c:v>
                </c:pt>
                <c:pt idx="2357">
                  <c:v>8032084.2703698305</c:v>
                </c:pt>
                <c:pt idx="2358">
                  <c:v>8034747.1826610351</c:v>
                </c:pt>
                <c:pt idx="2359">
                  <c:v>8037410.0949522406</c:v>
                </c:pt>
                <c:pt idx="2360">
                  <c:v>8040073.0072434451</c:v>
                </c:pt>
                <c:pt idx="2361">
                  <c:v>8042735.9195346497</c:v>
                </c:pt>
                <c:pt idx="2362">
                  <c:v>8045398.8318258552</c:v>
                </c:pt>
                <c:pt idx="2363">
                  <c:v>8048061.7441170597</c:v>
                </c:pt>
                <c:pt idx="2364">
                  <c:v>8050724.6564082643</c:v>
                </c:pt>
                <c:pt idx="2365">
                  <c:v>8053387.5686994698</c:v>
                </c:pt>
                <c:pt idx="2366">
                  <c:v>8056050.4809906743</c:v>
                </c:pt>
                <c:pt idx="2367">
                  <c:v>8058713.3932818789</c:v>
                </c:pt>
                <c:pt idx="2368">
                  <c:v>8061376.3055730844</c:v>
                </c:pt>
                <c:pt idx="2369">
                  <c:v>8064039.2178642889</c:v>
                </c:pt>
                <c:pt idx="2370">
                  <c:v>8066702.1301554935</c:v>
                </c:pt>
                <c:pt idx="2371">
                  <c:v>8069365.042446699</c:v>
                </c:pt>
                <c:pt idx="2372">
                  <c:v>8072027.9547379036</c:v>
                </c:pt>
                <c:pt idx="2373">
                  <c:v>8074690.8670291081</c:v>
                </c:pt>
                <c:pt idx="2374">
                  <c:v>8077353.7793203136</c:v>
                </c:pt>
                <c:pt idx="2375">
                  <c:v>8080016.6916115182</c:v>
                </c:pt>
                <c:pt idx="2376">
                  <c:v>8082679.6039027227</c:v>
                </c:pt>
                <c:pt idx="2377">
                  <c:v>8085342.5161939273</c:v>
                </c:pt>
                <c:pt idx="2378">
                  <c:v>8088005.4284851328</c:v>
                </c:pt>
                <c:pt idx="2379">
                  <c:v>8090668.3407763373</c:v>
                </c:pt>
                <c:pt idx="2380">
                  <c:v>8093331.2530675419</c:v>
                </c:pt>
                <c:pt idx="2381">
                  <c:v>8095994.1653587474</c:v>
                </c:pt>
                <c:pt idx="2382">
                  <c:v>8098657.0776499519</c:v>
                </c:pt>
                <c:pt idx="2383">
                  <c:v>8101319.9899411565</c:v>
                </c:pt>
                <c:pt idx="2384">
                  <c:v>8103982.902232362</c:v>
                </c:pt>
                <c:pt idx="2385">
                  <c:v>8106645.8145235665</c:v>
                </c:pt>
                <c:pt idx="2386">
                  <c:v>8109308.7268147711</c:v>
                </c:pt>
                <c:pt idx="2387">
                  <c:v>8111971.6391059766</c:v>
                </c:pt>
                <c:pt idx="2388">
                  <c:v>8114634.5513971811</c:v>
                </c:pt>
                <c:pt idx="2389">
                  <c:v>8117297.4636883857</c:v>
                </c:pt>
                <c:pt idx="2390">
                  <c:v>8119960.3759795912</c:v>
                </c:pt>
                <c:pt idx="2391">
                  <c:v>8122623.2882707957</c:v>
                </c:pt>
                <c:pt idx="2392">
                  <c:v>8125286.2005620003</c:v>
                </c:pt>
                <c:pt idx="2393">
                  <c:v>8127949.1128532048</c:v>
                </c:pt>
                <c:pt idx="2394">
                  <c:v>8130612.0251444103</c:v>
                </c:pt>
                <c:pt idx="2395">
                  <c:v>8133274.9374356149</c:v>
                </c:pt>
                <c:pt idx="2396">
                  <c:v>8135937.8497268194</c:v>
                </c:pt>
                <c:pt idx="2397">
                  <c:v>8138600.7620180249</c:v>
                </c:pt>
                <c:pt idx="2398">
                  <c:v>8141263.6743092295</c:v>
                </c:pt>
                <c:pt idx="2399">
                  <c:v>8143926.586600434</c:v>
                </c:pt>
                <c:pt idx="2400">
                  <c:v>8146589.4988916395</c:v>
                </c:pt>
                <c:pt idx="2401">
                  <c:v>8149252.4111828441</c:v>
                </c:pt>
                <c:pt idx="2402">
                  <c:v>8151915.3234740486</c:v>
                </c:pt>
                <c:pt idx="2403">
                  <c:v>8154578.2357652541</c:v>
                </c:pt>
                <c:pt idx="2404">
                  <c:v>8157241.1480564587</c:v>
                </c:pt>
                <c:pt idx="2405">
                  <c:v>8159904.0603476632</c:v>
                </c:pt>
                <c:pt idx="2406">
                  <c:v>8162566.9726388687</c:v>
                </c:pt>
                <c:pt idx="2407">
                  <c:v>8165229.8849300733</c:v>
                </c:pt>
                <c:pt idx="2408">
                  <c:v>8167892.7972212778</c:v>
                </c:pt>
                <c:pt idx="2409">
                  <c:v>8170555.7095124833</c:v>
                </c:pt>
                <c:pt idx="2410">
                  <c:v>8173218.6218036879</c:v>
                </c:pt>
                <c:pt idx="2411">
                  <c:v>8175881.5340948924</c:v>
                </c:pt>
                <c:pt idx="2412">
                  <c:v>8178544.446386097</c:v>
                </c:pt>
                <c:pt idx="2413">
                  <c:v>8181207.3586773025</c:v>
                </c:pt>
                <c:pt idx="2414">
                  <c:v>8183870.270968507</c:v>
                </c:pt>
                <c:pt idx="2415">
                  <c:v>8186533.1832597116</c:v>
                </c:pt>
                <c:pt idx="2416">
                  <c:v>8189196.0955509171</c:v>
                </c:pt>
                <c:pt idx="2417">
                  <c:v>8191859.0078421216</c:v>
                </c:pt>
                <c:pt idx="2418">
                  <c:v>8194521.9201333262</c:v>
                </c:pt>
                <c:pt idx="2419">
                  <c:v>8197184.8324245317</c:v>
                </c:pt>
                <c:pt idx="2420">
                  <c:v>8199847.7447157362</c:v>
                </c:pt>
                <c:pt idx="2421">
                  <c:v>8202510.6570069408</c:v>
                </c:pt>
                <c:pt idx="2422">
                  <c:v>8205173.5692981463</c:v>
                </c:pt>
                <c:pt idx="2423">
                  <c:v>8207836.4815893508</c:v>
                </c:pt>
                <c:pt idx="2424">
                  <c:v>8210499.3938805554</c:v>
                </c:pt>
                <c:pt idx="2425">
                  <c:v>8213162.3061717609</c:v>
                </c:pt>
                <c:pt idx="2426">
                  <c:v>8215825.2184629655</c:v>
                </c:pt>
                <c:pt idx="2427">
                  <c:v>8218488.13075417</c:v>
                </c:pt>
                <c:pt idx="2428">
                  <c:v>8221151.0430453746</c:v>
                </c:pt>
                <c:pt idx="2429">
                  <c:v>8223813.9553365801</c:v>
                </c:pt>
                <c:pt idx="2430">
                  <c:v>8226476.8676277846</c:v>
                </c:pt>
                <c:pt idx="2431">
                  <c:v>8229139.7799189892</c:v>
                </c:pt>
                <c:pt idx="2432">
                  <c:v>8231802.6922101947</c:v>
                </c:pt>
                <c:pt idx="2433">
                  <c:v>8234465.6045013992</c:v>
                </c:pt>
                <c:pt idx="2434">
                  <c:v>8237128.5167926038</c:v>
                </c:pt>
                <c:pt idx="2435">
                  <c:v>8239791.4290838093</c:v>
                </c:pt>
                <c:pt idx="2436">
                  <c:v>8242454.3413750138</c:v>
                </c:pt>
                <c:pt idx="2437">
                  <c:v>8245117.2536662184</c:v>
                </c:pt>
                <c:pt idx="2438">
                  <c:v>8247780.1659574239</c:v>
                </c:pt>
                <c:pt idx="2439">
                  <c:v>8250443.0782486284</c:v>
                </c:pt>
                <c:pt idx="2440">
                  <c:v>8253105.990539833</c:v>
                </c:pt>
                <c:pt idx="2441">
                  <c:v>8255768.9028310385</c:v>
                </c:pt>
                <c:pt idx="2442">
                  <c:v>8258431.815122243</c:v>
                </c:pt>
                <c:pt idx="2443">
                  <c:v>8261094.7274134476</c:v>
                </c:pt>
                <c:pt idx="2444">
                  <c:v>8263757.6397046531</c:v>
                </c:pt>
                <c:pt idx="2445">
                  <c:v>8266420.5519958576</c:v>
                </c:pt>
                <c:pt idx="2446">
                  <c:v>8269083.4642870622</c:v>
                </c:pt>
                <c:pt idx="2447">
                  <c:v>8271746.3765782667</c:v>
                </c:pt>
                <c:pt idx="2448">
                  <c:v>8274409.2888694722</c:v>
                </c:pt>
                <c:pt idx="2449">
                  <c:v>8277072.2011606768</c:v>
                </c:pt>
                <c:pt idx="2450">
                  <c:v>8279735.1134518813</c:v>
                </c:pt>
                <c:pt idx="2451">
                  <c:v>8282398.0257430868</c:v>
                </c:pt>
                <c:pt idx="2452">
                  <c:v>8285060.9380342914</c:v>
                </c:pt>
                <c:pt idx="2453">
                  <c:v>8287723.8503254959</c:v>
                </c:pt>
                <c:pt idx="2454">
                  <c:v>8290386.7626167014</c:v>
                </c:pt>
                <c:pt idx="2455">
                  <c:v>8293049.674907906</c:v>
                </c:pt>
                <c:pt idx="2456">
                  <c:v>8295712.5871991105</c:v>
                </c:pt>
                <c:pt idx="2457">
                  <c:v>8298375.499490316</c:v>
                </c:pt>
                <c:pt idx="2458">
                  <c:v>8301038.4117815206</c:v>
                </c:pt>
                <c:pt idx="2459">
                  <c:v>8303701.3240727251</c:v>
                </c:pt>
                <c:pt idx="2460">
                  <c:v>8306364.2363639306</c:v>
                </c:pt>
                <c:pt idx="2461">
                  <c:v>8309027.1486551352</c:v>
                </c:pt>
                <c:pt idx="2462">
                  <c:v>8311690.0609463397</c:v>
                </c:pt>
                <c:pt idx="2463">
                  <c:v>8314352.9732375443</c:v>
                </c:pt>
                <c:pt idx="2464">
                  <c:v>8317015.8855287498</c:v>
                </c:pt>
                <c:pt idx="2465">
                  <c:v>8319678.7978199543</c:v>
                </c:pt>
                <c:pt idx="2466">
                  <c:v>8322341.7101111589</c:v>
                </c:pt>
                <c:pt idx="2467">
                  <c:v>8325004.6224023644</c:v>
                </c:pt>
                <c:pt idx="2468">
                  <c:v>8327667.5346935689</c:v>
                </c:pt>
                <c:pt idx="2469">
                  <c:v>8330330.4469847735</c:v>
                </c:pt>
                <c:pt idx="2470">
                  <c:v>8332993.359275979</c:v>
                </c:pt>
                <c:pt idx="2471">
                  <c:v>8335656.2715671835</c:v>
                </c:pt>
                <c:pt idx="2472">
                  <c:v>8338319.1838583881</c:v>
                </c:pt>
                <c:pt idx="2473">
                  <c:v>8340982.0961495936</c:v>
                </c:pt>
                <c:pt idx="2474">
                  <c:v>8343645.0084407981</c:v>
                </c:pt>
                <c:pt idx="2475">
                  <c:v>8346307.9207320027</c:v>
                </c:pt>
                <c:pt idx="2476">
                  <c:v>8348970.8330232082</c:v>
                </c:pt>
                <c:pt idx="2477">
                  <c:v>8351633.7453144128</c:v>
                </c:pt>
                <c:pt idx="2478">
                  <c:v>8354296.6576056173</c:v>
                </c:pt>
                <c:pt idx="2479">
                  <c:v>8356959.5698968228</c:v>
                </c:pt>
                <c:pt idx="2480">
                  <c:v>8359622.4821880274</c:v>
                </c:pt>
                <c:pt idx="2481">
                  <c:v>8362285.3944792319</c:v>
                </c:pt>
                <c:pt idx="2482">
                  <c:v>8364948.3067704365</c:v>
                </c:pt>
                <c:pt idx="2483">
                  <c:v>8367611.219061642</c:v>
                </c:pt>
                <c:pt idx="2484">
                  <c:v>8370274.1313528465</c:v>
                </c:pt>
                <c:pt idx="2485">
                  <c:v>8372937.0436440511</c:v>
                </c:pt>
                <c:pt idx="2486">
                  <c:v>8375599.9559352566</c:v>
                </c:pt>
                <c:pt idx="2487">
                  <c:v>8378262.8682264611</c:v>
                </c:pt>
                <c:pt idx="2488">
                  <c:v>8380925.7805176657</c:v>
                </c:pt>
                <c:pt idx="2489">
                  <c:v>8383588.6928088712</c:v>
                </c:pt>
                <c:pt idx="2490">
                  <c:v>8386251.6051000757</c:v>
                </c:pt>
                <c:pt idx="2491">
                  <c:v>8388914.5173912793</c:v>
                </c:pt>
                <c:pt idx="2492">
                  <c:v>8391577.4296824858</c:v>
                </c:pt>
                <c:pt idx="2493">
                  <c:v>8394240.3419736903</c:v>
                </c:pt>
                <c:pt idx="2494">
                  <c:v>8396903.2542648949</c:v>
                </c:pt>
                <c:pt idx="2495">
                  <c:v>8399566.1665561013</c:v>
                </c:pt>
                <c:pt idx="2496">
                  <c:v>8402229.078847304</c:v>
                </c:pt>
                <c:pt idx="2497">
                  <c:v>8404891.9911385104</c:v>
                </c:pt>
                <c:pt idx="2498">
                  <c:v>8407554.903429715</c:v>
                </c:pt>
                <c:pt idx="2499">
                  <c:v>8410217.8157209195</c:v>
                </c:pt>
                <c:pt idx="2500">
                  <c:v>8412880.7280121241</c:v>
                </c:pt>
                <c:pt idx="2501">
                  <c:v>8415543.6403033286</c:v>
                </c:pt>
                <c:pt idx="2502">
                  <c:v>8418206.5525945351</c:v>
                </c:pt>
                <c:pt idx="2503">
                  <c:v>8420869.4648857377</c:v>
                </c:pt>
                <c:pt idx="2504">
                  <c:v>8423532.3771769442</c:v>
                </c:pt>
                <c:pt idx="2505">
                  <c:v>8426195.2894681487</c:v>
                </c:pt>
                <c:pt idx="2506">
                  <c:v>8428858.2017593533</c:v>
                </c:pt>
                <c:pt idx="2507">
                  <c:v>8431521.1140505578</c:v>
                </c:pt>
                <c:pt idx="2508">
                  <c:v>8434184.0263417624</c:v>
                </c:pt>
                <c:pt idx="2509">
                  <c:v>8436846.9386329688</c:v>
                </c:pt>
                <c:pt idx="2510">
                  <c:v>8439509.8509241715</c:v>
                </c:pt>
                <c:pt idx="2511">
                  <c:v>8442172.7632153779</c:v>
                </c:pt>
                <c:pt idx="2512">
                  <c:v>8444835.6755065825</c:v>
                </c:pt>
                <c:pt idx="2513">
                  <c:v>8447498.587797787</c:v>
                </c:pt>
                <c:pt idx="2514">
                  <c:v>8450161.5000889935</c:v>
                </c:pt>
                <c:pt idx="2515">
                  <c:v>8452824.4123801962</c:v>
                </c:pt>
                <c:pt idx="2516">
                  <c:v>8455487.3246714026</c:v>
                </c:pt>
                <c:pt idx="2517">
                  <c:v>8458150.2369626053</c:v>
                </c:pt>
                <c:pt idx="2518">
                  <c:v>8460813.1492538117</c:v>
                </c:pt>
                <c:pt idx="2519">
                  <c:v>8463476.0615450162</c:v>
                </c:pt>
                <c:pt idx="2520">
                  <c:v>8466138.9738362208</c:v>
                </c:pt>
                <c:pt idx="2521">
                  <c:v>8468801.8861274272</c:v>
                </c:pt>
                <c:pt idx="2522">
                  <c:v>8471464.7984186299</c:v>
                </c:pt>
                <c:pt idx="2523">
                  <c:v>8474127.7107098363</c:v>
                </c:pt>
                <c:pt idx="2524">
                  <c:v>8476790.6230010409</c:v>
                </c:pt>
                <c:pt idx="2525">
                  <c:v>8479453.5352922454</c:v>
                </c:pt>
                <c:pt idx="2526">
                  <c:v>8482116.44758345</c:v>
                </c:pt>
                <c:pt idx="2527">
                  <c:v>8484779.3598746546</c:v>
                </c:pt>
                <c:pt idx="2528">
                  <c:v>8487442.272165861</c:v>
                </c:pt>
                <c:pt idx="2529">
                  <c:v>8490105.1844570637</c:v>
                </c:pt>
                <c:pt idx="2530">
                  <c:v>8492768.0967482701</c:v>
                </c:pt>
                <c:pt idx="2531">
                  <c:v>8495431.0090394747</c:v>
                </c:pt>
                <c:pt idx="2532">
                  <c:v>8498093.9213306792</c:v>
                </c:pt>
                <c:pt idx="2533">
                  <c:v>8500756.8336218856</c:v>
                </c:pt>
                <c:pt idx="2534">
                  <c:v>8503419.7459130883</c:v>
                </c:pt>
                <c:pt idx="2535">
                  <c:v>8506082.6582042947</c:v>
                </c:pt>
                <c:pt idx="2536">
                  <c:v>8508745.5704954974</c:v>
                </c:pt>
                <c:pt idx="2537">
                  <c:v>8511408.4827867039</c:v>
                </c:pt>
                <c:pt idx="2538">
                  <c:v>8514071.3950779084</c:v>
                </c:pt>
                <c:pt idx="2539">
                  <c:v>8516734.307369113</c:v>
                </c:pt>
                <c:pt idx="2540">
                  <c:v>8519397.2196603194</c:v>
                </c:pt>
                <c:pt idx="2541">
                  <c:v>8522060.1319515221</c:v>
                </c:pt>
                <c:pt idx="2542">
                  <c:v>8524723.0442427285</c:v>
                </c:pt>
                <c:pt idx="2543">
                  <c:v>8527385.9565339331</c:v>
                </c:pt>
                <c:pt idx="2544">
                  <c:v>8530048.8688251376</c:v>
                </c:pt>
                <c:pt idx="2545">
                  <c:v>8532711.7811163422</c:v>
                </c:pt>
                <c:pt idx="2546">
                  <c:v>8535374.6934075467</c:v>
                </c:pt>
                <c:pt idx="2547">
                  <c:v>8538037.6056987531</c:v>
                </c:pt>
                <c:pt idx="2548">
                  <c:v>8540700.5179899558</c:v>
                </c:pt>
                <c:pt idx="2549">
                  <c:v>8543363.4302811623</c:v>
                </c:pt>
                <c:pt idx="2550">
                  <c:v>8546026.3425723668</c:v>
                </c:pt>
                <c:pt idx="2551">
                  <c:v>8548689.2548635714</c:v>
                </c:pt>
                <c:pt idx="2552">
                  <c:v>8551352.1671547759</c:v>
                </c:pt>
                <c:pt idx="2553">
                  <c:v>8554015.0794459805</c:v>
                </c:pt>
                <c:pt idx="2554">
                  <c:v>8556677.9917371869</c:v>
                </c:pt>
                <c:pt idx="2555">
                  <c:v>8559340.9040283896</c:v>
                </c:pt>
                <c:pt idx="2556">
                  <c:v>8562003.816319596</c:v>
                </c:pt>
                <c:pt idx="2557">
                  <c:v>8564666.7286108006</c:v>
                </c:pt>
                <c:pt idx="2558">
                  <c:v>8567329.6409020051</c:v>
                </c:pt>
                <c:pt idx="2559">
                  <c:v>8569992.5531932116</c:v>
                </c:pt>
                <c:pt idx="2560">
                  <c:v>8572655.4654844142</c:v>
                </c:pt>
                <c:pt idx="2561">
                  <c:v>8575318.3777756207</c:v>
                </c:pt>
                <c:pt idx="2562">
                  <c:v>8577981.2900668252</c:v>
                </c:pt>
                <c:pt idx="2563">
                  <c:v>8580644.2023580298</c:v>
                </c:pt>
                <c:pt idx="2564">
                  <c:v>8583307.1146492343</c:v>
                </c:pt>
                <c:pt idx="2565">
                  <c:v>8585970.0269404389</c:v>
                </c:pt>
                <c:pt idx="2566">
                  <c:v>8588632.9392316453</c:v>
                </c:pt>
                <c:pt idx="2567">
                  <c:v>8591295.851522848</c:v>
                </c:pt>
                <c:pt idx="2568">
                  <c:v>8593958.7638140544</c:v>
                </c:pt>
                <c:pt idx="2569">
                  <c:v>8596621.676105259</c:v>
                </c:pt>
                <c:pt idx="2570">
                  <c:v>8599284.5883964635</c:v>
                </c:pt>
                <c:pt idx="2571">
                  <c:v>8601947.5006876681</c:v>
                </c:pt>
                <c:pt idx="2572">
                  <c:v>8604610.4129788727</c:v>
                </c:pt>
                <c:pt idx="2573">
                  <c:v>8607273.3252700791</c:v>
                </c:pt>
                <c:pt idx="2574">
                  <c:v>8609936.2375612818</c:v>
                </c:pt>
                <c:pt idx="2575">
                  <c:v>8612599.1498524882</c:v>
                </c:pt>
                <c:pt idx="2576">
                  <c:v>8615262.0621436927</c:v>
                </c:pt>
                <c:pt idx="2577">
                  <c:v>8617924.9744348973</c:v>
                </c:pt>
                <c:pt idx="2578">
                  <c:v>8620587.8867261037</c:v>
                </c:pt>
                <c:pt idx="2579">
                  <c:v>8623250.7990173064</c:v>
                </c:pt>
                <c:pt idx="2580">
                  <c:v>8625913.7113085128</c:v>
                </c:pt>
                <c:pt idx="2581">
                  <c:v>8628576.6235997174</c:v>
                </c:pt>
                <c:pt idx="2582">
                  <c:v>8631239.535890922</c:v>
                </c:pt>
                <c:pt idx="2583">
                  <c:v>8633902.4481821265</c:v>
                </c:pt>
                <c:pt idx="2584">
                  <c:v>8636565.3604733311</c:v>
                </c:pt>
                <c:pt idx="2585">
                  <c:v>8639228.2727645375</c:v>
                </c:pt>
                <c:pt idx="2586">
                  <c:v>8641891.1850557402</c:v>
                </c:pt>
                <c:pt idx="2587">
                  <c:v>8644554.0973469466</c:v>
                </c:pt>
                <c:pt idx="2588">
                  <c:v>8647217.0096381512</c:v>
                </c:pt>
                <c:pt idx="2589">
                  <c:v>8649879.9219293557</c:v>
                </c:pt>
                <c:pt idx="2590">
                  <c:v>8652542.8342205603</c:v>
                </c:pt>
                <c:pt idx="2591">
                  <c:v>8655205.7465117648</c:v>
                </c:pt>
                <c:pt idx="2592">
                  <c:v>8657868.6588029712</c:v>
                </c:pt>
                <c:pt idx="2593">
                  <c:v>8660531.5710941739</c:v>
                </c:pt>
                <c:pt idx="2594">
                  <c:v>8663194.4833853804</c:v>
                </c:pt>
                <c:pt idx="2595">
                  <c:v>8665857.3956765849</c:v>
                </c:pt>
                <c:pt idx="2596">
                  <c:v>8668520.3079677895</c:v>
                </c:pt>
                <c:pt idx="2597">
                  <c:v>8671183.2202589959</c:v>
                </c:pt>
                <c:pt idx="2598">
                  <c:v>8673846.1325501986</c:v>
                </c:pt>
                <c:pt idx="2599">
                  <c:v>8676509.044841405</c:v>
                </c:pt>
                <c:pt idx="2600">
                  <c:v>8679171.9571326096</c:v>
                </c:pt>
                <c:pt idx="2601">
                  <c:v>8681834.8694238141</c:v>
                </c:pt>
                <c:pt idx="2602">
                  <c:v>8684497.7817150187</c:v>
                </c:pt>
                <c:pt idx="2603">
                  <c:v>8687160.6940062232</c:v>
                </c:pt>
                <c:pt idx="2604">
                  <c:v>8689823.6062974297</c:v>
                </c:pt>
                <c:pt idx="2605">
                  <c:v>8692486.5185886323</c:v>
                </c:pt>
                <c:pt idx="2606">
                  <c:v>8695149.4308798388</c:v>
                </c:pt>
                <c:pt idx="2607">
                  <c:v>8697812.3431710433</c:v>
                </c:pt>
                <c:pt idx="2608">
                  <c:v>8700475.2554622479</c:v>
                </c:pt>
                <c:pt idx="2609">
                  <c:v>8703138.1677534524</c:v>
                </c:pt>
                <c:pt idx="2610">
                  <c:v>8705801.080044657</c:v>
                </c:pt>
                <c:pt idx="2611">
                  <c:v>8708463.9923358634</c:v>
                </c:pt>
                <c:pt idx="2612">
                  <c:v>8711126.9046270661</c:v>
                </c:pt>
                <c:pt idx="2613">
                  <c:v>8713789.8169182725</c:v>
                </c:pt>
                <c:pt idx="2614">
                  <c:v>8716452.7292094771</c:v>
                </c:pt>
                <c:pt idx="2615">
                  <c:v>8719115.6415006816</c:v>
                </c:pt>
                <c:pt idx="2616">
                  <c:v>8721778.5537918881</c:v>
                </c:pt>
                <c:pt idx="2617">
                  <c:v>8724441.4660830908</c:v>
                </c:pt>
                <c:pt idx="2618">
                  <c:v>8727104.3783742972</c:v>
                </c:pt>
                <c:pt idx="2619">
                  <c:v>8729767.2906655017</c:v>
                </c:pt>
                <c:pt idx="2620">
                  <c:v>8732430.2029567063</c:v>
                </c:pt>
                <c:pt idx="2621">
                  <c:v>8735093.1152479108</c:v>
                </c:pt>
                <c:pt idx="2622">
                  <c:v>8737756.0275391154</c:v>
                </c:pt>
                <c:pt idx="2623">
                  <c:v>8740418.9398303218</c:v>
                </c:pt>
                <c:pt idx="2624">
                  <c:v>8743081.8521215245</c:v>
                </c:pt>
                <c:pt idx="2625">
                  <c:v>8745744.7644127309</c:v>
                </c:pt>
                <c:pt idx="2626">
                  <c:v>8748407.6767039355</c:v>
                </c:pt>
                <c:pt idx="2627">
                  <c:v>8751070.58899514</c:v>
                </c:pt>
                <c:pt idx="2628">
                  <c:v>8753733.5012863446</c:v>
                </c:pt>
                <c:pt idx="2629">
                  <c:v>8756396.4135775492</c:v>
                </c:pt>
                <c:pt idx="2630">
                  <c:v>8759059.3258687556</c:v>
                </c:pt>
                <c:pt idx="2631">
                  <c:v>8761722.2381599583</c:v>
                </c:pt>
                <c:pt idx="2632">
                  <c:v>8764385.1504511647</c:v>
                </c:pt>
                <c:pt idx="2633">
                  <c:v>8767048.0627423692</c:v>
                </c:pt>
                <c:pt idx="2634">
                  <c:v>8769710.9750335738</c:v>
                </c:pt>
                <c:pt idx="2635">
                  <c:v>8772373.8873247802</c:v>
                </c:pt>
                <c:pt idx="2636">
                  <c:v>8775036.7996159829</c:v>
                </c:pt>
                <c:pt idx="2637">
                  <c:v>8777699.7119071893</c:v>
                </c:pt>
                <c:pt idx="2638">
                  <c:v>8780362.6241983939</c:v>
                </c:pt>
                <c:pt idx="2639">
                  <c:v>8783025.5364895985</c:v>
                </c:pt>
                <c:pt idx="2640">
                  <c:v>8785688.448780803</c:v>
                </c:pt>
                <c:pt idx="2641">
                  <c:v>8788351.3610720076</c:v>
                </c:pt>
                <c:pt idx="2642">
                  <c:v>8791014.273363214</c:v>
                </c:pt>
                <c:pt idx="2643">
                  <c:v>8793677.1856544167</c:v>
                </c:pt>
                <c:pt idx="2644">
                  <c:v>8796340.0979456231</c:v>
                </c:pt>
                <c:pt idx="2645">
                  <c:v>8799003.0102368277</c:v>
                </c:pt>
                <c:pt idx="2646">
                  <c:v>8801665.9225280322</c:v>
                </c:pt>
                <c:pt idx="2647">
                  <c:v>8804328.8348192368</c:v>
                </c:pt>
                <c:pt idx="2648">
                  <c:v>8806991.7471104413</c:v>
                </c:pt>
                <c:pt idx="2649">
                  <c:v>8809654.6594016477</c:v>
                </c:pt>
                <c:pt idx="2650">
                  <c:v>8812317.5716928504</c:v>
                </c:pt>
                <c:pt idx="2651">
                  <c:v>8814980.4839840569</c:v>
                </c:pt>
                <c:pt idx="2652">
                  <c:v>8817643.3962752614</c:v>
                </c:pt>
                <c:pt idx="2653">
                  <c:v>8820306.308566466</c:v>
                </c:pt>
                <c:pt idx="2654">
                  <c:v>8822969.2208576724</c:v>
                </c:pt>
                <c:pt idx="2655">
                  <c:v>8825632.1331488751</c:v>
                </c:pt>
                <c:pt idx="2656">
                  <c:v>8828295.0454400815</c:v>
                </c:pt>
                <c:pt idx="2657">
                  <c:v>8830957.9577312861</c:v>
                </c:pt>
                <c:pt idx="2658">
                  <c:v>8833620.8700224906</c:v>
                </c:pt>
                <c:pt idx="2659">
                  <c:v>8836283.7823136952</c:v>
                </c:pt>
                <c:pt idx="2660">
                  <c:v>8838946.6946048997</c:v>
                </c:pt>
                <c:pt idx="2661">
                  <c:v>8841609.6068961062</c:v>
                </c:pt>
                <c:pt idx="2662">
                  <c:v>8844272.5191873088</c:v>
                </c:pt>
                <c:pt idx="2663">
                  <c:v>8846935.4314785153</c:v>
                </c:pt>
                <c:pt idx="2664">
                  <c:v>8849598.3437697198</c:v>
                </c:pt>
                <c:pt idx="2665">
                  <c:v>8852261.2560609244</c:v>
                </c:pt>
                <c:pt idx="2666">
                  <c:v>8854924.1683521289</c:v>
                </c:pt>
                <c:pt idx="2667">
                  <c:v>8857587.0806433335</c:v>
                </c:pt>
                <c:pt idx="2668">
                  <c:v>8860249.9929345399</c:v>
                </c:pt>
                <c:pt idx="2669">
                  <c:v>8862912.9052257426</c:v>
                </c:pt>
                <c:pt idx="2670">
                  <c:v>8865575.817516949</c:v>
                </c:pt>
                <c:pt idx="2671">
                  <c:v>8868238.7298081536</c:v>
                </c:pt>
                <c:pt idx="2672">
                  <c:v>8870901.6420993581</c:v>
                </c:pt>
                <c:pt idx="2673">
                  <c:v>8873564.5543905646</c:v>
                </c:pt>
                <c:pt idx="2674">
                  <c:v>8876227.4666817673</c:v>
                </c:pt>
                <c:pt idx="2675">
                  <c:v>8878890.3789729737</c:v>
                </c:pt>
                <c:pt idx="2676">
                  <c:v>8881553.2912641764</c:v>
                </c:pt>
                <c:pt idx="2677">
                  <c:v>8884216.2035553828</c:v>
                </c:pt>
                <c:pt idx="2678">
                  <c:v>8886879.1158465873</c:v>
                </c:pt>
                <c:pt idx="2679">
                  <c:v>8889542.0281377919</c:v>
                </c:pt>
                <c:pt idx="2680">
                  <c:v>8892204.9404289983</c:v>
                </c:pt>
                <c:pt idx="2681">
                  <c:v>8894867.852720201</c:v>
                </c:pt>
                <c:pt idx="2682">
                  <c:v>8897530.7650114074</c:v>
                </c:pt>
                <c:pt idx="2683">
                  <c:v>8900193.677302612</c:v>
                </c:pt>
                <c:pt idx="2684">
                  <c:v>8902856.5895938165</c:v>
                </c:pt>
                <c:pt idx="2685">
                  <c:v>8905519.5018850211</c:v>
                </c:pt>
                <c:pt idx="2686">
                  <c:v>8908182.4141762257</c:v>
                </c:pt>
                <c:pt idx="2687">
                  <c:v>8910845.3264674321</c:v>
                </c:pt>
                <c:pt idx="2688">
                  <c:v>8913508.2387586348</c:v>
                </c:pt>
                <c:pt idx="2689">
                  <c:v>8916171.1510498412</c:v>
                </c:pt>
                <c:pt idx="2690">
                  <c:v>8918834.0633410458</c:v>
                </c:pt>
                <c:pt idx="2691">
                  <c:v>8921496.9756322503</c:v>
                </c:pt>
                <c:pt idx="2692">
                  <c:v>8924159.8879234567</c:v>
                </c:pt>
                <c:pt idx="2693">
                  <c:v>8926822.8002146594</c:v>
                </c:pt>
                <c:pt idx="2694">
                  <c:v>8929485.7125058658</c:v>
                </c:pt>
                <c:pt idx="2695">
                  <c:v>8932148.6247970685</c:v>
                </c:pt>
                <c:pt idx="2696">
                  <c:v>8934811.537088275</c:v>
                </c:pt>
                <c:pt idx="2697">
                  <c:v>8937474.4493794795</c:v>
                </c:pt>
                <c:pt idx="2698">
                  <c:v>8940137.3616706841</c:v>
                </c:pt>
                <c:pt idx="2699">
                  <c:v>8942800.2739618905</c:v>
                </c:pt>
                <c:pt idx="2700">
                  <c:v>8945463.1862530932</c:v>
                </c:pt>
                <c:pt idx="2701">
                  <c:v>8948126.0985442996</c:v>
                </c:pt>
                <c:pt idx="2702">
                  <c:v>8950789.0108355042</c:v>
                </c:pt>
                <c:pt idx="2703">
                  <c:v>8953451.9231267087</c:v>
                </c:pt>
                <c:pt idx="2704">
                  <c:v>8956114.8354179133</c:v>
                </c:pt>
                <c:pt idx="2705">
                  <c:v>8958777.7477091178</c:v>
                </c:pt>
                <c:pt idx="2706">
                  <c:v>8961440.6600003242</c:v>
                </c:pt>
                <c:pt idx="2707">
                  <c:v>8964103.5722915269</c:v>
                </c:pt>
                <c:pt idx="2708">
                  <c:v>8966766.4845827334</c:v>
                </c:pt>
                <c:pt idx="2709">
                  <c:v>8969429.3968739379</c:v>
                </c:pt>
                <c:pt idx="2710">
                  <c:v>8972092.3091651425</c:v>
                </c:pt>
                <c:pt idx="2711">
                  <c:v>8974755.221456347</c:v>
                </c:pt>
                <c:pt idx="2712">
                  <c:v>8977418.1337475516</c:v>
                </c:pt>
                <c:pt idx="2713">
                  <c:v>8980081.046038758</c:v>
                </c:pt>
                <c:pt idx="2714">
                  <c:v>8982743.9583299607</c:v>
                </c:pt>
                <c:pt idx="2715">
                  <c:v>8985406.8706211671</c:v>
                </c:pt>
                <c:pt idx="2716">
                  <c:v>8988069.7829123717</c:v>
                </c:pt>
                <c:pt idx="2717">
                  <c:v>8990732.6952035762</c:v>
                </c:pt>
                <c:pt idx="2718">
                  <c:v>8993395.6074947827</c:v>
                </c:pt>
                <c:pt idx="2719">
                  <c:v>8996058.5197859854</c:v>
                </c:pt>
                <c:pt idx="2720">
                  <c:v>8998721.4320771918</c:v>
                </c:pt>
                <c:pt idx="2721">
                  <c:v>9001384.3443683963</c:v>
                </c:pt>
                <c:pt idx="2722">
                  <c:v>9004047.2566596009</c:v>
                </c:pt>
                <c:pt idx="2723">
                  <c:v>9006710.1689508054</c:v>
                </c:pt>
                <c:pt idx="2724">
                  <c:v>9009373.08124201</c:v>
                </c:pt>
                <c:pt idx="2725">
                  <c:v>9012035.9935332164</c:v>
                </c:pt>
                <c:pt idx="2726">
                  <c:v>9014698.9058244191</c:v>
                </c:pt>
                <c:pt idx="2727">
                  <c:v>9017361.8181156255</c:v>
                </c:pt>
                <c:pt idx="2728">
                  <c:v>9020024.7304068301</c:v>
                </c:pt>
                <c:pt idx="2729">
                  <c:v>9022687.6426980346</c:v>
                </c:pt>
                <c:pt idx="2730">
                  <c:v>9025350.5549892392</c:v>
                </c:pt>
                <c:pt idx="2731">
                  <c:v>9028013.4672804438</c:v>
                </c:pt>
                <c:pt idx="2732">
                  <c:v>9030676.3795716502</c:v>
                </c:pt>
                <c:pt idx="2733">
                  <c:v>9033339.2918628529</c:v>
                </c:pt>
                <c:pt idx="2734">
                  <c:v>9036002.2041540593</c:v>
                </c:pt>
                <c:pt idx="2735">
                  <c:v>9038665.1164452638</c:v>
                </c:pt>
                <c:pt idx="2736">
                  <c:v>9041328.0287364684</c:v>
                </c:pt>
                <c:pt idx="2737">
                  <c:v>9043990.9410276748</c:v>
                </c:pt>
                <c:pt idx="2738">
                  <c:v>9046653.8533188775</c:v>
                </c:pt>
                <c:pt idx="2739">
                  <c:v>9049316.7656100839</c:v>
                </c:pt>
                <c:pt idx="2740">
                  <c:v>9051979.6779012885</c:v>
                </c:pt>
                <c:pt idx="2741">
                  <c:v>9054642.5901924931</c:v>
                </c:pt>
                <c:pt idx="2742">
                  <c:v>9057305.5024836976</c:v>
                </c:pt>
                <c:pt idx="2743">
                  <c:v>9059968.4147749022</c:v>
                </c:pt>
                <c:pt idx="2744">
                  <c:v>9062631.3270661086</c:v>
                </c:pt>
                <c:pt idx="2745">
                  <c:v>9065294.2393573113</c:v>
                </c:pt>
                <c:pt idx="2746">
                  <c:v>9067957.1516485177</c:v>
                </c:pt>
                <c:pt idx="2747">
                  <c:v>9070620.0639397223</c:v>
                </c:pt>
                <c:pt idx="2748">
                  <c:v>9073282.9762309268</c:v>
                </c:pt>
                <c:pt idx="2749">
                  <c:v>9075945.8885221314</c:v>
                </c:pt>
                <c:pt idx="2750">
                  <c:v>9078608.8008133359</c:v>
                </c:pt>
                <c:pt idx="2751">
                  <c:v>9081271.7131045423</c:v>
                </c:pt>
                <c:pt idx="2752">
                  <c:v>9083934.625395745</c:v>
                </c:pt>
                <c:pt idx="2753">
                  <c:v>9086597.5376869515</c:v>
                </c:pt>
                <c:pt idx="2754">
                  <c:v>9089260.449978156</c:v>
                </c:pt>
                <c:pt idx="2755">
                  <c:v>9091923.3622693606</c:v>
                </c:pt>
                <c:pt idx="2756">
                  <c:v>9094586.274560567</c:v>
                </c:pt>
                <c:pt idx="2757">
                  <c:v>9097249.1868517697</c:v>
                </c:pt>
                <c:pt idx="2758">
                  <c:v>9099912.0991429761</c:v>
                </c:pt>
                <c:pt idx="2759">
                  <c:v>9102575.0114341807</c:v>
                </c:pt>
                <c:pt idx="2760">
                  <c:v>9105237.9237253852</c:v>
                </c:pt>
                <c:pt idx="2761">
                  <c:v>9107900.8360165898</c:v>
                </c:pt>
                <c:pt idx="2762">
                  <c:v>9110563.7483077943</c:v>
                </c:pt>
                <c:pt idx="2763">
                  <c:v>9113226.6605990008</c:v>
                </c:pt>
                <c:pt idx="2764">
                  <c:v>9115889.5728902034</c:v>
                </c:pt>
                <c:pt idx="2765">
                  <c:v>9118552.4851814099</c:v>
                </c:pt>
                <c:pt idx="2766">
                  <c:v>9121215.3974726144</c:v>
                </c:pt>
                <c:pt idx="2767">
                  <c:v>9123878.309763819</c:v>
                </c:pt>
                <c:pt idx="2768">
                  <c:v>9126541.2220550235</c:v>
                </c:pt>
                <c:pt idx="2769">
                  <c:v>9129204.1343462281</c:v>
                </c:pt>
                <c:pt idx="2770">
                  <c:v>9131867.0466374345</c:v>
                </c:pt>
                <c:pt idx="2771">
                  <c:v>9134529.9589286372</c:v>
                </c:pt>
                <c:pt idx="2772">
                  <c:v>9137192.8712198436</c:v>
                </c:pt>
                <c:pt idx="2773">
                  <c:v>9139855.7835110482</c:v>
                </c:pt>
                <c:pt idx="2774">
                  <c:v>9142518.6958022527</c:v>
                </c:pt>
                <c:pt idx="2775">
                  <c:v>9145181.6080934592</c:v>
                </c:pt>
                <c:pt idx="2776">
                  <c:v>9147844.5203846619</c:v>
                </c:pt>
                <c:pt idx="2777">
                  <c:v>9150507.4326758683</c:v>
                </c:pt>
                <c:pt idx="2778">
                  <c:v>9153170.3449670728</c:v>
                </c:pt>
                <c:pt idx="2779">
                  <c:v>9155833.2572582774</c:v>
                </c:pt>
                <c:pt idx="2780">
                  <c:v>9158496.1695494819</c:v>
                </c:pt>
                <c:pt idx="2781">
                  <c:v>9161159.0818406865</c:v>
                </c:pt>
                <c:pt idx="2782">
                  <c:v>9163821.9941318929</c:v>
                </c:pt>
                <c:pt idx="2783">
                  <c:v>9166484.9064230956</c:v>
                </c:pt>
                <c:pt idx="2784">
                  <c:v>9169147.818714302</c:v>
                </c:pt>
                <c:pt idx="2785">
                  <c:v>9171810.7310055066</c:v>
                </c:pt>
                <c:pt idx="2786">
                  <c:v>9174473.6432967111</c:v>
                </c:pt>
                <c:pt idx="2787">
                  <c:v>9177136.5555879157</c:v>
                </c:pt>
                <c:pt idx="2788">
                  <c:v>9179799.4678791203</c:v>
                </c:pt>
                <c:pt idx="2789">
                  <c:v>9182462.3801703267</c:v>
                </c:pt>
                <c:pt idx="2790">
                  <c:v>9185125.2924615294</c:v>
                </c:pt>
                <c:pt idx="2791">
                  <c:v>9187788.2047527358</c:v>
                </c:pt>
                <c:pt idx="2792">
                  <c:v>9190451.1170439404</c:v>
                </c:pt>
                <c:pt idx="2793">
                  <c:v>9193114.0293351449</c:v>
                </c:pt>
                <c:pt idx="2794">
                  <c:v>9195776.9416263513</c:v>
                </c:pt>
                <c:pt idx="2795">
                  <c:v>9198439.853917554</c:v>
                </c:pt>
                <c:pt idx="2796">
                  <c:v>9201102.7662087604</c:v>
                </c:pt>
                <c:pt idx="2797">
                  <c:v>9203765.678499965</c:v>
                </c:pt>
                <c:pt idx="2798">
                  <c:v>9206428.5907911696</c:v>
                </c:pt>
                <c:pt idx="2799">
                  <c:v>9209091.5030823741</c:v>
                </c:pt>
                <c:pt idx="2800">
                  <c:v>9211754.4153735787</c:v>
                </c:pt>
                <c:pt idx="2801">
                  <c:v>9214417.3276647851</c:v>
                </c:pt>
                <c:pt idx="2802">
                  <c:v>9217080.2399559878</c:v>
                </c:pt>
                <c:pt idx="2803">
                  <c:v>9219743.1522471942</c:v>
                </c:pt>
                <c:pt idx="2804">
                  <c:v>9222406.0645383988</c:v>
                </c:pt>
                <c:pt idx="2805">
                  <c:v>9225068.9768296033</c:v>
                </c:pt>
                <c:pt idx="2806">
                  <c:v>9227731.8891208079</c:v>
                </c:pt>
                <c:pt idx="2807">
                  <c:v>9230394.8014120124</c:v>
                </c:pt>
                <c:pt idx="2808">
                  <c:v>9233057.7137032188</c:v>
                </c:pt>
                <c:pt idx="2809">
                  <c:v>9235720.6259944215</c:v>
                </c:pt>
                <c:pt idx="2810">
                  <c:v>9238383.538285628</c:v>
                </c:pt>
                <c:pt idx="2811">
                  <c:v>9241046.4505768325</c:v>
                </c:pt>
                <c:pt idx="2812">
                  <c:v>9243709.3628680371</c:v>
                </c:pt>
                <c:pt idx="2813">
                  <c:v>9246372.2751592435</c:v>
                </c:pt>
                <c:pt idx="2814">
                  <c:v>9249035.1874504462</c:v>
                </c:pt>
                <c:pt idx="2815">
                  <c:v>9251698.0997416526</c:v>
                </c:pt>
                <c:pt idx="2816">
                  <c:v>9254361.0120328572</c:v>
                </c:pt>
                <c:pt idx="2817">
                  <c:v>9257023.9243240617</c:v>
                </c:pt>
                <c:pt idx="2818">
                  <c:v>9259686.8366152663</c:v>
                </c:pt>
                <c:pt idx="2819">
                  <c:v>9262349.7489064708</c:v>
                </c:pt>
                <c:pt idx="2820">
                  <c:v>9265012.6611976773</c:v>
                </c:pt>
                <c:pt idx="2821">
                  <c:v>9267675.5734888799</c:v>
                </c:pt>
                <c:pt idx="2822">
                  <c:v>9270338.4857800864</c:v>
                </c:pt>
                <c:pt idx="2823">
                  <c:v>9273001.3980712909</c:v>
                </c:pt>
                <c:pt idx="2824">
                  <c:v>9275664.3103624955</c:v>
                </c:pt>
                <c:pt idx="2825">
                  <c:v>9278327.2226537</c:v>
                </c:pt>
                <c:pt idx="2826">
                  <c:v>9280990.1349449046</c:v>
                </c:pt>
                <c:pt idx="2827">
                  <c:v>9283653.047236111</c:v>
                </c:pt>
                <c:pt idx="2828">
                  <c:v>9286315.9595273137</c:v>
                </c:pt>
                <c:pt idx="2829">
                  <c:v>9288978.8718185201</c:v>
                </c:pt>
                <c:pt idx="2830">
                  <c:v>9291641.7841097247</c:v>
                </c:pt>
                <c:pt idx="2831">
                  <c:v>9294304.6964009292</c:v>
                </c:pt>
                <c:pt idx="2832">
                  <c:v>9296967.6086921357</c:v>
                </c:pt>
                <c:pt idx="2833">
                  <c:v>9299630.5209833384</c:v>
                </c:pt>
                <c:pt idx="2834">
                  <c:v>9302293.4332745448</c:v>
                </c:pt>
                <c:pt idx="2835">
                  <c:v>9304956.3455657475</c:v>
                </c:pt>
                <c:pt idx="2836">
                  <c:v>9307619.2578569539</c:v>
                </c:pt>
                <c:pt idx="2837">
                  <c:v>9310282.1701481584</c:v>
                </c:pt>
                <c:pt idx="2838">
                  <c:v>9312945.082439363</c:v>
                </c:pt>
                <c:pt idx="2839">
                  <c:v>9315607.9947305694</c:v>
                </c:pt>
                <c:pt idx="2840">
                  <c:v>9318270.9070217721</c:v>
                </c:pt>
                <c:pt idx="2841">
                  <c:v>9320933.8193129785</c:v>
                </c:pt>
                <c:pt idx="2842">
                  <c:v>9323596.7316041831</c:v>
                </c:pt>
                <c:pt idx="2843">
                  <c:v>9326259.6438953876</c:v>
                </c:pt>
                <c:pt idx="2844">
                  <c:v>9328922.5561865922</c:v>
                </c:pt>
                <c:pt idx="2845">
                  <c:v>9331585.4684777968</c:v>
                </c:pt>
                <c:pt idx="2846">
                  <c:v>9334248.3807690032</c:v>
                </c:pt>
                <c:pt idx="2847">
                  <c:v>9336911.2930602059</c:v>
                </c:pt>
                <c:pt idx="2848">
                  <c:v>9339574.2053514123</c:v>
                </c:pt>
                <c:pt idx="2849">
                  <c:v>9342237.1176426169</c:v>
                </c:pt>
                <c:pt idx="2850">
                  <c:v>9344900.0299338214</c:v>
                </c:pt>
                <c:pt idx="2851">
                  <c:v>9347562.9422250278</c:v>
                </c:pt>
                <c:pt idx="2852">
                  <c:v>9350225.8545162305</c:v>
                </c:pt>
                <c:pt idx="2853">
                  <c:v>9352888.7668074369</c:v>
                </c:pt>
                <c:pt idx="2854">
                  <c:v>9355551.6790986396</c:v>
                </c:pt>
                <c:pt idx="2855">
                  <c:v>9358214.5913898461</c:v>
                </c:pt>
                <c:pt idx="2856">
                  <c:v>9360877.5036810506</c:v>
                </c:pt>
                <c:pt idx="2857">
                  <c:v>9363540.4159722552</c:v>
                </c:pt>
                <c:pt idx="2858">
                  <c:v>9366203.3282634616</c:v>
                </c:pt>
                <c:pt idx="2859">
                  <c:v>9368866.2405546643</c:v>
                </c:pt>
                <c:pt idx="2860">
                  <c:v>9371529.1528458707</c:v>
                </c:pt>
                <c:pt idx="2861">
                  <c:v>9374192.0651370753</c:v>
                </c:pt>
                <c:pt idx="2862">
                  <c:v>9376854.9774282798</c:v>
                </c:pt>
                <c:pt idx="2863">
                  <c:v>9379517.8897194844</c:v>
                </c:pt>
                <c:pt idx="2864">
                  <c:v>9382180.8020106889</c:v>
                </c:pt>
                <c:pt idx="2865">
                  <c:v>9384843.7143018954</c:v>
                </c:pt>
                <c:pt idx="2866">
                  <c:v>9387506.626593098</c:v>
                </c:pt>
                <c:pt idx="2867">
                  <c:v>9390169.5388843045</c:v>
                </c:pt>
                <c:pt idx="2868">
                  <c:v>9392832.451175509</c:v>
                </c:pt>
                <c:pt idx="2869">
                  <c:v>9395495.3634667136</c:v>
                </c:pt>
                <c:pt idx="2870">
                  <c:v>9398158.2757579181</c:v>
                </c:pt>
                <c:pt idx="2871">
                  <c:v>9400821.1880491227</c:v>
                </c:pt>
                <c:pt idx="2872">
                  <c:v>9403484.1003403291</c:v>
                </c:pt>
                <c:pt idx="2873">
                  <c:v>9406147.0126315318</c:v>
                </c:pt>
                <c:pt idx="2874">
                  <c:v>9408809.9249227382</c:v>
                </c:pt>
                <c:pt idx="2875">
                  <c:v>9411472.8372139428</c:v>
                </c:pt>
                <c:pt idx="2876">
                  <c:v>9414135.7495051473</c:v>
                </c:pt>
                <c:pt idx="2877">
                  <c:v>9416798.6617963538</c:v>
                </c:pt>
                <c:pt idx="2878">
                  <c:v>9419461.5740875565</c:v>
                </c:pt>
                <c:pt idx="2879">
                  <c:v>9422124.4863787629</c:v>
                </c:pt>
                <c:pt idx="2880">
                  <c:v>9424787.3986699674</c:v>
                </c:pt>
                <c:pt idx="2881">
                  <c:v>9427450.310961172</c:v>
                </c:pt>
                <c:pt idx="2882">
                  <c:v>9430113.2232523765</c:v>
                </c:pt>
                <c:pt idx="2883">
                  <c:v>9432776.1355435811</c:v>
                </c:pt>
                <c:pt idx="2884">
                  <c:v>9435439.0478347875</c:v>
                </c:pt>
                <c:pt idx="2885">
                  <c:v>9438101.9601259902</c:v>
                </c:pt>
                <c:pt idx="2886">
                  <c:v>9440764.8724171966</c:v>
                </c:pt>
                <c:pt idx="2887">
                  <c:v>9443427.7847084012</c:v>
                </c:pt>
                <c:pt idx="2888">
                  <c:v>9446090.6969996057</c:v>
                </c:pt>
                <c:pt idx="2889">
                  <c:v>9448753.6092908103</c:v>
                </c:pt>
                <c:pt idx="2890">
                  <c:v>9451416.5215820149</c:v>
                </c:pt>
                <c:pt idx="2891">
                  <c:v>9454079.4338732213</c:v>
                </c:pt>
                <c:pt idx="2892">
                  <c:v>9456742.346164424</c:v>
                </c:pt>
                <c:pt idx="2893">
                  <c:v>9459405.2584556304</c:v>
                </c:pt>
                <c:pt idx="2894">
                  <c:v>9462068.1707468349</c:v>
                </c:pt>
                <c:pt idx="2895">
                  <c:v>9464731.0830380395</c:v>
                </c:pt>
                <c:pt idx="2896">
                  <c:v>9467393.9953292459</c:v>
                </c:pt>
                <c:pt idx="2897">
                  <c:v>9470056.9076204486</c:v>
                </c:pt>
                <c:pt idx="2898">
                  <c:v>9472719.819911655</c:v>
                </c:pt>
                <c:pt idx="2899">
                  <c:v>9475382.7322028596</c:v>
                </c:pt>
                <c:pt idx="2900">
                  <c:v>9478045.6444940642</c:v>
                </c:pt>
                <c:pt idx="2901">
                  <c:v>9480708.5567852687</c:v>
                </c:pt>
                <c:pt idx="2902">
                  <c:v>9483371.4690764733</c:v>
                </c:pt>
                <c:pt idx="2903">
                  <c:v>9486034.3813676797</c:v>
                </c:pt>
                <c:pt idx="2904">
                  <c:v>9488697.2936588824</c:v>
                </c:pt>
                <c:pt idx="2905">
                  <c:v>9491360.2059500888</c:v>
                </c:pt>
                <c:pt idx="2906">
                  <c:v>9494023.1182412934</c:v>
                </c:pt>
                <c:pt idx="2907">
                  <c:v>9496686.0305324979</c:v>
                </c:pt>
                <c:pt idx="2908">
                  <c:v>9499348.9428237025</c:v>
                </c:pt>
                <c:pt idx="2909">
                  <c:v>9502011.855114907</c:v>
                </c:pt>
                <c:pt idx="2910">
                  <c:v>9504674.7674061134</c:v>
                </c:pt>
                <c:pt idx="2911">
                  <c:v>9507337.6796973161</c:v>
                </c:pt>
                <c:pt idx="2912">
                  <c:v>9510000.5919885226</c:v>
                </c:pt>
                <c:pt idx="2913">
                  <c:v>9512663.5042797271</c:v>
                </c:pt>
                <c:pt idx="2914">
                  <c:v>9515326.4165709317</c:v>
                </c:pt>
                <c:pt idx="2915">
                  <c:v>9517989.3288621381</c:v>
                </c:pt>
                <c:pt idx="2916">
                  <c:v>9520652.2411533408</c:v>
                </c:pt>
                <c:pt idx="2917">
                  <c:v>9523315.1534445472</c:v>
                </c:pt>
                <c:pt idx="2918">
                  <c:v>9525978.0657357518</c:v>
                </c:pt>
                <c:pt idx="2919">
                  <c:v>9528640.9780269563</c:v>
                </c:pt>
                <c:pt idx="2920">
                  <c:v>9531303.8903181609</c:v>
                </c:pt>
                <c:pt idx="2921">
                  <c:v>9533966.8026093654</c:v>
                </c:pt>
                <c:pt idx="2922">
                  <c:v>9536629.7149005719</c:v>
                </c:pt>
                <c:pt idx="2923">
                  <c:v>9539292.6271917745</c:v>
                </c:pt>
                <c:pt idx="2924">
                  <c:v>9541955.539482981</c:v>
                </c:pt>
                <c:pt idx="2925">
                  <c:v>9544618.4517741855</c:v>
                </c:pt>
                <c:pt idx="2926">
                  <c:v>9547281.3640653901</c:v>
                </c:pt>
                <c:pt idx="2927">
                  <c:v>9549944.2763565946</c:v>
                </c:pt>
                <c:pt idx="2928">
                  <c:v>9552607.1886477992</c:v>
                </c:pt>
                <c:pt idx="2929">
                  <c:v>9555270.1009390056</c:v>
                </c:pt>
                <c:pt idx="2930">
                  <c:v>9557933.0132302083</c:v>
                </c:pt>
                <c:pt idx="2931">
                  <c:v>9560595.9255214147</c:v>
                </c:pt>
                <c:pt idx="2932">
                  <c:v>9563258.8378126193</c:v>
                </c:pt>
                <c:pt idx="2933">
                  <c:v>9565921.7501038238</c:v>
                </c:pt>
                <c:pt idx="2934">
                  <c:v>9568584.6623950303</c:v>
                </c:pt>
                <c:pt idx="2935">
                  <c:v>9571247.574686233</c:v>
                </c:pt>
                <c:pt idx="2936">
                  <c:v>9573910.4869774394</c:v>
                </c:pt>
                <c:pt idx="2937">
                  <c:v>9576573.3992686439</c:v>
                </c:pt>
                <c:pt idx="2938">
                  <c:v>9579236.3115598485</c:v>
                </c:pt>
                <c:pt idx="2939">
                  <c:v>9581899.223851053</c:v>
                </c:pt>
                <c:pt idx="2940">
                  <c:v>9584562.1361422576</c:v>
                </c:pt>
                <c:pt idx="2941">
                  <c:v>9587225.048433464</c:v>
                </c:pt>
                <c:pt idx="2942">
                  <c:v>9589887.9607246667</c:v>
                </c:pt>
                <c:pt idx="2943">
                  <c:v>9592550.8730158731</c:v>
                </c:pt>
                <c:pt idx="2944">
                  <c:v>9595213.7853070777</c:v>
                </c:pt>
                <c:pt idx="2945">
                  <c:v>9597876.6975982822</c:v>
                </c:pt>
                <c:pt idx="2946">
                  <c:v>9600539.6098894868</c:v>
                </c:pt>
                <c:pt idx="2947">
                  <c:v>9603202.5221806914</c:v>
                </c:pt>
                <c:pt idx="2948">
                  <c:v>9605865.4344718978</c:v>
                </c:pt>
                <c:pt idx="2949">
                  <c:v>9608528.3467631005</c:v>
                </c:pt>
                <c:pt idx="2950">
                  <c:v>9611191.2590543069</c:v>
                </c:pt>
                <c:pt idx="2951">
                  <c:v>9613854.1713455115</c:v>
                </c:pt>
                <c:pt idx="2952">
                  <c:v>9616517.083636716</c:v>
                </c:pt>
                <c:pt idx="2953">
                  <c:v>9619179.9959279224</c:v>
                </c:pt>
                <c:pt idx="2954">
                  <c:v>9621842.9082191251</c:v>
                </c:pt>
                <c:pt idx="2955">
                  <c:v>9624505.8205103315</c:v>
                </c:pt>
                <c:pt idx="2956">
                  <c:v>9627168.7328015361</c:v>
                </c:pt>
                <c:pt idx="2957">
                  <c:v>9629831.6450927407</c:v>
                </c:pt>
                <c:pt idx="2958">
                  <c:v>9632494.5573839452</c:v>
                </c:pt>
                <c:pt idx="2959">
                  <c:v>9635157.4696751498</c:v>
                </c:pt>
                <c:pt idx="2960">
                  <c:v>9637820.3819663562</c:v>
                </c:pt>
                <c:pt idx="2961">
                  <c:v>9640483.2942575589</c:v>
                </c:pt>
                <c:pt idx="2962">
                  <c:v>9643146.2065487653</c:v>
                </c:pt>
                <c:pt idx="2963">
                  <c:v>9645809.1188399699</c:v>
                </c:pt>
                <c:pt idx="2964">
                  <c:v>9648472.0311311744</c:v>
                </c:pt>
                <c:pt idx="2965">
                  <c:v>9651134.943422379</c:v>
                </c:pt>
                <c:pt idx="2966">
                  <c:v>9653797.8557135835</c:v>
                </c:pt>
                <c:pt idx="2967">
                  <c:v>9656460.7680047899</c:v>
                </c:pt>
                <c:pt idx="2968">
                  <c:v>9659123.6802959926</c:v>
                </c:pt>
                <c:pt idx="2969">
                  <c:v>9661786.5925871991</c:v>
                </c:pt>
                <c:pt idx="2970">
                  <c:v>9664449.5048784036</c:v>
                </c:pt>
                <c:pt idx="2971">
                  <c:v>9667112.4171696082</c:v>
                </c:pt>
                <c:pt idx="2972">
                  <c:v>9669775.3294608146</c:v>
                </c:pt>
                <c:pt idx="2973">
                  <c:v>9672438.2417520173</c:v>
                </c:pt>
                <c:pt idx="2974">
                  <c:v>9675101.1540432237</c:v>
                </c:pt>
                <c:pt idx="2975">
                  <c:v>9677764.0663344264</c:v>
                </c:pt>
                <c:pt idx="2976">
                  <c:v>9680426.9786256328</c:v>
                </c:pt>
                <c:pt idx="2977">
                  <c:v>9683089.8909168374</c:v>
                </c:pt>
                <c:pt idx="2978">
                  <c:v>9685752.8032080419</c:v>
                </c:pt>
                <c:pt idx="2979">
                  <c:v>9688415.7154992484</c:v>
                </c:pt>
                <c:pt idx="2980">
                  <c:v>9691078.627790451</c:v>
                </c:pt>
                <c:pt idx="2981">
                  <c:v>9693741.5400816575</c:v>
                </c:pt>
                <c:pt idx="2982">
                  <c:v>9696404.452372862</c:v>
                </c:pt>
                <c:pt idx="2983">
                  <c:v>9699067.3646640666</c:v>
                </c:pt>
                <c:pt idx="2984">
                  <c:v>9701730.2769552711</c:v>
                </c:pt>
                <c:pt idx="2985">
                  <c:v>9704393.1892464757</c:v>
                </c:pt>
                <c:pt idx="2986">
                  <c:v>9707056.1015376821</c:v>
                </c:pt>
                <c:pt idx="2987">
                  <c:v>9709719.0138288848</c:v>
                </c:pt>
                <c:pt idx="2988">
                  <c:v>9712381.9261200912</c:v>
                </c:pt>
                <c:pt idx="2989">
                  <c:v>9715044.8384112958</c:v>
                </c:pt>
                <c:pt idx="2990">
                  <c:v>9717707.7507025003</c:v>
                </c:pt>
                <c:pt idx="2991">
                  <c:v>9720370.6629937068</c:v>
                </c:pt>
                <c:pt idx="2992">
                  <c:v>9723033.5752849095</c:v>
                </c:pt>
                <c:pt idx="2993">
                  <c:v>9725696.4875761159</c:v>
                </c:pt>
                <c:pt idx="2994">
                  <c:v>9728359.3998673186</c:v>
                </c:pt>
                <c:pt idx="2995">
                  <c:v>9731022.312158525</c:v>
                </c:pt>
                <c:pt idx="2996">
                  <c:v>9733685.2244497295</c:v>
                </c:pt>
                <c:pt idx="2997">
                  <c:v>9736348.1367409341</c:v>
                </c:pt>
                <c:pt idx="2998">
                  <c:v>9739011.0490321405</c:v>
                </c:pt>
                <c:pt idx="2999">
                  <c:v>9741673.9613233432</c:v>
                </c:pt>
                <c:pt idx="3000">
                  <c:v>9744336.8736145496</c:v>
                </c:pt>
                <c:pt idx="3001">
                  <c:v>9746999.7859057542</c:v>
                </c:pt>
                <c:pt idx="3002">
                  <c:v>9749662.6981969588</c:v>
                </c:pt>
                <c:pt idx="3003">
                  <c:v>9752325.6104881633</c:v>
                </c:pt>
                <c:pt idx="3004">
                  <c:v>9754988.5227793679</c:v>
                </c:pt>
                <c:pt idx="3005">
                  <c:v>9757651.4350705743</c:v>
                </c:pt>
                <c:pt idx="3006">
                  <c:v>9760314.347361777</c:v>
                </c:pt>
                <c:pt idx="3007">
                  <c:v>9762977.2596529834</c:v>
                </c:pt>
                <c:pt idx="3008">
                  <c:v>9765640.171944188</c:v>
                </c:pt>
                <c:pt idx="3009">
                  <c:v>9768303.0842353925</c:v>
                </c:pt>
                <c:pt idx="3010">
                  <c:v>9770965.9965265989</c:v>
                </c:pt>
                <c:pt idx="3011">
                  <c:v>9773628.9088178016</c:v>
                </c:pt>
                <c:pt idx="3012">
                  <c:v>9776291.821109008</c:v>
                </c:pt>
                <c:pt idx="3013">
                  <c:v>9778954.7334002107</c:v>
                </c:pt>
                <c:pt idx="3014">
                  <c:v>9781617.6456914172</c:v>
                </c:pt>
                <c:pt idx="3015">
                  <c:v>9784280.5579826217</c:v>
                </c:pt>
                <c:pt idx="3016">
                  <c:v>9786943.4702738263</c:v>
                </c:pt>
                <c:pt idx="3017">
                  <c:v>9789606.3825650327</c:v>
                </c:pt>
                <c:pt idx="3018">
                  <c:v>9792269.2948562354</c:v>
                </c:pt>
                <c:pt idx="3019">
                  <c:v>9794932.2071474418</c:v>
                </c:pt>
                <c:pt idx="3020">
                  <c:v>9797595.1194386464</c:v>
                </c:pt>
                <c:pt idx="3021">
                  <c:v>9800258.0317298509</c:v>
                </c:pt>
                <c:pt idx="3022">
                  <c:v>9802920.9440210555</c:v>
                </c:pt>
                <c:pt idx="3023">
                  <c:v>9805583.85631226</c:v>
                </c:pt>
                <c:pt idx="3024">
                  <c:v>9808246.7686034665</c:v>
                </c:pt>
                <c:pt idx="3025">
                  <c:v>9810909.6808946691</c:v>
                </c:pt>
                <c:pt idx="3026">
                  <c:v>9813572.5931858756</c:v>
                </c:pt>
                <c:pt idx="3027">
                  <c:v>9816235.5054770801</c:v>
                </c:pt>
                <c:pt idx="3028">
                  <c:v>9818898.4177682847</c:v>
                </c:pt>
                <c:pt idx="3029">
                  <c:v>9821561.3300594892</c:v>
                </c:pt>
                <c:pt idx="3030">
                  <c:v>9824224.2423506938</c:v>
                </c:pt>
                <c:pt idx="3031">
                  <c:v>9826887.1546419002</c:v>
                </c:pt>
                <c:pt idx="3032">
                  <c:v>9829550.0669331029</c:v>
                </c:pt>
                <c:pt idx="3033">
                  <c:v>9832212.9792243093</c:v>
                </c:pt>
                <c:pt idx="3034">
                  <c:v>9834875.8915155139</c:v>
                </c:pt>
                <c:pt idx="3035">
                  <c:v>9837538.8038067184</c:v>
                </c:pt>
                <c:pt idx="3036">
                  <c:v>9840201.7160979249</c:v>
                </c:pt>
                <c:pt idx="3037">
                  <c:v>9842864.6283891276</c:v>
                </c:pt>
                <c:pt idx="3038">
                  <c:v>9845527.540680334</c:v>
                </c:pt>
                <c:pt idx="3039">
                  <c:v>9848190.4529715385</c:v>
                </c:pt>
                <c:pt idx="3040">
                  <c:v>9850853.3652627431</c:v>
                </c:pt>
                <c:pt idx="3041">
                  <c:v>9853516.2775539476</c:v>
                </c:pt>
                <c:pt idx="3042">
                  <c:v>9856179.1898451522</c:v>
                </c:pt>
                <c:pt idx="3043">
                  <c:v>9858842.1021363586</c:v>
                </c:pt>
                <c:pt idx="3044">
                  <c:v>9861505.0144275613</c:v>
                </c:pt>
                <c:pt idx="3045">
                  <c:v>9864167.9267187677</c:v>
                </c:pt>
                <c:pt idx="3046">
                  <c:v>9866830.8390099723</c:v>
                </c:pt>
                <c:pt idx="3047">
                  <c:v>9869493.7513011768</c:v>
                </c:pt>
                <c:pt idx="3048">
                  <c:v>9872156.6635923814</c:v>
                </c:pt>
                <c:pt idx="3049">
                  <c:v>9874819.575883586</c:v>
                </c:pt>
                <c:pt idx="3050">
                  <c:v>9877482.4881747924</c:v>
                </c:pt>
                <c:pt idx="3051">
                  <c:v>9880145.4004659951</c:v>
                </c:pt>
                <c:pt idx="3052">
                  <c:v>9882808.3127572015</c:v>
                </c:pt>
                <c:pt idx="3053">
                  <c:v>9885471.225048406</c:v>
                </c:pt>
                <c:pt idx="3054">
                  <c:v>9888134.1373396106</c:v>
                </c:pt>
                <c:pt idx="3055">
                  <c:v>9890797.049630817</c:v>
                </c:pt>
                <c:pt idx="3056">
                  <c:v>9893459.9619220197</c:v>
                </c:pt>
                <c:pt idx="3057">
                  <c:v>9896122.8742132261</c:v>
                </c:pt>
                <c:pt idx="3058">
                  <c:v>9898785.7865044307</c:v>
                </c:pt>
                <c:pt idx="3059">
                  <c:v>9901448.6987956353</c:v>
                </c:pt>
                <c:pt idx="3060">
                  <c:v>9904111.6110868398</c:v>
                </c:pt>
                <c:pt idx="3061">
                  <c:v>9906774.5233780444</c:v>
                </c:pt>
                <c:pt idx="3062">
                  <c:v>9909437.4356692508</c:v>
                </c:pt>
                <c:pt idx="3063">
                  <c:v>9912100.3479604535</c:v>
                </c:pt>
                <c:pt idx="3064">
                  <c:v>9914763.2602516599</c:v>
                </c:pt>
                <c:pt idx="3065">
                  <c:v>9917426.1725428645</c:v>
                </c:pt>
                <c:pt idx="3066">
                  <c:v>9920089.084834069</c:v>
                </c:pt>
                <c:pt idx="3067">
                  <c:v>9922751.9971252736</c:v>
                </c:pt>
                <c:pt idx="3068">
                  <c:v>9925414.9094164781</c:v>
                </c:pt>
                <c:pt idx="3069">
                  <c:v>9928077.8217076845</c:v>
                </c:pt>
                <c:pt idx="3070">
                  <c:v>9930740.7339988872</c:v>
                </c:pt>
                <c:pt idx="3071">
                  <c:v>9933403.6462900937</c:v>
                </c:pt>
                <c:pt idx="3072">
                  <c:v>9936066.5585812982</c:v>
                </c:pt>
                <c:pt idx="3073">
                  <c:v>9938729.4708725028</c:v>
                </c:pt>
                <c:pt idx="3074">
                  <c:v>9941392.3831637092</c:v>
                </c:pt>
                <c:pt idx="3075">
                  <c:v>9944055.2954549119</c:v>
                </c:pt>
                <c:pt idx="3076">
                  <c:v>9946718.2077461183</c:v>
                </c:pt>
                <c:pt idx="3077">
                  <c:v>9949381.1200373229</c:v>
                </c:pt>
                <c:pt idx="3078">
                  <c:v>9952044.0323285274</c:v>
                </c:pt>
                <c:pt idx="3079">
                  <c:v>9954706.944619732</c:v>
                </c:pt>
                <c:pt idx="3080">
                  <c:v>9957369.8569109365</c:v>
                </c:pt>
                <c:pt idx="3081">
                  <c:v>9960032.769202143</c:v>
                </c:pt>
                <c:pt idx="3082">
                  <c:v>9962695.6814933456</c:v>
                </c:pt>
                <c:pt idx="3083">
                  <c:v>9965358.5937845521</c:v>
                </c:pt>
                <c:pt idx="3084">
                  <c:v>9968021.5060757566</c:v>
                </c:pt>
                <c:pt idx="3085">
                  <c:v>9970684.4183669612</c:v>
                </c:pt>
                <c:pt idx="3086">
                  <c:v>9973347.3306581657</c:v>
                </c:pt>
                <c:pt idx="3087">
                  <c:v>9976010.2429493703</c:v>
                </c:pt>
                <c:pt idx="3088">
                  <c:v>9978673.1552405767</c:v>
                </c:pt>
                <c:pt idx="3089">
                  <c:v>9981336.0675317794</c:v>
                </c:pt>
                <c:pt idx="3090">
                  <c:v>9983998.9798229858</c:v>
                </c:pt>
                <c:pt idx="3091">
                  <c:v>9986661.8921141904</c:v>
                </c:pt>
                <c:pt idx="3092">
                  <c:v>9989324.8044053949</c:v>
                </c:pt>
                <c:pt idx="3093">
                  <c:v>9991987.7166966014</c:v>
                </c:pt>
                <c:pt idx="3094">
                  <c:v>9994650.6289878041</c:v>
                </c:pt>
                <c:pt idx="3095">
                  <c:v>9997313.5412790105</c:v>
                </c:pt>
                <c:pt idx="3096">
                  <c:v>9999976.453570215</c:v>
                </c:pt>
                <c:pt idx="3097">
                  <c:v>10002639.36586142</c:v>
                </c:pt>
                <c:pt idx="3098">
                  <c:v>10005302.278152624</c:v>
                </c:pt>
                <c:pt idx="3099">
                  <c:v>10007965.190443829</c:v>
                </c:pt>
                <c:pt idx="3100">
                  <c:v>10010628.102735035</c:v>
                </c:pt>
                <c:pt idx="3101">
                  <c:v>10013291.015026238</c:v>
                </c:pt>
                <c:pt idx="3102">
                  <c:v>10015953.927317444</c:v>
                </c:pt>
                <c:pt idx="3103">
                  <c:v>10018616.839608649</c:v>
                </c:pt>
                <c:pt idx="3104">
                  <c:v>10021279.751899853</c:v>
                </c:pt>
                <c:pt idx="3105">
                  <c:v>10023942.664191058</c:v>
                </c:pt>
                <c:pt idx="3106">
                  <c:v>10026605.576482262</c:v>
                </c:pt>
                <c:pt idx="3107">
                  <c:v>10029268.488773469</c:v>
                </c:pt>
                <c:pt idx="3108">
                  <c:v>10031931.401064672</c:v>
                </c:pt>
                <c:pt idx="3109">
                  <c:v>10034594.313355878</c:v>
                </c:pt>
                <c:pt idx="3110">
                  <c:v>10037257.225647083</c:v>
                </c:pt>
                <c:pt idx="3111">
                  <c:v>10039920.137938287</c:v>
                </c:pt>
                <c:pt idx="3112">
                  <c:v>10042583.050229494</c:v>
                </c:pt>
                <c:pt idx="3113">
                  <c:v>10045245.962520696</c:v>
                </c:pt>
                <c:pt idx="3114">
                  <c:v>10047908.874811903</c:v>
                </c:pt>
                <c:pt idx="3115">
                  <c:v>10050571.787103107</c:v>
                </c:pt>
                <c:pt idx="3116">
                  <c:v>10053234.699394312</c:v>
                </c:pt>
                <c:pt idx="3117">
                  <c:v>10055897.611685516</c:v>
                </c:pt>
                <c:pt idx="3118">
                  <c:v>10058560.523976721</c:v>
                </c:pt>
                <c:pt idx="3119">
                  <c:v>10061223.436267927</c:v>
                </c:pt>
                <c:pt idx="3120">
                  <c:v>10063886.34855913</c:v>
                </c:pt>
                <c:pt idx="3121">
                  <c:v>10066549.260850336</c:v>
                </c:pt>
                <c:pt idx="3122">
                  <c:v>10069212.173141541</c:v>
                </c:pt>
                <c:pt idx="3123">
                  <c:v>10071875.085432746</c:v>
                </c:pt>
                <c:pt idx="3124">
                  <c:v>10074537.99772395</c:v>
                </c:pt>
                <c:pt idx="3125">
                  <c:v>10077200.910015155</c:v>
                </c:pt>
                <c:pt idx="3126">
                  <c:v>10079863.822306361</c:v>
                </c:pt>
                <c:pt idx="3127">
                  <c:v>10082526.734597564</c:v>
                </c:pt>
                <c:pt idx="3128">
                  <c:v>10085189.64688877</c:v>
                </c:pt>
                <c:pt idx="3129">
                  <c:v>10087852.559179975</c:v>
                </c:pt>
                <c:pt idx="3130">
                  <c:v>10090515.471471179</c:v>
                </c:pt>
                <c:pt idx="3131">
                  <c:v>10093178.383762386</c:v>
                </c:pt>
                <c:pt idx="3132">
                  <c:v>10095841.296053588</c:v>
                </c:pt>
                <c:pt idx="3133">
                  <c:v>10098504.208344795</c:v>
                </c:pt>
                <c:pt idx="3134">
                  <c:v>10101167.120635998</c:v>
                </c:pt>
                <c:pt idx="3135">
                  <c:v>10103830.032927204</c:v>
                </c:pt>
                <c:pt idx="3136">
                  <c:v>10106492.945218408</c:v>
                </c:pt>
                <c:pt idx="3137">
                  <c:v>10109155.857509613</c:v>
                </c:pt>
                <c:pt idx="3138">
                  <c:v>10111818.769800819</c:v>
                </c:pt>
                <c:pt idx="3139">
                  <c:v>10114481.682092022</c:v>
                </c:pt>
                <c:pt idx="3140">
                  <c:v>10117144.594383229</c:v>
                </c:pt>
                <c:pt idx="3141">
                  <c:v>10119807.506674433</c:v>
                </c:pt>
                <c:pt idx="3142">
                  <c:v>10122470.418965638</c:v>
                </c:pt>
                <c:pt idx="3143">
                  <c:v>10125133.331256842</c:v>
                </c:pt>
                <c:pt idx="3144">
                  <c:v>10127796.243548047</c:v>
                </c:pt>
                <c:pt idx="3145">
                  <c:v>10130459.155839253</c:v>
                </c:pt>
                <c:pt idx="3146">
                  <c:v>10133122.068130456</c:v>
                </c:pt>
                <c:pt idx="3147">
                  <c:v>10135784.980421662</c:v>
                </c:pt>
                <c:pt idx="3148">
                  <c:v>10138447.892712867</c:v>
                </c:pt>
                <c:pt idx="3149">
                  <c:v>10141110.805004071</c:v>
                </c:pt>
                <c:pt idx="3150">
                  <c:v>10143773.717295278</c:v>
                </c:pt>
                <c:pt idx="3151">
                  <c:v>10146436.629586481</c:v>
                </c:pt>
                <c:pt idx="3152">
                  <c:v>10149099.541877687</c:v>
                </c:pt>
                <c:pt idx="3153">
                  <c:v>10151762.454168892</c:v>
                </c:pt>
                <c:pt idx="3154">
                  <c:v>10154425.366460096</c:v>
                </c:pt>
                <c:pt idx="3155">
                  <c:v>10157088.278751301</c:v>
                </c:pt>
                <c:pt idx="3156">
                  <c:v>10159751.191042505</c:v>
                </c:pt>
                <c:pt idx="3157">
                  <c:v>10162414.10333371</c:v>
                </c:pt>
                <c:pt idx="3158">
                  <c:v>10165077.015624916</c:v>
                </c:pt>
                <c:pt idx="3159">
                  <c:v>10167739.927916121</c:v>
                </c:pt>
                <c:pt idx="3160">
                  <c:v>10170402.840207325</c:v>
                </c:pt>
                <c:pt idx="3161">
                  <c:v>10173065.75249853</c:v>
                </c:pt>
                <c:pt idx="3162">
                  <c:v>10175728.664789734</c:v>
                </c:pt>
                <c:pt idx="3163">
                  <c:v>10178391.577080939</c:v>
                </c:pt>
                <c:pt idx="3164">
                  <c:v>10181054.489372144</c:v>
                </c:pt>
                <c:pt idx="3165">
                  <c:v>10183717.40166335</c:v>
                </c:pt>
                <c:pt idx="3166">
                  <c:v>10186380.313954554</c:v>
                </c:pt>
                <c:pt idx="3167">
                  <c:v>10189043.226245759</c:v>
                </c:pt>
                <c:pt idx="3168">
                  <c:v>10191706.138536964</c:v>
                </c:pt>
                <c:pt idx="3169">
                  <c:v>10194369.050828168</c:v>
                </c:pt>
                <c:pt idx="3170">
                  <c:v>10197031.963119373</c:v>
                </c:pt>
                <c:pt idx="3171">
                  <c:v>10199694.875410579</c:v>
                </c:pt>
                <c:pt idx="3172">
                  <c:v>10202357.787701784</c:v>
                </c:pt>
                <c:pt idx="3173">
                  <c:v>10205020.699992988</c:v>
                </c:pt>
                <c:pt idx="3174">
                  <c:v>10207683.612284193</c:v>
                </c:pt>
                <c:pt idx="3175">
                  <c:v>10210346.524575397</c:v>
                </c:pt>
                <c:pt idx="3176">
                  <c:v>10213009.436866602</c:v>
                </c:pt>
                <c:pt idx="3177">
                  <c:v>10215672.349157808</c:v>
                </c:pt>
                <c:pt idx="3178">
                  <c:v>10218335.261449013</c:v>
                </c:pt>
                <c:pt idx="3179">
                  <c:v>10220998.173740217</c:v>
                </c:pt>
                <c:pt idx="3180">
                  <c:v>10223661.086031422</c:v>
                </c:pt>
                <c:pt idx="3181">
                  <c:v>10226323.998322627</c:v>
                </c:pt>
                <c:pt idx="3182">
                  <c:v>10228986.910613831</c:v>
                </c:pt>
                <c:pt idx="3183">
                  <c:v>10231649.822905036</c:v>
                </c:pt>
                <c:pt idx="3184">
                  <c:v>10234312.735196242</c:v>
                </c:pt>
                <c:pt idx="3185">
                  <c:v>10236975.647487447</c:v>
                </c:pt>
                <c:pt idx="3186">
                  <c:v>10239638.559778651</c:v>
                </c:pt>
                <c:pt idx="3187">
                  <c:v>10242301.472069856</c:v>
                </c:pt>
                <c:pt idx="3188">
                  <c:v>10244964.38436106</c:v>
                </c:pt>
                <c:pt idx="3189">
                  <c:v>10247627.296652265</c:v>
                </c:pt>
                <c:pt idx="3190">
                  <c:v>10250290.208943471</c:v>
                </c:pt>
                <c:pt idx="3191">
                  <c:v>10252953.121234676</c:v>
                </c:pt>
                <c:pt idx="3192">
                  <c:v>10255616.03352588</c:v>
                </c:pt>
                <c:pt idx="3193">
                  <c:v>10258278.945817085</c:v>
                </c:pt>
                <c:pt idx="3194">
                  <c:v>10260941.85810829</c:v>
                </c:pt>
                <c:pt idx="3195">
                  <c:v>10263604.770399494</c:v>
                </c:pt>
                <c:pt idx="3196">
                  <c:v>10266267.682690699</c:v>
                </c:pt>
                <c:pt idx="3197">
                  <c:v>10268930.594981905</c:v>
                </c:pt>
                <c:pt idx="3198">
                  <c:v>10271593.50727311</c:v>
                </c:pt>
                <c:pt idx="3199">
                  <c:v>10274256.419564314</c:v>
                </c:pt>
                <c:pt idx="3200">
                  <c:v>10276919.331855519</c:v>
                </c:pt>
                <c:pt idx="3201">
                  <c:v>10279582.244146723</c:v>
                </c:pt>
                <c:pt idx="3202">
                  <c:v>10282245.156437928</c:v>
                </c:pt>
                <c:pt idx="3203">
                  <c:v>10284908.068729134</c:v>
                </c:pt>
                <c:pt idx="3204">
                  <c:v>10287570.981020339</c:v>
                </c:pt>
                <c:pt idx="3205">
                  <c:v>10290233.893311543</c:v>
                </c:pt>
                <c:pt idx="3206">
                  <c:v>10292896.805602748</c:v>
                </c:pt>
                <c:pt idx="3207">
                  <c:v>10295559.717893953</c:v>
                </c:pt>
                <c:pt idx="3208">
                  <c:v>10298222.630185157</c:v>
                </c:pt>
                <c:pt idx="3209">
                  <c:v>10300885.542476363</c:v>
                </c:pt>
                <c:pt idx="3210">
                  <c:v>10303548.454767568</c:v>
                </c:pt>
                <c:pt idx="3211">
                  <c:v>10306211.367058773</c:v>
                </c:pt>
                <c:pt idx="3212">
                  <c:v>10308874.279349977</c:v>
                </c:pt>
                <c:pt idx="3213">
                  <c:v>10311537.191641182</c:v>
                </c:pt>
                <c:pt idx="3214">
                  <c:v>10314200.103932386</c:v>
                </c:pt>
                <c:pt idx="3215">
                  <c:v>10316863.016223591</c:v>
                </c:pt>
                <c:pt idx="3216">
                  <c:v>10319525.928514797</c:v>
                </c:pt>
                <c:pt idx="3217">
                  <c:v>10322188.840806002</c:v>
                </c:pt>
                <c:pt idx="3218">
                  <c:v>10324851.753097206</c:v>
                </c:pt>
                <c:pt idx="3219">
                  <c:v>10327514.665388411</c:v>
                </c:pt>
                <c:pt idx="3220">
                  <c:v>10330177.577679615</c:v>
                </c:pt>
                <c:pt idx="3221">
                  <c:v>10332840.48997082</c:v>
                </c:pt>
                <c:pt idx="3222">
                  <c:v>10335503.402262026</c:v>
                </c:pt>
                <c:pt idx="3223">
                  <c:v>10338166.314553231</c:v>
                </c:pt>
                <c:pt idx="3224">
                  <c:v>10340829.226844436</c:v>
                </c:pt>
                <c:pt idx="3225">
                  <c:v>10343492.13913564</c:v>
                </c:pt>
                <c:pt idx="3226">
                  <c:v>10346155.051426845</c:v>
                </c:pt>
                <c:pt idx="3227">
                  <c:v>10348817.963718049</c:v>
                </c:pt>
                <c:pt idx="3228">
                  <c:v>10351480.876009256</c:v>
                </c:pt>
                <c:pt idx="3229">
                  <c:v>10354143.78830046</c:v>
                </c:pt>
                <c:pt idx="3230">
                  <c:v>10356806.700591665</c:v>
                </c:pt>
                <c:pt idx="3231">
                  <c:v>10359469.612882869</c:v>
                </c:pt>
                <c:pt idx="3232">
                  <c:v>10362132.525174074</c:v>
                </c:pt>
                <c:pt idx="3233">
                  <c:v>10364795.437465278</c:v>
                </c:pt>
                <c:pt idx="3234">
                  <c:v>10367458.349756483</c:v>
                </c:pt>
                <c:pt idx="3235">
                  <c:v>10370121.262047689</c:v>
                </c:pt>
                <c:pt idx="3236">
                  <c:v>10372784.174338894</c:v>
                </c:pt>
                <c:pt idx="3237">
                  <c:v>10375447.086630099</c:v>
                </c:pt>
                <c:pt idx="3238">
                  <c:v>10378109.998921303</c:v>
                </c:pt>
                <c:pt idx="3239">
                  <c:v>10380772.911212508</c:v>
                </c:pt>
                <c:pt idx="3240">
                  <c:v>10383435.823503712</c:v>
                </c:pt>
                <c:pt idx="3241">
                  <c:v>10386098.735794919</c:v>
                </c:pt>
                <c:pt idx="3242">
                  <c:v>10388761.648086123</c:v>
                </c:pt>
                <c:pt idx="3243">
                  <c:v>10391424.560377328</c:v>
                </c:pt>
                <c:pt idx="3244">
                  <c:v>10394087.472668532</c:v>
                </c:pt>
                <c:pt idx="3245">
                  <c:v>10396750.384959737</c:v>
                </c:pt>
                <c:pt idx="3246">
                  <c:v>10399413.297250941</c:v>
                </c:pt>
                <c:pt idx="3247">
                  <c:v>10402076.209542148</c:v>
                </c:pt>
                <c:pt idx="3248">
                  <c:v>10404739.121833352</c:v>
                </c:pt>
                <c:pt idx="3249">
                  <c:v>10407402.034124557</c:v>
                </c:pt>
                <c:pt idx="3250">
                  <c:v>10410064.946415761</c:v>
                </c:pt>
                <c:pt idx="3251">
                  <c:v>10412727.858706966</c:v>
                </c:pt>
                <c:pt idx="3252">
                  <c:v>10415390.770998171</c:v>
                </c:pt>
                <c:pt idx="3253">
                  <c:v>10418053.683289375</c:v>
                </c:pt>
                <c:pt idx="3254">
                  <c:v>10420716.595580582</c:v>
                </c:pt>
                <c:pt idx="3255">
                  <c:v>10423379.507871786</c:v>
                </c:pt>
                <c:pt idx="3256">
                  <c:v>10426042.420162991</c:v>
                </c:pt>
                <c:pt idx="3257">
                  <c:v>10428705.332454195</c:v>
                </c:pt>
                <c:pt idx="3258">
                  <c:v>10431368.2447454</c:v>
                </c:pt>
                <c:pt idx="3259">
                  <c:v>10434031.157036604</c:v>
                </c:pt>
                <c:pt idx="3260">
                  <c:v>10436694.069327811</c:v>
                </c:pt>
                <c:pt idx="3261">
                  <c:v>10439356.981619015</c:v>
                </c:pt>
                <c:pt idx="3262">
                  <c:v>10442019.89391022</c:v>
                </c:pt>
                <c:pt idx="3263">
                  <c:v>10444682.806201424</c:v>
                </c:pt>
                <c:pt idx="3264">
                  <c:v>10447345.718492629</c:v>
                </c:pt>
                <c:pt idx="3265">
                  <c:v>10450008.630783834</c:v>
                </c:pt>
                <c:pt idx="3266">
                  <c:v>10452671.54307504</c:v>
                </c:pt>
                <c:pt idx="3267">
                  <c:v>10455334.455366245</c:v>
                </c:pt>
                <c:pt idx="3268">
                  <c:v>10457997.367657449</c:v>
                </c:pt>
                <c:pt idx="3269">
                  <c:v>10460660.279948654</c:v>
                </c:pt>
                <c:pt idx="3270">
                  <c:v>10463323.192239858</c:v>
                </c:pt>
                <c:pt idx="3271">
                  <c:v>10465986.104531063</c:v>
                </c:pt>
                <c:pt idx="3272">
                  <c:v>10468649.016822267</c:v>
                </c:pt>
                <c:pt idx="3273">
                  <c:v>10471311.929113474</c:v>
                </c:pt>
                <c:pt idx="3274">
                  <c:v>10473974.841404678</c:v>
                </c:pt>
                <c:pt idx="3275">
                  <c:v>10476637.753695883</c:v>
                </c:pt>
                <c:pt idx="3276">
                  <c:v>10479300.665987087</c:v>
                </c:pt>
                <c:pt idx="3277">
                  <c:v>10481963.578278292</c:v>
                </c:pt>
                <c:pt idx="3278">
                  <c:v>10484626.490569497</c:v>
                </c:pt>
                <c:pt idx="3279">
                  <c:v>10487289.402860703</c:v>
                </c:pt>
                <c:pt idx="3280">
                  <c:v>10489952.315151908</c:v>
                </c:pt>
                <c:pt idx="3281">
                  <c:v>10492615.227443112</c:v>
                </c:pt>
                <c:pt idx="3282">
                  <c:v>10495278.139734317</c:v>
                </c:pt>
                <c:pt idx="3283">
                  <c:v>10497941.052025521</c:v>
                </c:pt>
                <c:pt idx="3284">
                  <c:v>10500603.964316726</c:v>
                </c:pt>
                <c:pt idx="3285">
                  <c:v>10503266.87660793</c:v>
                </c:pt>
                <c:pt idx="3286">
                  <c:v>10505929.788899137</c:v>
                </c:pt>
                <c:pt idx="3287">
                  <c:v>10508592.701190341</c:v>
                </c:pt>
                <c:pt idx="3288">
                  <c:v>10511255.613481546</c:v>
                </c:pt>
                <c:pt idx="3289">
                  <c:v>10513918.52577275</c:v>
                </c:pt>
                <c:pt idx="3290">
                  <c:v>10516581.438063955</c:v>
                </c:pt>
                <c:pt idx="3291">
                  <c:v>10519244.350355159</c:v>
                </c:pt>
                <c:pt idx="3292">
                  <c:v>10521907.262646366</c:v>
                </c:pt>
                <c:pt idx="3293">
                  <c:v>10524570.17493757</c:v>
                </c:pt>
                <c:pt idx="3294">
                  <c:v>10527233.087228775</c:v>
                </c:pt>
                <c:pt idx="3295">
                  <c:v>10529895.99951998</c:v>
                </c:pt>
                <c:pt idx="3296">
                  <c:v>10532558.911811184</c:v>
                </c:pt>
                <c:pt idx="3297">
                  <c:v>10535221.824102389</c:v>
                </c:pt>
                <c:pt idx="3298">
                  <c:v>10537884.736393595</c:v>
                </c:pt>
                <c:pt idx="3299">
                  <c:v>10540547.6486848</c:v>
                </c:pt>
                <c:pt idx="3300">
                  <c:v>10543210.560976004</c:v>
                </c:pt>
                <c:pt idx="3301">
                  <c:v>10545873.473267209</c:v>
                </c:pt>
                <c:pt idx="3302">
                  <c:v>10548536.385558413</c:v>
                </c:pt>
                <c:pt idx="3303">
                  <c:v>10551199.297849618</c:v>
                </c:pt>
                <c:pt idx="3304">
                  <c:v>10553862.210140822</c:v>
                </c:pt>
                <c:pt idx="3305">
                  <c:v>10556525.122432029</c:v>
                </c:pt>
                <c:pt idx="3306">
                  <c:v>10559188.034723233</c:v>
                </c:pt>
                <c:pt idx="3307">
                  <c:v>10561850.947014438</c:v>
                </c:pt>
                <c:pt idx="3308">
                  <c:v>10564513.859305643</c:v>
                </c:pt>
                <c:pt idx="3309">
                  <c:v>10567176.771596847</c:v>
                </c:pt>
                <c:pt idx="3310">
                  <c:v>10569839.683888052</c:v>
                </c:pt>
                <c:pt idx="3311">
                  <c:v>10572502.596179258</c:v>
                </c:pt>
                <c:pt idx="3312">
                  <c:v>10575165.508470463</c:v>
                </c:pt>
                <c:pt idx="3313">
                  <c:v>10577828.420761667</c:v>
                </c:pt>
                <c:pt idx="3314">
                  <c:v>10580491.333052872</c:v>
                </c:pt>
                <c:pt idx="3315">
                  <c:v>10583154.245344076</c:v>
                </c:pt>
                <c:pt idx="3316">
                  <c:v>10585817.157635281</c:v>
                </c:pt>
                <c:pt idx="3317">
                  <c:v>10588480.069926487</c:v>
                </c:pt>
                <c:pt idx="3318">
                  <c:v>10591142.982217692</c:v>
                </c:pt>
                <c:pt idx="3319">
                  <c:v>10593805.894508896</c:v>
                </c:pt>
                <c:pt idx="3320">
                  <c:v>10596468.806800101</c:v>
                </c:pt>
                <c:pt idx="3321">
                  <c:v>10599131.719091306</c:v>
                </c:pt>
                <c:pt idx="3322">
                  <c:v>10601794.63138251</c:v>
                </c:pt>
                <c:pt idx="3323">
                  <c:v>10604457.543673715</c:v>
                </c:pt>
                <c:pt idx="3324">
                  <c:v>10607120.455964921</c:v>
                </c:pt>
                <c:pt idx="3325">
                  <c:v>10609783.368256126</c:v>
                </c:pt>
                <c:pt idx="3326">
                  <c:v>10612446.28054733</c:v>
                </c:pt>
                <c:pt idx="3327">
                  <c:v>10615109.192838535</c:v>
                </c:pt>
                <c:pt idx="3328">
                  <c:v>10617772.105129739</c:v>
                </c:pt>
                <c:pt idx="3329">
                  <c:v>10620435.017420944</c:v>
                </c:pt>
                <c:pt idx="3330">
                  <c:v>10623097.92971215</c:v>
                </c:pt>
                <c:pt idx="3331">
                  <c:v>10625760.842003355</c:v>
                </c:pt>
                <c:pt idx="3332">
                  <c:v>10628423.754294559</c:v>
                </c:pt>
                <c:pt idx="3333">
                  <c:v>10631086.666585764</c:v>
                </c:pt>
                <c:pt idx="3334">
                  <c:v>10633749.578876968</c:v>
                </c:pt>
                <c:pt idx="3335">
                  <c:v>10636412.491168173</c:v>
                </c:pt>
                <c:pt idx="3336">
                  <c:v>10639075.403459379</c:v>
                </c:pt>
                <c:pt idx="3337">
                  <c:v>10641738.315750584</c:v>
                </c:pt>
                <c:pt idx="3338">
                  <c:v>10644401.228041789</c:v>
                </c:pt>
                <c:pt idx="3339">
                  <c:v>10647064.140332993</c:v>
                </c:pt>
                <c:pt idx="3340">
                  <c:v>10649727.052624198</c:v>
                </c:pt>
                <c:pt idx="3341">
                  <c:v>10652389.964915402</c:v>
                </c:pt>
                <c:pt idx="3342">
                  <c:v>10655052.877206607</c:v>
                </c:pt>
                <c:pt idx="3343">
                  <c:v>10657715.789497813</c:v>
                </c:pt>
                <c:pt idx="3344">
                  <c:v>10660378.701789018</c:v>
                </c:pt>
                <c:pt idx="3345">
                  <c:v>10663041.614080222</c:v>
                </c:pt>
                <c:pt idx="3346">
                  <c:v>10665704.526371427</c:v>
                </c:pt>
                <c:pt idx="3347">
                  <c:v>10668367.438662631</c:v>
                </c:pt>
                <c:pt idx="3348">
                  <c:v>10671030.350953836</c:v>
                </c:pt>
                <c:pt idx="3349">
                  <c:v>10673693.263245042</c:v>
                </c:pt>
                <c:pt idx="3350">
                  <c:v>10676356.175536247</c:v>
                </c:pt>
                <c:pt idx="3351">
                  <c:v>10679019.087827452</c:v>
                </c:pt>
                <c:pt idx="3352">
                  <c:v>10681682.000118656</c:v>
                </c:pt>
                <c:pt idx="3353">
                  <c:v>10684344.912409861</c:v>
                </c:pt>
                <c:pt idx="3354">
                  <c:v>10687007.824701065</c:v>
                </c:pt>
                <c:pt idx="3355">
                  <c:v>10689670.73699227</c:v>
                </c:pt>
                <c:pt idx="3356">
                  <c:v>10692333.649283476</c:v>
                </c:pt>
                <c:pt idx="3357">
                  <c:v>10694996.561574681</c:v>
                </c:pt>
                <c:pt idx="3358">
                  <c:v>10697659.473865885</c:v>
                </c:pt>
                <c:pt idx="3359">
                  <c:v>10700322.38615709</c:v>
                </c:pt>
                <c:pt idx="3360">
                  <c:v>10702985.298448294</c:v>
                </c:pt>
                <c:pt idx="3361">
                  <c:v>10705648.210739499</c:v>
                </c:pt>
                <c:pt idx="3362">
                  <c:v>10708311.123030705</c:v>
                </c:pt>
                <c:pt idx="3363">
                  <c:v>10710974.03532191</c:v>
                </c:pt>
                <c:pt idx="3364">
                  <c:v>10713636.947613114</c:v>
                </c:pt>
                <c:pt idx="3365">
                  <c:v>10716299.859904319</c:v>
                </c:pt>
                <c:pt idx="3366">
                  <c:v>10718962.772195524</c:v>
                </c:pt>
                <c:pt idx="3367">
                  <c:v>10721625.684486728</c:v>
                </c:pt>
                <c:pt idx="3368">
                  <c:v>10724288.596777935</c:v>
                </c:pt>
                <c:pt idx="3369">
                  <c:v>10726951.509069139</c:v>
                </c:pt>
                <c:pt idx="3370">
                  <c:v>10729614.421360344</c:v>
                </c:pt>
                <c:pt idx="3371">
                  <c:v>10732277.333651548</c:v>
                </c:pt>
                <c:pt idx="3372">
                  <c:v>10734940.245942753</c:v>
                </c:pt>
                <c:pt idx="3373">
                  <c:v>10737603.158233957</c:v>
                </c:pt>
                <c:pt idx="3374">
                  <c:v>10740266.070525162</c:v>
                </c:pt>
                <c:pt idx="3375">
                  <c:v>10742928.982816368</c:v>
                </c:pt>
                <c:pt idx="3376">
                  <c:v>10745591.895107573</c:v>
                </c:pt>
                <c:pt idx="3377">
                  <c:v>10748254.807398777</c:v>
                </c:pt>
                <c:pt idx="3378">
                  <c:v>10750917.719689982</c:v>
                </c:pt>
                <c:pt idx="3379">
                  <c:v>10753580.631981187</c:v>
                </c:pt>
                <c:pt idx="3380">
                  <c:v>10756243.544272391</c:v>
                </c:pt>
                <c:pt idx="3381">
                  <c:v>10758906.456563598</c:v>
                </c:pt>
                <c:pt idx="3382">
                  <c:v>10761569.368854802</c:v>
                </c:pt>
                <c:pt idx="3383">
                  <c:v>10764232.281146007</c:v>
                </c:pt>
                <c:pt idx="3384">
                  <c:v>10766895.193437211</c:v>
                </c:pt>
                <c:pt idx="3385">
                  <c:v>10769558.105728416</c:v>
                </c:pt>
                <c:pt idx="3386">
                  <c:v>10772221.01801962</c:v>
                </c:pt>
                <c:pt idx="3387">
                  <c:v>10774883.930310827</c:v>
                </c:pt>
                <c:pt idx="3388">
                  <c:v>10777546.842602031</c:v>
                </c:pt>
                <c:pt idx="3389">
                  <c:v>10780209.754893236</c:v>
                </c:pt>
                <c:pt idx="3390">
                  <c:v>10782872.66718444</c:v>
                </c:pt>
                <c:pt idx="3391">
                  <c:v>10785535.579475645</c:v>
                </c:pt>
                <c:pt idx="3392">
                  <c:v>10788198.49176685</c:v>
                </c:pt>
                <c:pt idx="3393">
                  <c:v>10790861.404058054</c:v>
                </c:pt>
                <c:pt idx="3394">
                  <c:v>10793524.316349261</c:v>
                </c:pt>
                <c:pt idx="3395">
                  <c:v>10796187.228640465</c:v>
                </c:pt>
                <c:pt idx="3396">
                  <c:v>10798850.14093167</c:v>
                </c:pt>
                <c:pt idx="3397">
                  <c:v>10801513.053222874</c:v>
                </c:pt>
                <c:pt idx="3398">
                  <c:v>10804175.965514079</c:v>
                </c:pt>
                <c:pt idx="3399">
                  <c:v>10806838.877805283</c:v>
                </c:pt>
                <c:pt idx="3400">
                  <c:v>10809501.79009649</c:v>
                </c:pt>
                <c:pt idx="3401">
                  <c:v>10812164.702387694</c:v>
                </c:pt>
                <c:pt idx="3402">
                  <c:v>10814827.614678899</c:v>
                </c:pt>
                <c:pt idx="3403">
                  <c:v>10817490.526970103</c:v>
                </c:pt>
                <c:pt idx="3404">
                  <c:v>10820153.439261308</c:v>
                </c:pt>
                <c:pt idx="3405">
                  <c:v>10822816.351552512</c:v>
                </c:pt>
                <c:pt idx="3406">
                  <c:v>10825479.263843719</c:v>
                </c:pt>
                <c:pt idx="3407">
                  <c:v>10828142.176134923</c:v>
                </c:pt>
                <c:pt idx="3408">
                  <c:v>10830805.088426128</c:v>
                </c:pt>
                <c:pt idx="3409">
                  <c:v>10833468.000717333</c:v>
                </c:pt>
                <c:pt idx="3410">
                  <c:v>10836130.913008537</c:v>
                </c:pt>
                <c:pt idx="3411">
                  <c:v>10838793.825299742</c:v>
                </c:pt>
                <c:pt idx="3412">
                  <c:v>10841456.737590946</c:v>
                </c:pt>
                <c:pt idx="3413">
                  <c:v>10844119.649882153</c:v>
                </c:pt>
                <c:pt idx="3414">
                  <c:v>10846782.562173357</c:v>
                </c:pt>
                <c:pt idx="3415">
                  <c:v>10849445.474464562</c:v>
                </c:pt>
                <c:pt idx="3416">
                  <c:v>10852108.386755766</c:v>
                </c:pt>
                <c:pt idx="3417">
                  <c:v>10854771.299046971</c:v>
                </c:pt>
                <c:pt idx="3418">
                  <c:v>10857434.211338175</c:v>
                </c:pt>
                <c:pt idx="3419">
                  <c:v>10860097.123629382</c:v>
                </c:pt>
                <c:pt idx="3420">
                  <c:v>10862760.035920586</c:v>
                </c:pt>
                <c:pt idx="3421">
                  <c:v>10865422.948211791</c:v>
                </c:pt>
                <c:pt idx="3422">
                  <c:v>10868085.860502996</c:v>
                </c:pt>
                <c:pt idx="3423">
                  <c:v>10870748.7727942</c:v>
                </c:pt>
                <c:pt idx="3424">
                  <c:v>10873411.685085405</c:v>
                </c:pt>
                <c:pt idx="3425">
                  <c:v>10876074.597376611</c:v>
                </c:pt>
                <c:pt idx="3426">
                  <c:v>10878737.509667816</c:v>
                </c:pt>
                <c:pt idx="3427">
                  <c:v>10881400.42195902</c:v>
                </c:pt>
                <c:pt idx="3428">
                  <c:v>10884063.334250225</c:v>
                </c:pt>
                <c:pt idx="3429">
                  <c:v>10886726.246541429</c:v>
                </c:pt>
                <c:pt idx="3430">
                  <c:v>10889389.158832634</c:v>
                </c:pt>
                <c:pt idx="3431">
                  <c:v>10892052.071123838</c:v>
                </c:pt>
                <c:pt idx="3432">
                  <c:v>10894714.983415045</c:v>
                </c:pt>
                <c:pt idx="3433">
                  <c:v>10897377.895706249</c:v>
                </c:pt>
                <c:pt idx="3434">
                  <c:v>10900040.807997454</c:v>
                </c:pt>
                <c:pt idx="3435">
                  <c:v>10902703.720288659</c:v>
                </c:pt>
                <c:pt idx="3436">
                  <c:v>10905366.632579863</c:v>
                </c:pt>
                <c:pt idx="3437">
                  <c:v>10908029.544871068</c:v>
                </c:pt>
                <c:pt idx="3438">
                  <c:v>10910692.457162274</c:v>
                </c:pt>
                <c:pt idx="3439">
                  <c:v>10913355.369453479</c:v>
                </c:pt>
                <c:pt idx="3440">
                  <c:v>10916018.281744683</c:v>
                </c:pt>
                <c:pt idx="3441">
                  <c:v>10918681.194035888</c:v>
                </c:pt>
                <c:pt idx="3442">
                  <c:v>10921344.106327092</c:v>
                </c:pt>
                <c:pt idx="3443">
                  <c:v>10924007.018618297</c:v>
                </c:pt>
                <c:pt idx="3444">
                  <c:v>10926669.930909501</c:v>
                </c:pt>
                <c:pt idx="3445">
                  <c:v>10929332.843200708</c:v>
                </c:pt>
                <c:pt idx="3446">
                  <c:v>10931995.755491912</c:v>
                </c:pt>
                <c:pt idx="3447">
                  <c:v>10934658.667783117</c:v>
                </c:pt>
                <c:pt idx="3448">
                  <c:v>10937321.580074321</c:v>
                </c:pt>
                <c:pt idx="3449">
                  <c:v>10939984.492365526</c:v>
                </c:pt>
                <c:pt idx="3450">
                  <c:v>10942647.404656731</c:v>
                </c:pt>
                <c:pt idx="3451">
                  <c:v>10945310.316947937</c:v>
                </c:pt>
                <c:pt idx="3452">
                  <c:v>10947973.229239142</c:v>
                </c:pt>
                <c:pt idx="3453">
                  <c:v>10950636.141530346</c:v>
                </c:pt>
                <c:pt idx="3454">
                  <c:v>10953299.053821551</c:v>
                </c:pt>
                <c:pt idx="3455">
                  <c:v>10955961.966112755</c:v>
                </c:pt>
                <c:pt idx="3456">
                  <c:v>10958624.87840396</c:v>
                </c:pt>
                <c:pt idx="3457">
                  <c:v>10961287.790695166</c:v>
                </c:pt>
                <c:pt idx="3458">
                  <c:v>10963950.702986371</c:v>
                </c:pt>
                <c:pt idx="3459">
                  <c:v>10966613.615277575</c:v>
                </c:pt>
                <c:pt idx="3460">
                  <c:v>10969276.52756878</c:v>
                </c:pt>
                <c:pt idx="3461">
                  <c:v>10971939.439859984</c:v>
                </c:pt>
                <c:pt idx="3462">
                  <c:v>10974602.352151189</c:v>
                </c:pt>
                <c:pt idx="3463">
                  <c:v>10977265.264442394</c:v>
                </c:pt>
                <c:pt idx="3464">
                  <c:v>10979928.1767336</c:v>
                </c:pt>
                <c:pt idx="3465">
                  <c:v>10982591.089024805</c:v>
                </c:pt>
                <c:pt idx="3466">
                  <c:v>10985254.001316009</c:v>
                </c:pt>
                <c:pt idx="3467">
                  <c:v>10987916.913607214</c:v>
                </c:pt>
                <c:pt idx="3468">
                  <c:v>10990579.825898418</c:v>
                </c:pt>
                <c:pt idx="3469">
                  <c:v>10993242.738189623</c:v>
                </c:pt>
                <c:pt idx="3470">
                  <c:v>10995905.650480829</c:v>
                </c:pt>
                <c:pt idx="3471">
                  <c:v>10998568.562772034</c:v>
                </c:pt>
                <c:pt idx="3472">
                  <c:v>11001231.475063238</c:v>
                </c:pt>
                <c:pt idx="3473">
                  <c:v>11003894.387354443</c:v>
                </c:pt>
                <c:pt idx="3474">
                  <c:v>11006557.299645647</c:v>
                </c:pt>
                <c:pt idx="3475">
                  <c:v>11009220.211936852</c:v>
                </c:pt>
                <c:pt idx="3476">
                  <c:v>11011883.124228058</c:v>
                </c:pt>
                <c:pt idx="3477">
                  <c:v>11014546.036519263</c:v>
                </c:pt>
                <c:pt idx="3478">
                  <c:v>11017208.948810467</c:v>
                </c:pt>
                <c:pt idx="3479">
                  <c:v>11019871.861101672</c:v>
                </c:pt>
                <c:pt idx="3480">
                  <c:v>11022534.773392877</c:v>
                </c:pt>
                <c:pt idx="3481">
                  <c:v>11025197.685684081</c:v>
                </c:pt>
                <c:pt idx="3482">
                  <c:v>11027860.597975286</c:v>
                </c:pt>
                <c:pt idx="3483">
                  <c:v>11030523.510266492</c:v>
                </c:pt>
                <c:pt idx="3484">
                  <c:v>11033186.422557697</c:v>
                </c:pt>
                <c:pt idx="3485">
                  <c:v>11035849.334848901</c:v>
                </c:pt>
                <c:pt idx="3486">
                  <c:v>11038512.247140106</c:v>
                </c:pt>
                <c:pt idx="3487">
                  <c:v>11041175.15943131</c:v>
                </c:pt>
                <c:pt idx="3488">
                  <c:v>11043838.071722515</c:v>
                </c:pt>
                <c:pt idx="3489">
                  <c:v>11046500.984013721</c:v>
                </c:pt>
                <c:pt idx="3490">
                  <c:v>11049163.896304926</c:v>
                </c:pt>
                <c:pt idx="3491">
                  <c:v>11051826.80859613</c:v>
                </c:pt>
                <c:pt idx="3492">
                  <c:v>11054489.720887335</c:v>
                </c:pt>
                <c:pt idx="3493">
                  <c:v>11057152.63317854</c:v>
                </c:pt>
                <c:pt idx="3494">
                  <c:v>11059815.545469744</c:v>
                </c:pt>
                <c:pt idx="3495">
                  <c:v>11062478.457760951</c:v>
                </c:pt>
                <c:pt idx="3496">
                  <c:v>11065141.370052155</c:v>
                </c:pt>
                <c:pt idx="3497">
                  <c:v>11067804.28234336</c:v>
                </c:pt>
                <c:pt idx="3498">
                  <c:v>11070467.194634564</c:v>
                </c:pt>
                <c:pt idx="3499">
                  <c:v>11073130.106925769</c:v>
                </c:pt>
                <c:pt idx="3500">
                  <c:v>11075793.019216973</c:v>
                </c:pt>
                <c:pt idx="3501">
                  <c:v>11078455.931508178</c:v>
                </c:pt>
                <c:pt idx="3502">
                  <c:v>11081118.843799384</c:v>
                </c:pt>
                <c:pt idx="3503">
                  <c:v>11083781.756090589</c:v>
                </c:pt>
                <c:pt idx="3504">
                  <c:v>11086444.668381793</c:v>
                </c:pt>
                <c:pt idx="3505">
                  <c:v>11089107.580672998</c:v>
                </c:pt>
                <c:pt idx="3506">
                  <c:v>11091770.492964203</c:v>
                </c:pt>
                <c:pt idx="3507">
                  <c:v>11094433.405255407</c:v>
                </c:pt>
                <c:pt idx="3508">
                  <c:v>11097096.317546614</c:v>
                </c:pt>
                <c:pt idx="3509">
                  <c:v>11099759.229837818</c:v>
                </c:pt>
                <c:pt idx="3510">
                  <c:v>11102422.142129023</c:v>
                </c:pt>
                <c:pt idx="3511">
                  <c:v>11105085.054420227</c:v>
                </c:pt>
                <c:pt idx="3512">
                  <c:v>11107747.966711432</c:v>
                </c:pt>
                <c:pt idx="3513">
                  <c:v>11110410.879002636</c:v>
                </c:pt>
                <c:pt idx="3514">
                  <c:v>11113073.791293841</c:v>
                </c:pt>
                <c:pt idx="3515">
                  <c:v>11115736.703585047</c:v>
                </c:pt>
                <c:pt idx="3516">
                  <c:v>11118399.615876252</c:v>
                </c:pt>
                <c:pt idx="3517">
                  <c:v>11121062.528167456</c:v>
                </c:pt>
                <c:pt idx="3518">
                  <c:v>11123725.440458661</c:v>
                </c:pt>
                <c:pt idx="3519">
                  <c:v>11126388.352749866</c:v>
                </c:pt>
                <c:pt idx="3520">
                  <c:v>11129051.26504107</c:v>
                </c:pt>
                <c:pt idx="3521">
                  <c:v>11131714.177332276</c:v>
                </c:pt>
                <c:pt idx="3522">
                  <c:v>11134377.089623481</c:v>
                </c:pt>
                <c:pt idx="3523">
                  <c:v>11137040.001914686</c:v>
                </c:pt>
                <c:pt idx="3524">
                  <c:v>11139702.91420589</c:v>
                </c:pt>
                <c:pt idx="3525">
                  <c:v>11142365.826497095</c:v>
                </c:pt>
                <c:pt idx="3526">
                  <c:v>11145028.738788299</c:v>
                </c:pt>
                <c:pt idx="3527">
                  <c:v>11147691.651079506</c:v>
                </c:pt>
                <c:pt idx="3528">
                  <c:v>11150354.56337071</c:v>
                </c:pt>
                <c:pt idx="3529">
                  <c:v>11153017.475661915</c:v>
                </c:pt>
                <c:pt idx="3530">
                  <c:v>11155680.387953119</c:v>
                </c:pt>
                <c:pt idx="3531">
                  <c:v>11158343.300244324</c:v>
                </c:pt>
                <c:pt idx="3532">
                  <c:v>11161006.212535528</c:v>
                </c:pt>
                <c:pt idx="3533">
                  <c:v>11163669.124826733</c:v>
                </c:pt>
                <c:pt idx="3534">
                  <c:v>11166332.037117939</c:v>
                </c:pt>
                <c:pt idx="3535">
                  <c:v>11168994.949409144</c:v>
                </c:pt>
                <c:pt idx="3536">
                  <c:v>11171657.861700349</c:v>
                </c:pt>
                <c:pt idx="3537">
                  <c:v>11174320.773991553</c:v>
                </c:pt>
                <c:pt idx="3538">
                  <c:v>11176983.686282758</c:v>
                </c:pt>
                <c:pt idx="3539">
                  <c:v>11179646.598573962</c:v>
                </c:pt>
                <c:pt idx="3540">
                  <c:v>11182309.510865169</c:v>
                </c:pt>
                <c:pt idx="3541">
                  <c:v>11184972.423156373</c:v>
                </c:pt>
                <c:pt idx="3542">
                  <c:v>11187635.335447578</c:v>
                </c:pt>
                <c:pt idx="3543">
                  <c:v>11190298.247738782</c:v>
                </c:pt>
                <c:pt idx="3544">
                  <c:v>11192961.160029987</c:v>
                </c:pt>
                <c:pt idx="3545">
                  <c:v>11195624.072321191</c:v>
                </c:pt>
                <c:pt idx="3546">
                  <c:v>11198286.984612398</c:v>
                </c:pt>
                <c:pt idx="3547">
                  <c:v>11200949.896903602</c:v>
                </c:pt>
                <c:pt idx="3548">
                  <c:v>11203612.809194807</c:v>
                </c:pt>
                <c:pt idx="3549">
                  <c:v>11206275.721486012</c:v>
                </c:pt>
                <c:pt idx="3550">
                  <c:v>11208938.633777216</c:v>
                </c:pt>
                <c:pt idx="3551">
                  <c:v>11211601.546068421</c:v>
                </c:pt>
                <c:pt idx="3552">
                  <c:v>11214264.458359625</c:v>
                </c:pt>
                <c:pt idx="3553">
                  <c:v>11216927.370650832</c:v>
                </c:pt>
                <c:pt idx="3554">
                  <c:v>11219590.282942036</c:v>
                </c:pt>
                <c:pt idx="3555">
                  <c:v>11222253.195233241</c:v>
                </c:pt>
                <c:pt idx="3556">
                  <c:v>11224916.107524445</c:v>
                </c:pt>
                <c:pt idx="3557">
                  <c:v>11227579.01981565</c:v>
                </c:pt>
                <c:pt idx="3558">
                  <c:v>11230241.932106854</c:v>
                </c:pt>
                <c:pt idx="3559">
                  <c:v>11232904.844398061</c:v>
                </c:pt>
                <c:pt idx="3560">
                  <c:v>11235567.756689265</c:v>
                </c:pt>
                <c:pt idx="3561">
                  <c:v>11238230.66898047</c:v>
                </c:pt>
                <c:pt idx="3562">
                  <c:v>11240893.581271674</c:v>
                </c:pt>
                <c:pt idx="3563">
                  <c:v>11243556.493562879</c:v>
                </c:pt>
                <c:pt idx="3564">
                  <c:v>11246219.405854084</c:v>
                </c:pt>
                <c:pt idx="3565">
                  <c:v>11248882.31814529</c:v>
                </c:pt>
                <c:pt idx="3566">
                  <c:v>11251545.230436495</c:v>
                </c:pt>
                <c:pt idx="3567">
                  <c:v>11254208.142727699</c:v>
                </c:pt>
                <c:pt idx="3568">
                  <c:v>11256871.055018904</c:v>
                </c:pt>
                <c:pt idx="3569">
                  <c:v>11259533.967310108</c:v>
                </c:pt>
                <c:pt idx="3570">
                  <c:v>11262196.879601313</c:v>
                </c:pt>
                <c:pt idx="3571">
                  <c:v>11264859.791892517</c:v>
                </c:pt>
                <c:pt idx="3572">
                  <c:v>11267522.704183724</c:v>
                </c:pt>
                <c:pt idx="3573">
                  <c:v>11270185.616474928</c:v>
                </c:pt>
                <c:pt idx="3574">
                  <c:v>11272848.528766133</c:v>
                </c:pt>
                <c:pt idx="3575">
                  <c:v>11275511.441057337</c:v>
                </c:pt>
                <c:pt idx="3576">
                  <c:v>11278174.353348542</c:v>
                </c:pt>
                <c:pt idx="3577">
                  <c:v>11280837.265639747</c:v>
                </c:pt>
                <c:pt idx="3578">
                  <c:v>11283500.177930953</c:v>
                </c:pt>
                <c:pt idx="3579">
                  <c:v>11286163.090222158</c:v>
                </c:pt>
                <c:pt idx="3580">
                  <c:v>11288826.002513362</c:v>
                </c:pt>
                <c:pt idx="3581">
                  <c:v>11291488.914804567</c:v>
                </c:pt>
                <c:pt idx="3582">
                  <c:v>11294151.827095771</c:v>
                </c:pt>
                <c:pt idx="3583">
                  <c:v>11296814.739386976</c:v>
                </c:pt>
                <c:pt idx="3584">
                  <c:v>11299477.651678182</c:v>
                </c:pt>
                <c:pt idx="3585">
                  <c:v>11302140.563969387</c:v>
                </c:pt>
                <c:pt idx="3586">
                  <c:v>11304803.476260591</c:v>
                </c:pt>
                <c:pt idx="3587">
                  <c:v>11307466.388551796</c:v>
                </c:pt>
                <c:pt idx="3588">
                  <c:v>11310129.300843</c:v>
                </c:pt>
                <c:pt idx="3589">
                  <c:v>11312792.213134205</c:v>
                </c:pt>
                <c:pt idx="3590">
                  <c:v>11315455.12542541</c:v>
                </c:pt>
                <c:pt idx="3591">
                  <c:v>11318118.037716616</c:v>
                </c:pt>
                <c:pt idx="3592">
                  <c:v>11320780.950007821</c:v>
                </c:pt>
                <c:pt idx="3593">
                  <c:v>11323443.862299025</c:v>
                </c:pt>
                <c:pt idx="3594">
                  <c:v>11326106.77459023</c:v>
                </c:pt>
                <c:pt idx="3595">
                  <c:v>11328769.686881434</c:v>
                </c:pt>
                <c:pt idx="3596">
                  <c:v>11331432.599172639</c:v>
                </c:pt>
                <c:pt idx="3597">
                  <c:v>11334095.511463845</c:v>
                </c:pt>
                <c:pt idx="3598">
                  <c:v>11336758.42375505</c:v>
                </c:pt>
                <c:pt idx="3599">
                  <c:v>11339421.336046254</c:v>
                </c:pt>
                <c:pt idx="3600">
                  <c:v>11342084.248337459</c:v>
                </c:pt>
                <c:pt idx="3601">
                  <c:v>11344747.160628663</c:v>
                </c:pt>
                <c:pt idx="3602">
                  <c:v>11347410.072919868</c:v>
                </c:pt>
                <c:pt idx="3603">
                  <c:v>11350072.985211072</c:v>
                </c:pt>
                <c:pt idx="3604">
                  <c:v>11352735.897502279</c:v>
                </c:pt>
                <c:pt idx="3605">
                  <c:v>11355398.809793483</c:v>
                </c:pt>
                <c:pt idx="3606">
                  <c:v>11358061.722084688</c:v>
                </c:pt>
                <c:pt idx="3607">
                  <c:v>11360724.634375893</c:v>
                </c:pt>
                <c:pt idx="3608">
                  <c:v>11363387.546667097</c:v>
                </c:pt>
                <c:pt idx="3609">
                  <c:v>11366050.458958302</c:v>
                </c:pt>
                <c:pt idx="3610">
                  <c:v>11368713.371249508</c:v>
                </c:pt>
                <c:pt idx="3611">
                  <c:v>11371376.283540713</c:v>
                </c:pt>
                <c:pt idx="3612">
                  <c:v>11374039.195831917</c:v>
                </c:pt>
                <c:pt idx="3613">
                  <c:v>11376702.108123122</c:v>
                </c:pt>
                <c:pt idx="3614">
                  <c:v>11379365.020414326</c:v>
                </c:pt>
                <c:pt idx="3615">
                  <c:v>11382027.932705531</c:v>
                </c:pt>
                <c:pt idx="3616">
                  <c:v>11384690.844996737</c:v>
                </c:pt>
                <c:pt idx="3617">
                  <c:v>11387353.757287942</c:v>
                </c:pt>
                <c:pt idx="3618">
                  <c:v>11390016.669579146</c:v>
                </c:pt>
                <c:pt idx="3619">
                  <c:v>11392679.581870351</c:v>
                </c:pt>
                <c:pt idx="3620">
                  <c:v>11395342.494161556</c:v>
                </c:pt>
                <c:pt idx="3621">
                  <c:v>11398005.40645276</c:v>
                </c:pt>
                <c:pt idx="3622">
                  <c:v>11400668.318743965</c:v>
                </c:pt>
                <c:pt idx="3623">
                  <c:v>11403331.231035171</c:v>
                </c:pt>
                <c:pt idx="3624">
                  <c:v>11405994.143326376</c:v>
                </c:pt>
                <c:pt idx="3625">
                  <c:v>11408657.05561758</c:v>
                </c:pt>
                <c:pt idx="3626">
                  <c:v>11411319.967908785</c:v>
                </c:pt>
                <c:pt idx="3627">
                  <c:v>11413982.880199989</c:v>
                </c:pt>
                <c:pt idx="3628">
                  <c:v>11416645.792491194</c:v>
                </c:pt>
                <c:pt idx="3629">
                  <c:v>11419308.7047824</c:v>
                </c:pt>
                <c:pt idx="3630">
                  <c:v>11421971.617073605</c:v>
                </c:pt>
                <c:pt idx="3631">
                  <c:v>11424634.529364809</c:v>
                </c:pt>
                <c:pt idx="3632">
                  <c:v>11427297.441656014</c:v>
                </c:pt>
                <c:pt idx="3633">
                  <c:v>11429960.353947219</c:v>
                </c:pt>
                <c:pt idx="3634">
                  <c:v>11432623.266238423</c:v>
                </c:pt>
                <c:pt idx="3635">
                  <c:v>11435286.178529629</c:v>
                </c:pt>
                <c:pt idx="3636">
                  <c:v>11437949.090820834</c:v>
                </c:pt>
                <c:pt idx="3637">
                  <c:v>11440612.003112039</c:v>
                </c:pt>
                <c:pt idx="3638">
                  <c:v>11443274.915403243</c:v>
                </c:pt>
                <c:pt idx="3639">
                  <c:v>11445937.827694448</c:v>
                </c:pt>
                <c:pt idx="3640">
                  <c:v>11448600.739985652</c:v>
                </c:pt>
                <c:pt idx="3641">
                  <c:v>11451263.652276857</c:v>
                </c:pt>
                <c:pt idx="3642">
                  <c:v>11453926.564568063</c:v>
                </c:pt>
                <c:pt idx="3643">
                  <c:v>11456589.476859268</c:v>
                </c:pt>
                <c:pt idx="3644">
                  <c:v>11459252.389150472</c:v>
                </c:pt>
                <c:pt idx="3645">
                  <c:v>11461915.301441677</c:v>
                </c:pt>
                <c:pt idx="3646">
                  <c:v>11464578.213732881</c:v>
                </c:pt>
                <c:pt idx="3647">
                  <c:v>11467241.126024086</c:v>
                </c:pt>
                <c:pt idx="3648">
                  <c:v>11469904.038315292</c:v>
                </c:pt>
                <c:pt idx="3649">
                  <c:v>11472566.950606497</c:v>
                </c:pt>
                <c:pt idx="3650">
                  <c:v>11475229.862897702</c:v>
                </c:pt>
                <c:pt idx="3651">
                  <c:v>11477892.775188906</c:v>
                </c:pt>
                <c:pt idx="3652">
                  <c:v>11480555.687480111</c:v>
                </c:pt>
                <c:pt idx="3653">
                  <c:v>11483218.599771315</c:v>
                </c:pt>
                <c:pt idx="3654">
                  <c:v>11485881.512062522</c:v>
                </c:pt>
                <c:pt idx="3655">
                  <c:v>11488544.424353726</c:v>
                </c:pt>
                <c:pt idx="3656">
                  <c:v>11491207.336644931</c:v>
                </c:pt>
                <c:pt idx="3657">
                  <c:v>11493870.248936135</c:v>
                </c:pt>
                <c:pt idx="3658">
                  <c:v>11496533.16122734</c:v>
                </c:pt>
                <c:pt idx="3659">
                  <c:v>11499196.073518544</c:v>
                </c:pt>
                <c:pt idx="3660">
                  <c:v>11501858.985809749</c:v>
                </c:pt>
                <c:pt idx="3661">
                  <c:v>11504521.898100955</c:v>
                </c:pt>
                <c:pt idx="3662">
                  <c:v>11507184.81039216</c:v>
                </c:pt>
                <c:pt idx="3663">
                  <c:v>11509847.722683365</c:v>
                </c:pt>
                <c:pt idx="3664">
                  <c:v>11512510.634974569</c:v>
                </c:pt>
                <c:pt idx="3665">
                  <c:v>11515173.547265774</c:v>
                </c:pt>
                <c:pt idx="3666">
                  <c:v>11517836.459556978</c:v>
                </c:pt>
                <c:pt idx="3667">
                  <c:v>11520499.371848185</c:v>
                </c:pt>
                <c:pt idx="3668">
                  <c:v>11523162.284139389</c:v>
                </c:pt>
                <c:pt idx="3669">
                  <c:v>11525825.196430594</c:v>
                </c:pt>
                <c:pt idx="3670">
                  <c:v>11528488.108721798</c:v>
                </c:pt>
                <c:pt idx="3671">
                  <c:v>11531151.021013003</c:v>
                </c:pt>
                <c:pt idx="3672">
                  <c:v>11533813.933304207</c:v>
                </c:pt>
                <c:pt idx="3673">
                  <c:v>11536476.845595412</c:v>
                </c:pt>
                <c:pt idx="3674">
                  <c:v>11539139.757886618</c:v>
                </c:pt>
                <c:pt idx="3675">
                  <c:v>11541802.670177823</c:v>
                </c:pt>
                <c:pt idx="3676">
                  <c:v>11544465.582469027</c:v>
                </c:pt>
                <c:pt idx="3677">
                  <c:v>11547128.494760232</c:v>
                </c:pt>
                <c:pt idx="3678">
                  <c:v>11549791.407051437</c:v>
                </c:pt>
                <c:pt idx="3679">
                  <c:v>11552454.319342641</c:v>
                </c:pt>
                <c:pt idx="3680">
                  <c:v>11555117.231633848</c:v>
                </c:pt>
                <c:pt idx="3681">
                  <c:v>11557780.143925052</c:v>
                </c:pt>
                <c:pt idx="3682">
                  <c:v>11560443.056216257</c:v>
                </c:pt>
                <c:pt idx="3683">
                  <c:v>11563105.968507461</c:v>
                </c:pt>
                <c:pt idx="3684">
                  <c:v>11565768.880798666</c:v>
                </c:pt>
                <c:pt idx="3685">
                  <c:v>11568431.79308987</c:v>
                </c:pt>
                <c:pt idx="3686">
                  <c:v>11571094.705381077</c:v>
                </c:pt>
                <c:pt idx="3687">
                  <c:v>11573757.617672281</c:v>
                </c:pt>
                <c:pt idx="3688">
                  <c:v>11576420.529963486</c:v>
                </c:pt>
                <c:pt idx="3689">
                  <c:v>11579083.44225469</c:v>
                </c:pt>
                <c:pt idx="3690">
                  <c:v>11581746.354545895</c:v>
                </c:pt>
                <c:pt idx="3691">
                  <c:v>11584409.2668371</c:v>
                </c:pt>
                <c:pt idx="3692">
                  <c:v>11587072.179128304</c:v>
                </c:pt>
                <c:pt idx="3693">
                  <c:v>11589735.091419511</c:v>
                </c:pt>
                <c:pt idx="3694">
                  <c:v>11592398.003710715</c:v>
                </c:pt>
                <c:pt idx="3695">
                  <c:v>11595060.91600192</c:v>
                </c:pt>
                <c:pt idx="3696">
                  <c:v>11597723.828293124</c:v>
                </c:pt>
                <c:pt idx="3697">
                  <c:v>11600386.740584329</c:v>
                </c:pt>
                <c:pt idx="3698">
                  <c:v>11603049.652875533</c:v>
                </c:pt>
                <c:pt idx="3699">
                  <c:v>11605712.56516674</c:v>
                </c:pt>
                <c:pt idx="3700">
                  <c:v>11608375.477457944</c:v>
                </c:pt>
                <c:pt idx="3701">
                  <c:v>11611038.389749149</c:v>
                </c:pt>
                <c:pt idx="3702">
                  <c:v>11613701.302040353</c:v>
                </c:pt>
                <c:pt idx="3703">
                  <c:v>11616364.214331558</c:v>
                </c:pt>
                <c:pt idx="3704">
                  <c:v>11619027.126622763</c:v>
                </c:pt>
                <c:pt idx="3705">
                  <c:v>11621690.038913969</c:v>
                </c:pt>
                <c:pt idx="3706">
                  <c:v>11624352.951205174</c:v>
                </c:pt>
                <c:pt idx="3707">
                  <c:v>11627015.863496378</c:v>
                </c:pt>
                <c:pt idx="3708">
                  <c:v>11629678.775787583</c:v>
                </c:pt>
                <c:pt idx="3709">
                  <c:v>11632341.688078787</c:v>
                </c:pt>
                <c:pt idx="3710">
                  <c:v>11635004.600369992</c:v>
                </c:pt>
                <c:pt idx="3711">
                  <c:v>11637667.512661196</c:v>
                </c:pt>
                <c:pt idx="3712">
                  <c:v>11640330.424952403</c:v>
                </c:pt>
                <c:pt idx="3713">
                  <c:v>11642993.337243607</c:v>
                </c:pt>
                <c:pt idx="3714">
                  <c:v>11645656.249534812</c:v>
                </c:pt>
                <c:pt idx="3715">
                  <c:v>11648319.161826016</c:v>
                </c:pt>
                <c:pt idx="3716">
                  <c:v>11650982.074117221</c:v>
                </c:pt>
                <c:pt idx="3717">
                  <c:v>11653644.986408425</c:v>
                </c:pt>
                <c:pt idx="3718">
                  <c:v>11656307.898699632</c:v>
                </c:pt>
                <c:pt idx="3719">
                  <c:v>11658970.810990836</c:v>
                </c:pt>
                <c:pt idx="3720">
                  <c:v>11661633.723282041</c:v>
                </c:pt>
                <c:pt idx="3721">
                  <c:v>11664296.635573246</c:v>
                </c:pt>
                <c:pt idx="3722">
                  <c:v>11666959.54786445</c:v>
                </c:pt>
                <c:pt idx="3723">
                  <c:v>11669622.460155655</c:v>
                </c:pt>
                <c:pt idx="3724">
                  <c:v>11672285.372446861</c:v>
                </c:pt>
                <c:pt idx="3725">
                  <c:v>11674948.284738066</c:v>
                </c:pt>
                <c:pt idx="3726">
                  <c:v>11677611.19702927</c:v>
                </c:pt>
                <c:pt idx="3727">
                  <c:v>11680274.109320475</c:v>
                </c:pt>
                <c:pt idx="3728">
                  <c:v>11682937.021611679</c:v>
                </c:pt>
                <c:pt idx="3729">
                  <c:v>11685599.933902884</c:v>
                </c:pt>
                <c:pt idx="3730">
                  <c:v>11688262.846194088</c:v>
                </c:pt>
                <c:pt idx="3731">
                  <c:v>11690925.758485295</c:v>
                </c:pt>
                <c:pt idx="3732">
                  <c:v>11693588.670776499</c:v>
                </c:pt>
                <c:pt idx="3733">
                  <c:v>11696251.583067704</c:v>
                </c:pt>
                <c:pt idx="3734">
                  <c:v>11698914.495358909</c:v>
                </c:pt>
                <c:pt idx="3735">
                  <c:v>11701577.407650113</c:v>
                </c:pt>
                <c:pt idx="3736">
                  <c:v>11704240.319941318</c:v>
                </c:pt>
                <c:pt idx="3737">
                  <c:v>11706903.232232524</c:v>
                </c:pt>
                <c:pt idx="3738">
                  <c:v>11709566.144523729</c:v>
                </c:pt>
                <c:pt idx="3739">
                  <c:v>11712229.056814933</c:v>
                </c:pt>
                <c:pt idx="3740">
                  <c:v>11714891.969106138</c:v>
                </c:pt>
                <c:pt idx="3741">
                  <c:v>11717554.881397342</c:v>
                </c:pt>
                <c:pt idx="3742">
                  <c:v>11720217.793688547</c:v>
                </c:pt>
                <c:pt idx="3743">
                  <c:v>11722880.705979751</c:v>
                </c:pt>
                <c:pt idx="3744">
                  <c:v>11725543.618270958</c:v>
                </c:pt>
                <c:pt idx="3745">
                  <c:v>11728206.530562162</c:v>
                </c:pt>
                <c:pt idx="3746">
                  <c:v>11730869.442853367</c:v>
                </c:pt>
                <c:pt idx="3747">
                  <c:v>11733532.355144572</c:v>
                </c:pt>
                <c:pt idx="3748">
                  <c:v>11736195.267435776</c:v>
                </c:pt>
                <c:pt idx="3749">
                  <c:v>11738858.179726981</c:v>
                </c:pt>
                <c:pt idx="3750">
                  <c:v>11741521.092018187</c:v>
                </c:pt>
                <c:pt idx="3751">
                  <c:v>11744184.004309392</c:v>
                </c:pt>
                <c:pt idx="3752">
                  <c:v>11746846.916600596</c:v>
                </c:pt>
                <c:pt idx="3753">
                  <c:v>11749509.828891801</c:v>
                </c:pt>
                <c:pt idx="3754">
                  <c:v>11752172.741183005</c:v>
                </c:pt>
                <c:pt idx="3755">
                  <c:v>11754835.65347421</c:v>
                </c:pt>
                <c:pt idx="3756">
                  <c:v>11757498.565765416</c:v>
                </c:pt>
                <c:pt idx="3757">
                  <c:v>11760161.478056621</c:v>
                </c:pt>
                <c:pt idx="3758">
                  <c:v>11762824.390347825</c:v>
                </c:pt>
                <c:pt idx="3759">
                  <c:v>11765487.30263903</c:v>
                </c:pt>
                <c:pt idx="3760">
                  <c:v>11768150.214930234</c:v>
                </c:pt>
                <c:pt idx="3761">
                  <c:v>11770813.127221439</c:v>
                </c:pt>
                <c:pt idx="3762">
                  <c:v>11773476.039512644</c:v>
                </c:pt>
                <c:pt idx="3763">
                  <c:v>11776138.95180385</c:v>
                </c:pt>
                <c:pt idx="3764">
                  <c:v>11778801.864095055</c:v>
                </c:pt>
                <c:pt idx="3765">
                  <c:v>11781464.776386259</c:v>
                </c:pt>
                <c:pt idx="3766">
                  <c:v>11784127.688677464</c:v>
                </c:pt>
                <c:pt idx="3767">
                  <c:v>11786790.600968668</c:v>
                </c:pt>
                <c:pt idx="3768">
                  <c:v>11789453.513259873</c:v>
                </c:pt>
                <c:pt idx="3769">
                  <c:v>11792116.425551079</c:v>
                </c:pt>
                <c:pt idx="3770">
                  <c:v>11794779.337842284</c:v>
                </c:pt>
                <c:pt idx="3771">
                  <c:v>11797442.250133488</c:v>
                </c:pt>
                <c:pt idx="3772">
                  <c:v>11800105.162424693</c:v>
                </c:pt>
                <c:pt idx="3773">
                  <c:v>11802768.074715897</c:v>
                </c:pt>
                <c:pt idx="3774">
                  <c:v>11805430.987007102</c:v>
                </c:pt>
                <c:pt idx="3775">
                  <c:v>11808093.899298308</c:v>
                </c:pt>
                <c:pt idx="3776">
                  <c:v>11810756.811589513</c:v>
                </c:pt>
                <c:pt idx="3777">
                  <c:v>11813419.723880718</c:v>
                </c:pt>
                <c:pt idx="3778">
                  <c:v>11816082.636171922</c:v>
                </c:pt>
                <c:pt idx="3779">
                  <c:v>11818745.548463127</c:v>
                </c:pt>
                <c:pt idx="3780">
                  <c:v>11821408.460754331</c:v>
                </c:pt>
                <c:pt idx="3781">
                  <c:v>11824071.373045536</c:v>
                </c:pt>
                <c:pt idx="3782">
                  <c:v>11826734.285336742</c:v>
                </c:pt>
                <c:pt idx="3783">
                  <c:v>11829397.197627947</c:v>
                </c:pt>
                <c:pt idx="3784">
                  <c:v>11832060.109919151</c:v>
                </c:pt>
                <c:pt idx="3785">
                  <c:v>11834723.022210356</c:v>
                </c:pt>
                <c:pt idx="3786">
                  <c:v>11837385.93450156</c:v>
                </c:pt>
                <c:pt idx="3787">
                  <c:v>11840048.846792765</c:v>
                </c:pt>
                <c:pt idx="3788">
                  <c:v>11842711.759083971</c:v>
                </c:pt>
                <c:pt idx="3789">
                  <c:v>11845374.671375176</c:v>
                </c:pt>
                <c:pt idx="3790">
                  <c:v>11848037.58366638</c:v>
                </c:pt>
                <c:pt idx="3791">
                  <c:v>11850700.495957585</c:v>
                </c:pt>
                <c:pt idx="3792">
                  <c:v>11853363.40824879</c:v>
                </c:pt>
                <c:pt idx="3793">
                  <c:v>11856026.320539994</c:v>
                </c:pt>
                <c:pt idx="3794">
                  <c:v>11858689.232831201</c:v>
                </c:pt>
                <c:pt idx="3795">
                  <c:v>11861352.145122405</c:v>
                </c:pt>
                <c:pt idx="3796">
                  <c:v>11864015.05741361</c:v>
                </c:pt>
                <c:pt idx="3797">
                  <c:v>11866677.969704814</c:v>
                </c:pt>
                <c:pt idx="3798">
                  <c:v>11869340.881996019</c:v>
                </c:pt>
                <c:pt idx="3799">
                  <c:v>11872003.794287223</c:v>
                </c:pt>
                <c:pt idx="3800">
                  <c:v>11874666.706578428</c:v>
                </c:pt>
                <c:pt idx="3801">
                  <c:v>11877329.618869634</c:v>
                </c:pt>
                <c:pt idx="3802">
                  <c:v>11879992.531160839</c:v>
                </c:pt>
                <c:pt idx="3803">
                  <c:v>11882655.443452043</c:v>
                </c:pt>
                <c:pt idx="3804">
                  <c:v>11885318.355743248</c:v>
                </c:pt>
                <c:pt idx="3805">
                  <c:v>11887981.268034453</c:v>
                </c:pt>
                <c:pt idx="3806">
                  <c:v>11890644.180325657</c:v>
                </c:pt>
                <c:pt idx="3807">
                  <c:v>11893307.092616864</c:v>
                </c:pt>
                <c:pt idx="3808">
                  <c:v>11895970.004908068</c:v>
                </c:pt>
                <c:pt idx="3809">
                  <c:v>11898632.917199273</c:v>
                </c:pt>
                <c:pt idx="3810">
                  <c:v>11901295.829490477</c:v>
                </c:pt>
                <c:pt idx="3811">
                  <c:v>11903958.741781682</c:v>
                </c:pt>
                <c:pt idx="3812">
                  <c:v>11906621.654072886</c:v>
                </c:pt>
                <c:pt idx="3813">
                  <c:v>11909284.566364093</c:v>
                </c:pt>
                <c:pt idx="3814">
                  <c:v>11911947.478655297</c:v>
                </c:pt>
                <c:pt idx="3815">
                  <c:v>11914610.390946502</c:v>
                </c:pt>
                <c:pt idx="3816">
                  <c:v>11917273.303237706</c:v>
                </c:pt>
                <c:pt idx="3817">
                  <c:v>11919936.215528911</c:v>
                </c:pt>
                <c:pt idx="3818">
                  <c:v>11922599.127820116</c:v>
                </c:pt>
                <c:pt idx="3819">
                  <c:v>11925262.04011132</c:v>
                </c:pt>
                <c:pt idx="3820">
                  <c:v>11927924.952402527</c:v>
                </c:pt>
                <c:pt idx="3821">
                  <c:v>11930587.864693731</c:v>
                </c:pt>
                <c:pt idx="3822">
                  <c:v>11933250.776984936</c:v>
                </c:pt>
                <c:pt idx="3823">
                  <c:v>11935913.68927614</c:v>
                </c:pt>
                <c:pt idx="3824">
                  <c:v>11938576.601567345</c:v>
                </c:pt>
                <c:pt idx="3825">
                  <c:v>11941239.513858549</c:v>
                </c:pt>
                <c:pt idx="3826">
                  <c:v>11943902.426149756</c:v>
                </c:pt>
                <c:pt idx="3827">
                  <c:v>11946565.33844096</c:v>
                </c:pt>
                <c:pt idx="3828">
                  <c:v>11949228.250732165</c:v>
                </c:pt>
                <c:pt idx="3829">
                  <c:v>11951891.163023369</c:v>
                </c:pt>
                <c:pt idx="3830">
                  <c:v>11954554.075314574</c:v>
                </c:pt>
                <c:pt idx="3831">
                  <c:v>11957216.987605779</c:v>
                </c:pt>
                <c:pt idx="3832">
                  <c:v>11959879.899896983</c:v>
                </c:pt>
                <c:pt idx="3833">
                  <c:v>11962542.812188189</c:v>
                </c:pt>
                <c:pt idx="3834">
                  <c:v>11965205.724479394</c:v>
                </c:pt>
                <c:pt idx="3835">
                  <c:v>11967868.636770599</c:v>
                </c:pt>
                <c:pt idx="3836">
                  <c:v>11970531.549061803</c:v>
                </c:pt>
                <c:pt idx="3837">
                  <c:v>11973194.461353008</c:v>
                </c:pt>
                <c:pt idx="3838">
                  <c:v>11975857.373644212</c:v>
                </c:pt>
                <c:pt idx="3839">
                  <c:v>11978520.285935419</c:v>
                </c:pt>
                <c:pt idx="3840">
                  <c:v>11981183.198226623</c:v>
                </c:pt>
                <c:pt idx="3841">
                  <c:v>11983846.110517828</c:v>
                </c:pt>
                <c:pt idx="3842">
                  <c:v>11986509.022809032</c:v>
                </c:pt>
                <c:pt idx="3843">
                  <c:v>11989171.935100237</c:v>
                </c:pt>
                <c:pt idx="3844">
                  <c:v>11991834.847391441</c:v>
                </c:pt>
                <c:pt idx="3845">
                  <c:v>11994497.759682648</c:v>
                </c:pt>
                <c:pt idx="3846">
                  <c:v>11997160.671973852</c:v>
                </c:pt>
                <c:pt idx="3847">
                  <c:v>11999823.584265057</c:v>
                </c:pt>
                <c:pt idx="3848">
                  <c:v>12002486.496556262</c:v>
                </c:pt>
                <c:pt idx="3849">
                  <c:v>12005149.408847466</c:v>
                </c:pt>
                <c:pt idx="3850">
                  <c:v>12007812.321138671</c:v>
                </c:pt>
                <c:pt idx="3851">
                  <c:v>12010475.233429875</c:v>
                </c:pt>
                <c:pt idx="3852">
                  <c:v>12013138.145721082</c:v>
                </c:pt>
                <c:pt idx="3853">
                  <c:v>12015801.058012286</c:v>
                </c:pt>
                <c:pt idx="3854">
                  <c:v>12018463.970303491</c:v>
                </c:pt>
                <c:pt idx="3855">
                  <c:v>12021126.882594695</c:v>
                </c:pt>
                <c:pt idx="3856">
                  <c:v>12023789.7948859</c:v>
                </c:pt>
                <c:pt idx="3857">
                  <c:v>12026452.707177104</c:v>
                </c:pt>
                <c:pt idx="3858">
                  <c:v>12029115.619468311</c:v>
                </c:pt>
                <c:pt idx="3859">
                  <c:v>12031778.531759515</c:v>
                </c:pt>
                <c:pt idx="3860">
                  <c:v>12034441.44405072</c:v>
                </c:pt>
                <c:pt idx="3861">
                  <c:v>12037104.356341925</c:v>
                </c:pt>
                <c:pt idx="3862">
                  <c:v>12039767.268633129</c:v>
                </c:pt>
                <c:pt idx="3863">
                  <c:v>12042430.180924334</c:v>
                </c:pt>
                <c:pt idx="3864">
                  <c:v>12045093.09321554</c:v>
                </c:pt>
                <c:pt idx="3865">
                  <c:v>12047756.005506745</c:v>
                </c:pt>
                <c:pt idx="3866">
                  <c:v>12050418.917797949</c:v>
                </c:pt>
                <c:pt idx="3867">
                  <c:v>12053081.830089154</c:v>
                </c:pt>
                <c:pt idx="3868">
                  <c:v>12055744.742380358</c:v>
                </c:pt>
                <c:pt idx="3869">
                  <c:v>12058407.654671563</c:v>
                </c:pt>
                <c:pt idx="3870">
                  <c:v>12061070.566962767</c:v>
                </c:pt>
                <c:pt idx="3871">
                  <c:v>12063733.479253974</c:v>
                </c:pt>
                <c:pt idx="3872">
                  <c:v>12066396.391545178</c:v>
                </c:pt>
                <c:pt idx="3873">
                  <c:v>12069059.303836383</c:v>
                </c:pt>
                <c:pt idx="3874">
                  <c:v>12071722.216127587</c:v>
                </c:pt>
                <c:pt idx="3875">
                  <c:v>12074385.128418792</c:v>
                </c:pt>
                <c:pt idx="3876">
                  <c:v>12077048.040709997</c:v>
                </c:pt>
                <c:pt idx="3877">
                  <c:v>12079710.953001203</c:v>
                </c:pt>
                <c:pt idx="3878">
                  <c:v>12082373.865292408</c:v>
                </c:pt>
                <c:pt idx="3879">
                  <c:v>12085036.777583612</c:v>
                </c:pt>
                <c:pt idx="3880">
                  <c:v>12087699.689874817</c:v>
                </c:pt>
                <c:pt idx="3881">
                  <c:v>12090362.602166021</c:v>
                </c:pt>
                <c:pt idx="3882">
                  <c:v>12093025.514457226</c:v>
                </c:pt>
                <c:pt idx="3883">
                  <c:v>12095688.426748432</c:v>
                </c:pt>
                <c:pt idx="3884">
                  <c:v>12098351.339039637</c:v>
                </c:pt>
                <c:pt idx="3885">
                  <c:v>12101014.251330841</c:v>
                </c:pt>
                <c:pt idx="3886">
                  <c:v>12103677.163622046</c:v>
                </c:pt>
                <c:pt idx="3887">
                  <c:v>12106340.07591325</c:v>
                </c:pt>
                <c:pt idx="3888">
                  <c:v>12109002.988204455</c:v>
                </c:pt>
                <c:pt idx="3889">
                  <c:v>12111665.90049566</c:v>
                </c:pt>
                <c:pt idx="3890">
                  <c:v>12114328.812786866</c:v>
                </c:pt>
                <c:pt idx="3891">
                  <c:v>12116991.725078071</c:v>
                </c:pt>
                <c:pt idx="3892">
                  <c:v>12119654.637369275</c:v>
                </c:pt>
                <c:pt idx="3893">
                  <c:v>12122317.54966048</c:v>
                </c:pt>
                <c:pt idx="3894">
                  <c:v>12124980.461951684</c:v>
                </c:pt>
                <c:pt idx="3895">
                  <c:v>12127643.374242889</c:v>
                </c:pt>
                <c:pt idx="3896">
                  <c:v>12130306.286534095</c:v>
                </c:pt>
                <c:pt idx="3897">
                  <c:v>12132969.1988253</c:v>
                </c:pt>
                <c:pt idx="3898">
                  <c:v>12135632.111116504</c:v>
                </c:pt>
                <c:pt idx="3899">
                  <c:v>12138295.023407709</c:v>
                </c:pt>
                <c:pt idx="3900">
                  <c:v>12140957.935698913</c:v>
                </c:pt>
                <c:pt idx="3901">
                  <c:v>12143620.847990118</c:v>
                </c:pt>
                <c:pt idx="3902">
                  <c:v>12146283.760281323</c:v>
                </c:pt>
                <c:pt idx="3903">
                  <c:v>12148946.672572529</c:v>
                </c:pt>
                <c:pt idx="3904">
                  <c:v>12151609.584863734</c:v>
                </c:pt>
                <c:pt idx="3905">
                  <c:v>12154272.497154938</c:v>
                </c:pt>
                <c:pt idx="3906">
                  <c:v>12156935.409446143</c:v>
                </c:pt>
                <c:pt idx="3907">
                  <c:v>12159598.321737347</c:v>
                </c:pt>
                <c:pt idx="3908">
                  <c:v>12162261.234028552</c:v>
                </c:pt>
                <c:pt idx="3909">
                  <c:v>12164924.146319758</c:v>
                </c:pt>
                <c:pt idx="3910">
                  <c:v>12167587.058610963</c:v>
                </c:pt>
                <c:pt idx="3911">
                  <c:v>12170249.970902167</c:v>
                </c:pt>
                <c:pt idx="3912">
                  <c:v>12172912.883193372</c:v>
                </c:pt>
                <c:pt idx="3913">
                  <c:v>12175575.795484576</c:v>
                </c:pt>
                <c:pt idx="3914">
                  <c:v>12178238.707775781</c:v>
                </c:pt>
                <c:pt idx="3915">
                  <c:v>12180901.620066987</c:v>
                </c:pt>
                <c:pt idx="3916">
                  <c:v>12183564.532358192</c:v>
                </c:pt>
                <c:pt idx="3917">
                  <c:v>12186227.444649396</c:v>
                </c:pt>
                <c:pt idx="3918">
                  <c:v>12188890.356940601</c:v>
                </c:pt>
                <c:pt idx="3919">
                  <c:v>12191553.269231806</c:v>
                </c:pt>
                <c:pt idx="3920">
                  <c:v>12194216.18152301</c:v>
                </c:pt>
                <c:pt idx="3921">
                  <c:v>12196879.093814215</c:v>
                </c:pt>
                <c:pt idx="3922">
                  <c:v>12199542.006105421</c:v>
                </c:pt>
                <c:pt idx="3923">
                  <c:v>12202204.918396626</c:v>
                </c:pt>
                <c:pt idx="3924">
                  <c:v>12204867.83068783</c:v>
                </c:pt>
                <c:pt idx="3925">
                  <c:v>12207530.742979035</c:v>
                </c:pt>
                <c:pt idx="3926">
                  <c:v>12210193.655270239</c:v>
                </c:pt>
                <c:pt idx="3927">
                  <c:v>12212856.567561444</c:v>
                </c:pt>
                <c:pt idx="3928">
                  <c:v>12215519.47985265</c:v>
                </c:pt>
                <c:pt idx="3929">
                  <c:v>12218182.392143855</c:v>
                </c:pt>
                <c:pt idx="3930">
                  <c:v>12220845.304435059</c:v>
                </c:pt>
                <c:pt idx="3931">
                  <c:v>12223508.216726264</c:v>
                </c:pt>
                <c:pt idx="3932">
                  <c:v>12226171.129017469</c:v>
                </c:pt>
                <c:pt idx="3933">
                  <c:v>12228834.041308673</c:v>
                </c:pt>
                <c:pt idx="3934">
                  <c:v>12231496.95359988</c:v>
                </c:pt>
                <c:pt idx="3935">
                  <c:v>12234159.865891084</c:v>
                </c:pt>
                <c:pt idx="3936">
                  <c:v>12236822.778182289</c:v>
                </c:pt>
                <c:pt idx="3937">
                  <c:v>12239485.690473493</c:v>
                </c:pt>
                <c:pt idx="3938">
                  <c:v>12242148.602764698</c:v>
                </c:pt>
                <c:pt idx="3939">
                  <c:v>12244811.515055902</c:v>
                </c:pt>
                <c:pt idx="3940">
                  <c:v>12247474.427347107</c:v>
                </c:pt>
                <c:pt idx="3941">
                  <c:v>12250137.339638313</c:v>
                </c:pt>
                <c:pt idx="3942">
                  <c:v>12252800.251929518</c:v>
                </c:pt>
                <c:pt idx="3943">
                  <c:v>12255463.164220722</c:v>
                </c:pt>
                <c:pt idx="3944">
                  <c:v>12258126.076511927</c:v>
                </c:pt>
                <c:pt idx="3945">
                  <c:v>12260788.988803132</c:v>
                </c:pt>
                <c:pt idx="3946">
                  <c:v>12263451.901094336</c:v>
                </c:pt>
                <c:pt idx="3947">
                  <c:v>12266114.813385542</c:v>
                </c:pt>
                <c:pt idx="3948">
                  <c:v>12268777.725676747</c:v>
                </c:pt>
                <c:pt idx="3949">
                  <c:v>12271440.637967952</c:v>
                </c:pt>
                <c:pt idx="3950">
                  <c:v>12274103.550259156</c:v>
                </c:pt>
                <c:pt idx="3951">
                  <c:v>12276766.462550361</c:v>
                </c:pt>
                <c:pt idx="3952">
                  <c:v>12279429.374841565</c:v>
                </c:pt>
                <c:pt idx="3953">
                  <c:v>12282092.287132772</c:v>
                </c:pt>
                <c:pt idx="3954">
                  <c:v>12284755.199423976</c:v>
                </c:pt>
                <c:pt idx="3955">
                  <c:v>12287418.111715181</c:v>
                </c:pt>
                <c:pt idx="3956">
                  <c:v>12290081.024006385</c:v>
                </c:pt>
                <c:pt idx="3957">
                  <c:v>12292743.93629759</c:v>
                </c:pt>
                <c:pt idx="3958">
                  <c:v>12295406.848588794</c:v>
                </c:pt>
                <c:pt idx="3959">
                  <c:v>12298069.760879999</c:v>
                </c:pt>
                <c:pt idx="3960">
                  <c:v>12300732.673171205</c:v>
                </c:pt>
                <c:pt idx="3961">
                  <c:v>12303395.58546241</c:v>
                </c:pt>
                <c:pt idx="3962">
                  <c:v>12306058.497753615</c:v>
                </c:pt>
                <c:pt idx="3963">
                  <c:v>12308721.410044819</c:v>
                </c:pt>
                <c:pt idx="3964">
                  <c:v>12311384.322336024</c:v>
                </c:pt>
                <c:pt idx="3965">
                  <c:v>12314047.234627228</c:v>
                </c:pt>
                <c:pt idx="3966">
                  <c:v>12316710.146918435</c:v>
                </c:pt>
                <c:pt idx="3967">
                  <c:v>12319373.059209639</c:v>
                </c:pt>
                <c:pt idx="3968">
                  <c:v>12322035.971500844</c:v>
                </c:pt>
                <c:pt idx="3969">
                  <c:v>12324698.883792048</c:v>
                </c:pt>
                <c:pt idx="3970">
                  <c:v>12327361.796083253</c:v>
                </c:pt>
                <c:pt idx="3971">
                  <c:v>12330024.708374457</c:v>
                </c:pt>
                <c:pt idx="3972">
                  <c:v>12332687.620665664</c:v>
                </c:pt>
                <c:pt idx="3973">
                  <c:v>12335350.532956868</c:v>
                </c:pt>
                <c:pt idx="3974">
                  <c:v>12338013.445248073</c:v>
                </c:pt>
                <c:pt idx="3975">
                  <c:v>12340676.357539278</c:v>
                </c:pt>
                <c:pt idx="3976">
                  <c:v>12343339.269830482</c:v>
                </c:pt>
                <c:pt idx="3977">
                  <c:v>12346002.182121687</c:v>
                </c:pt>
                <c:pt idx="3978">
                  <c:v>12348665.094412891</c:v>
                </c:pt>
                <c:pt idx="3979">
                  <c:v>12351328.006704098</c:v>
                </c:pt>
                <c:pt idx="3980">
                  <c:v>12353990.918995302</c:v>
                </c:pt>
                <c:pt idx="3981">
                  <c:v>12356653.831286507</c:v>
                </c:pt>
                <c:pt idx="3982">
                  <c:v>12359316.743577711</c:v>
                </c:pt>
                <c:pt idx="3983">
                  <c:v>12361979.655868916</c:v>
                </c:pt>
                <c:pt idx="3984">
                  <c:v>12364642.56816012</c:v>
                </c:pt>
                <c:pt idx="3985">
                  <c:v>12367305.480451327</c:v>
                </c:pt>
                <c:pt idx="3986">
                  <c:v>12369968.392742531</c:v>
                </c:pt>
                <c:pt idx="3987">
                  <c:v>12372631.305033736</c:v>
                </c:pt>
                <c:pt idx="3988">
                  <c:v>12375294.21732494</c:v>
                </c:pt>
                <c:pt idx="3989">
                  <c:v>12377957.129616145</c:v>
                </c:pt>
                <c:pt idx="3990">
                  <c:v>12380620.04190735</c:v>
                </c:pt>
                <c:pt idx="3991">
                  <c:v>12383282.954198554</c:v>
                </c:pt>
                <c:pt idx="3992">
                  <c:v>12385945.866489761</c:v>
                </c:pt>
                <c:pt idx="3993">
                  <c:v>12388608.778780965</c:v>
                </c:pt>
                <c:pt idx="3994">
                  <c:v>12391271.69107217</c:v>
                </c:pt>
                <c:pt idx="3995">
                  <c:v>12393934.603363374</c:v>
                </c:pt>
                <c:pt idx="3996">
                  <c:v>12396597.515654579</c:v>
                </c:pt>
                <c:pt idx="3997">
                  <c:v>12399260.427945783</c:v>
                </c:pt>
                <c:pt idx="3998">
                  <c:v>12401923.34023699</c:v>
                </c:pt>
                <c:pt idx="3999">
                  <c:v>12404586.252528194</c:v>
                </c:pt>
                <c:pt idx="4000">
                  <c:v>12407249.164819399</c:v>
                </c:pt>
                <c:pt idx="4001">
                  <c:v>12409912.077110603</c:v>
                </c:pt>
                <c:pt idx="4002">
                  <c:v>12412574.989401808</c:v>
                </c:pt>
                <c:pt idx="4003">
                  <c:v>12415237.901693013</c:v>
                </c:pt>
                <c:pt idx="4004">
                  <c:v>12417900.813984219</c:v>
                </c:pt>
                <c:pt idx="4005">
                  <c:v>12420563.726275424</c:v>
                </c:pt>
                <c:pt idx="4006">
                  <c:v>12423226.638566628</c:v>
                </c:pt>
                <c:pt idx="4007">
                  <c:v>12425889.550857833</c:v>
                </c:pt>
                <c:pt idx="4008">
                  <c:v>12428552.463149037</c:v>
                </c:pt>
                <c:pt idx="4009">
                  <c:v>12431215.375440242</c:v>
                </c:pt>
                <c:pt idx="4010">
                  <c:v>12433878.287731446</c:v>
                </c:pt>
                <c:pt idx="4011">
                  <c:v>12436541.200022653</c:v>
                </c:pt>
                <c:pt idx="4012">
                  <c:v>12439204.112313857</c:v>
                </c:pt>
                <c:pt idx="4013">
                  <c:v>12441867.024605062</c:v>
                </c:pt>
                <c:pt idx="4014">
                  <c:v>12444529.936896266</c:v>
                </c:pt>
                <c:pt idx="4015">
                  <c:v>12447192.849187471</c:v>
                </c:pt>
                <c:pt idx="4016">
                  <c:v>12449855.761478676</c:v>
                </c:pt>
                <c:pt idx="4017">
                  <c:v>12452518.673769882</c:v>
                </c:pt>
                <c:pt idx="4018">
                  <c:v>12455181.586061087</c:v>
                </c:pt>
                <c:pt idx="4019">
                  <c:v>12457844.498352291</c:v>
                </c:pt>
                <c:pt idx="4020">
                  <c:v>12460507.410643496</c:v>
                </c:pt>
                <c:pt idx="4021">
                  <c:v>12463170.3229347</c:v>
                </c:pt>
                <c:pt idx="4022">
                  <c:v>12465833.235225905</c:v>
                </c:pt>
                <c:pt idx="4023">
                  <c:v>12468496.147517111</c:v>
                </c:pt>
                <c:pt idx="4024">
                  <c:v>12471159.059808316</c:v>
                </c:pt>
                <c:pt idx="4025">
                  <c:v>12473821.97209952</c:v>
                </c:pt>
                <c:pt idx="4026">
                  <c:v>12476484.884390725</c:v>
                </c:pt>
                <c:pt idx="4027">
                  <c:v>12479147.796681929</c:v>
                </c:pt>
                <c:pt idx="4028">
                  <c:v>12481810.708973134</c:v>
                </c:pt>
                <c:pt idx="4029">
                  <c:v>12484473.621264338</c:v>
                </c:pt>
                <c:pt idx="4030">
                  <c:v>12487136.533555545</c:v>
                </c:pt>
                <c:pt idx="4031">
                  <c:v>12489799.445846749</c:v>
                </c:pt>
                <c:pt idx="4032">
                  <c:v>12492462.358137954</c:v>
                </c:pt>
                <c:pt idx="4033">
                  <c:v>12495125.270429159</c:v>
                </c:pt>
                <c:pt idx="4034">
                  <c:v>12497788.182720363</c:v>
                </c:pt>
                <c:pt idx="4035">
                  <c:v>12500451.095011568</c:v>
                </c:pt>
                <c:pt idx="4036">
                  <c:v>12503114.007302774</c:v>
                </c:pt>
                <c:pt idx="4037">
                  <c:v>12505776.919593979</c:v>
                </c:pt>
                <c:pt idx="4038">
                  <c:v>12508439.831885183</c:v>
                </c:pt>
                <c:pt idx="4039">
                  <c:v>12511102.744176388</c:v>
                </c:pt>
                <c:pt idx="4040">
                  <c:v>12513765.656467592</c:v>
                </c:pt>
                <c:pt idx="4041">
                  <c:v>12516428.568758797</c:v>
                </c:pt>
                <c:pt idx="4042">
                  <c:v>12519091.481050003</c:v>
                </c:pt>
                <c:pt idx="4043">
                  <c:v>12521754.393341208</c:v>
                </c:pt>
                <c:pt idx="4044">
                  <c:v>12524417.305632412</c:v>
                </c:pt>
                <c:pt idx="4045">
                  <c:v>12527080.217923617</c:v>
                </c:pt>
                <c:pt idx="4046">
                  <c:v>12529743.130214822</c:v>
                </c:pt>
                <c:pt idx="4047">
                  <c:v>12532406.042506026</c:v>
                </c:pt>
                <c:pt idx="4048">
                  <c:v>12535068.954797231</c:v>
                </c:pt>
                <c:pt idx="4049">
                  <c:v>12537731.867088437</c:v>
                </c:pt>
                <c:pt idx="4050">
                  <c:v>12540394.779379642</c:v>
                </c:pt>
                <c:pt idx="4051">
                  <c:v>12543057.691670846</c:v>
                </c:pt>
                <c:pt idx="4052">
                  <c:v>12545720.603962051</c:v>
                </c:pt>
                <c:pt idx="4053">
                  <c:v>12548383.516253255</c:v>
                </c:pt>
                <c:pt idx="4054">
                  <c:v>12551046.42854446</c:v>
                </c:pt>
                <c:pt idx="4055">
                  <c:v>12553709.340835666</c:v>
                </c:pt>
                <c:pt idx="4056">
                  <c:v>12556372.253126871</c:v>
                </c:pt>
                <c:pt idx="4057">
                  <c:v>12559035.165418075</c:v>
                </c:pt>
                <c:pt idx="4058">
                  <c:v>12561698.07770928</c:v>
                </c:pt>
                <c:pt idx="4059">
                  <c:v>12564360.990000485</c:v>
                </c:pt>
                <c:pt idx="4060">
                  <c:v>12567023.902291689</c:v>
                </c:pt>
                <c:pt idx="4061">
                  <c:v>12569686.814582894</c:v>
                </c:pt>
                <c:pt idx="4062">
                  <c:v>12572349.7268741</c:v>
                </c:pt>
                <c:pt idx="4063">
                  <c:v>12575012.639165305</c:v>
                </c:pt>
                <c:pt idx="4064">
                  <c:v>12577675.551456509</c:v>
                </c:pt>
                <c:pt idx="4065">
                  <c:v>12580338.463747714</c:v>
                </c:pt>
                <c:pt idx="4066">
                  <c:v>12583001.376038918</c:v>
                </c:pt>
                <c:pt idx="4067">
                  <c:v>12585664.288330123</c:v>
                </c:pt>
                <c:pt idx="4068">
                  <c:v>12588327.200621329</c:v>
                </c:pt>
                <c:pt idx="4069">
                  <c:v>12590990.112912534</c:v>
                </c:pt>
                <c:pt idx="4070">
                  <c:v>12593653.025203738</c:v>
                </c:pt>
                <c:pt idx="4071">
                  <c:v>12596315.937494943</c:v>
                </c:pt>
                <c:pt idx="4072">
                  <c:v>12598978.849786147</c:v>
                </c:pt>
                <c:pt idx="4073">
                  <c:v>12601641.762077352</c:v>
                </c:pt>
                <c:pt idx="4074">
                  <c:v>12604304.674368558</c:v>
                </c:pt>
                <c:pt idx="4075">
                  <c:v>12606967.586659763</c:v>
                </c:pt>
                <c:pt idx="4076">
                  <c:v>12609630.498950968</c:v>
                </c:pt>
                <c:pt idx="4077">
                  <c:v>12612293.411242172</c:v>
                </c:pt>
                <c:pt idx="4078">
                  <c:v>12614956.323533377</c:v>
                </c:pt>
                <c:pt idx="4079">
                  <c:v>12617619.235824581</c:v>
                </c:pt>
                <c:pt idx="4080">
                  <c:v>12620282.148115786</c:v>
                </c:pt>
                <c:pt idx="4081">
                  <c:v>12622945.060406992</c:v>
                </c:pt>
                <c:pt idx="4082">
                  <c:v>12625607.972698197</c:v>
                </c:pt>
                <c:pt idx="4083">
                  <c:v>12628270.884989401</c:v>
                </c:pt>
                <c:pt idx="4084">
                  <c:v>12630933.797280606</c:v>
                </c:pt>
                <c:pt idx="4085">
                  <c:v>12633596.70957181</c:v>
                </c:pt>
                <c:pt idx="4086">
                  <c:v>12636259.621863015</c:v>
                </c:pt>
                <c:pt idx="4087">
                  <c:v>12638922.534154221</c:v>
                </c:pt>
                <c:pt idx="4088">
                  <c:v>12641585.446445426</c:v>
                </c:pt>
                <c:pt idx="4089">
                  <c:v>12644248.358736631</c:v>
                </c:pt>
                <c:pt idx="4090">
                  <c:v>12646911.271027835</c:v>
                </c:pt>
                <c:pt idx="4091">
                  <c:v>12649574.18331904</c:v>
                </c:pt>
                <c:pt idx="4092">
                  <c:v>12652237.095610244</c:v>
                </c:pt>
                <c:pt idx="4093">
                  <c:v>12654900.007901451</c:v>
                </c:pt>
                <c:pt idx="4094">
                  <c:v>12657562.920192655</c:v>
                </c:pt>
                <c:pt idx="4095">
                  <c:v>12660225.83248386</c:v>
                </c:pt>
                <c:pt idx="4096">
                  <c:v>12662888.744775064</c:v>
                </c:pt>
                <c:pt idx="4097">
                  <c:v>12665551.657066269</c:v>
                </c:pt>
                <c:pt idx="4098">
                  <c:v>12668214.569357473</c:v>
                </c:pt>
                <c:pt idx="4099">
                  <c:v>12670877.481648678</c:v>
                </c:pt>
                <c:pt idx="4100">
                  <c:v>12673540.393939884</c:v>
                </c:pt>
                <c:pt idx="4101">
                  <c:v>12676203.306231089</c:v>
                </c:pt>
                <c:pt idx="4102">
                  <c:v>12678866.218522293</c:v>
                </c:pt>
                <c:pt idx="4103">
                  <c:v>12681529.130813498</c:v>
                </c:pt>
                <c:pt idx="4104">
                  <c:v>12684192.043104703</c:v>
                </c:pt>
                <c:pt idx="4105">
                  <c:v>12686854.955395907</c:v>
                </c:pt>
                <c:pt idx="4106">
                  <c:v>12689517.867687114</c:v>
                </c:pt>
                <c:pt idx="4107">
                  <c:v>12692180.779978318</c:v>
                </c:pt>
                <c:pt idx="4108">
                  <c:v>12694843.692269523</c:v>
                </c:pt>
                <c:pt idx="4109">
                  <c:v>12697506.604560727</c:v>
                </c:pt>
                <c:pt idx="4110">
                  <c:v>12700169.516851932</c:v>
                </c:pt>
                <c:pt idx="4111">
                  <c:v>12702832.429143136</c:v>
                </c:pt>
                <c:pt idx="4112">
                  <c:v>12705495.341434343</c:v>
                </c:pt>
                <c:pt idx="4113">
                  <c:v>12708158.253725547</c:v>
                </c:pt>
                <c:pt idx="4114">
                  <c:v>12710821.166016752</c:v>
                </c:pt>
                <c:pt idx="4115">
                  <c:v>12713484.078307956</c:v>
                </c:pt>
                <c:pt idx="4116">
                  <c:v>12716146.990599161</c:v>
                </c:pt>
                <c:pt idx="4117">
                  <c:v>12718809.902890366</c:v>
                </c:pt>
                <c:pt idx="4118">
                  <c:v>12721472.81518157</c:v>
                </c:pt>
                <c:pt idx="4119">
                  <c:v>12724135.727472777</c:v>
                </c:pt>
                <c:pt idx="4120">
                  <c:v>12726798.639763981</c:v>
                </c:pt>
                <c:pt idx="4121">
                  <c:v>12729461.552055186</c:v>
                </c:pt>
                <c:pt idx="4122">
                  <c:v>12732124.46434639</c:v>
                </c:pt>
                <c:pt idx="4123">
                  <c:v>12734787.376637595</c:v>
                </c:pt>
                <c:pt idx="4124">
                  <c:v>12737450.288928799</c:v>
                </c:pt>
                <c:pt idx="4125">
                  <c:v>12740113.201220006</c:v>
                </c:pt>
                <c:pt idx="4126">
                  <c:v>12742776.11351121</c:v>
                </c:pt>
                <c:pt idx="4127">
                  <c:v>12745439.025802415</c:v>
                </c:pt>
                <c:pt idx="4128">
                  <c:v>12748101.938093619</c:v>
                </c:pt>
                <c:pt idx="4129">
                  <c:v>12750764.850384824</c:v>
                </c:pt>
                <c:pt idx="4130">
                  <c:v>12753427.762676029</c:v>
                </c:pt>
                <c:pt idx="4131">
                  <c:v>12756090.674967235</c:v>
                </c:pt>
                <c:pt idx="4132">
                  <c:v>12758753.58725844</c:v>
                </c:pt>
                <c:pt idx="4133">
                  <c:v>12761416.499549644</c:v>
                </c:pt>
                <c:pt idx="4134">
                  <c:v>12764079.411840849</c:v>
                </c:pt>
                <c:pt idx="4135">
                  <c:v>12766742.324132053</c:v>
                </c:pt>
                <c:pt idx="4136">
                  <c:v>12769405.236423258</c:v>
                </c:pt>
                <c:pt idx="4137">
                  <c:v>12772068.148714462</c:v>
                </c:pt>
                <c:pt idx="4138">
                  <c:v>12774731.061005669</c:v>
                </c:pt>
                <c:pt idx="4139">
                  <c:v>12777393.973296873</c:v>
                </c:pt>
                <c:pt idx="4140">
                  <c:v>12780056.885588078</c:v>
                </c:pt>
                <c:pt idx="4141">
                  <c:v>12782719.797879282</c:v>
                </c:pt>
                <c:pt idx="4142">
                  <c:v>12785382.710170487</c:v>
                </c:pt>
                <c:pt idx="4143">
                  <c:v>12788045.622461691</c:v>
                </c:pt>
                <c:pt idx="4144">
                  <c:v>12790708.534752898</c:v>
                </c:pt>
                <c:pt idx="4145">
                  <c:v>12793371.447044102</c:v>
                </c:pt>
                <c:pt idx="4146">
                  <c:v>12796034.359335307</c:v>
                </c:pt>
                <c:pt idx="4147">
                  <c:v>12798697.271626512</c:v>
                </c:pt>
                <c:pt idx="4148">
                  <c:v>12801360.183917716</c:v>
                </c:pt>
                <c:pt idx="4149">
                  <c:v>12804023.096208921</c:v>
                </c:pt>
                <c:pt idx="4150">
                  <c:v>12806686.008500125</c:v>
                </c:pt>
                <c:pt idx="4151">
                  <c:v>12809348.920791332</c:v>
                </c:pt>
                <c:pt idx="4152">
                  <c:v>12812011.833082536</c:v>
                </c:pt>
                <c:pt idx="4153">
                  <c:v>12814674.745373741</c:v>
                </c:pt>
                <c:pt idx="4154">
                  <c:v>12817337.657664945</c:v>
                </c:pt>
                <c:pt idx="4155">
                  <c:v>12820000.56995615</c:v>
                </c:pt>
                <c:pt idx="4156">
                  <c:v>12822663.482247354</c:v>
                </c:pt>
                <c:pt idx="4157">
                  <c:v>12825326.394538561</c:v>
                </c:pt>
                <c:pt idx="4158">
                  <c:v>12827989.306829765</c:v>
                </c:pt>
                <c:pt idx="4159">
                  <c:v>12830652.21912097</c:v>
                </c:pt>
                <c:pt idx="4160">
                  <c:v>12833315.131412175</c:v>
                </c:pt>
                <c:pt idx="4161">
                  <c:v>12835978.043703379</c:v>
                </c:pt>
                <c:pt idx="4162">
                  <c:v>12838640.955994584</c:v>
                </c:pt>
                <c:pt idx="4163">
                  <c:v>12841303.86828579</c:v>
                </c:pt>
                <c:pt idx="4164">
                  <c:v>12843966.780576995</c:v>
                </c:pt>
                <c:pt idx="4165">
                  <c:v>12846629.692868199</c:v>
                </c:pt>
                <c:pt idx="4166">
                  <c:v>12849292.605159404</c:v>
                </c:pt>
                <c:pt idx="4167">
                  <c:v>12851955.517450608</c:v>
                </c:pt>
                <c:pt idx="4168">
                  <c:v>12854618.429741813</c:v>
                </c:pt>
                <c:pt idx="4169">
                  <c:v>12857281.342033017</c:v>
                </c:pt>
                <c:pt idx="4170">
                  <c:v>12859944.254324224</c:v>
                </c:pt>
                <c:pt idx="4171">
                  <c:v>12862607.166615428</c:v>
                </c:pt>
                <c:pt idx="4172">
                  <c:v>12865270.078906633</c:v>
                </c:pt>
                <c:pt idx="4173">
                  <c:v>12867932.991197838</c:v>
                </c:pt>
                <c:pt idx="4174">
                  <c:v>12870595.903489042</c:v>
                </c:pt>
                <c:pt idx="4175">
                  <c:v>12873258.815780247</c:v>
                </c:pt>
                <c:pt idx="4176">
                  <c:v>12875921.728071453</c:v>
                </c:pt>
                <c:pt idx="4177">
                  <c:v>12878584.640362658</c:v>
                </c:pt>
                <c:pt idx="4178">
                  <c:v>12881247.552653862</c:v>
                </c:pt>
                <c:pt idx="4179">
                  <c:v>12883910.464945067</c:v>
                </c:pt>
                <c:pt idx="4180">
                  <c:v>12886573.377236271</c:v>
                </c:pt>
                <c:pt idx="4181">
                  <c:v>12889236.289527476</c:v>
                </c:pt>
                <c:pt idx="4182">
                  <c:v>12891899.201818682</c:v>
                </c:pt>
                <c:pt idx="4183">
                  <c:v>12894562.114109887</c:v>
                </c:pt>
                <c:pt idx="4184">
                  <c:v>12897225.026401091</c:v>
                </c:pt>
                <c:pt idx="4185">
                  <c:v>12899887.938692296</c:v>
                </c:pt>
                <c:pt idx="4186">
                  <c:v>12902550.8509835</c:v>
                </c:pt>
                <c:pt idx="4187">
                  <c:v>12905213.763274705</c:v>
                </c:pt>
                <c:pt idx="4188">
                  <c:v>12907876.67556591</c:v>
                </c:pt>
                <c:pt idx="4189">
                  <c:v>12910539.587857116</c:v>
                </c:pt>
                <c:pt idx="4190">
                  <c:v>12913202.500148321</c:v>
                </c:pt>
                <c:pt idx="4191">
                  <c:v>12915865.412439525</c:v>
                </c:pt>
                <c:pt idx="4192">
                  <c:v>12918528.32473073</c:v>
                </c:pt>
                <c:pt idx="4193">
                  <c:v>12921191.237021934</c:v>
                </c:pt>
                <c:pt idx="4194">
                  <c:v>12923854.149313139</c:v>
                </c:pt>
                <c:pt idx="4195">
                  <c:v>12926517.061604345</c:v>
                </c:pt>
                <c:pt idx="4196">
                  <c:v>12929179.97389555</c:v>
                </c:pt>
                <c:pt idx="4197">
                  <c:v>12931842.886186754</c:v>
                </c:pt>
                <c:pt idx="4198">
                  <c:v>12934505.798477959</c:v>
                </c:pt>
                <c:pt idx="4199">
                  <c:v>12937168.710769163</c:v>
                </c:pt>
                <c:pt idx="4200">
                  <c:v>12939831.623060368</c:v>
                </c:pt>
                <c:pt idx="4201">
                  <c:v>12942494.535351574</c:v>
                </c:pt>
                <c:pt idx="4202">
                  <c:v>12945157.447642779</c:v>
                </c:pt>
                <c:pt idx="4203">
                  <c:v>12947820.359933984</c:v>
                </c:pt>
                <c:pt idx="4204">
                  <c:v>12950483.272225188</c:v>
                </c:pt>
                <c:pt idx="4205">
                  <c:v>12953146.184516393</c:v>
                </c:pt>
                <c:pt idx="4206">
                  <c:v>12955809.096807597</c:v>
                </c:pt>
                <c:pt idx="4207">
                  <c:v>12958472.009098802</c:v>
                </c:pt>
                <c:pt idx="4208">
                  <c:v>12961134.921390008</c:v>
                </c:pt>
                <c:pt idx="4209">
                  <c:v>12963797.833681213</c:v>
                </c:pt>
                <c:pt idx="4210">
                  <c:v>12966460.745972417</c:v>
                </c:pt>
                <c:pt idx="4211">
                  <c:v>12969123.658263622</c:v>
                </c:pt>
                <c:pt idx="4212">
                  <c:v>12971786.570554826</c:v>
                </c:pt>
                <c:pt idx="4213">
                  <c:v>12974449.482846031</c:v>
                </c:pt>
                <c:pt idx="4214">
                  <c:v>12977112.395137237</c:v>
                </c:pt>
                <c:pt idx="4215">
                  <c:v>12979775.307428442</c:v>
                </c:pt>
                <c:pt idx="4216">
                  <c:v>12982438.219719646</c:v>
                </c:pt>
                <c:pt idx="4217">
                  <c:v>12985101.132010851</c:v>
                </c:pt>
                <c:pt idx="4218">
                  <c:v>12987764.044302056</c:v>
                </c:pt>
                <c:pt idx="4219">
                  <c:v>12990426.95659326</c:v>
                </c:pt>
                <c:pt idx="4220">
                  <c:v>12993089.868884465</c:v>
                </c:pt>
                <c:pt idx="4221">
                  <c:v>12995752.781175671</c:v>
                </c:pt>
                <c:pt idx="4222">
                  <c:v>12998415.693466876</c:v>
                </c:pt>
                <c:pt idx="4223">
                  <c:v>13001078.60575808</c:v>
                </c:pt>
                <c:pt idx="4224">
                  <c:v>13003741.518049285</c:v>
                </c:pt>
                <c:pt idx="4225">
                  <c:v>13006404.430340489</c:v>
                </c:pt>
                <c:pt idx="4226">
                  <c:v>13009067.342631694</c:v>
                </c:pt>
                <c:pt idx="4227">
                  <c:v>13011730.2549229</c:v>
                </c:pt>
                <c:pt idx="4228">
                  <c:v>13014393.167214105</c:v>
                </c:pt>
                <c:pt idx="4229">
                  <c:v>13017056.079505309</c:v>
                </c:pt>
                <c:pt idx="4230">
                  <c:v>13019718.991796514</c:v>
                </c:pt>
                <c:pt idx="4231">
                  <c:v>13022381.904087719</c:v>
                </c:pt>
                <c:pt idx="4232">
                  <c:v>13025044.816378923</c:v>
                </c:pt>
                <c:pt idx="4233">
                  <c:v>13027707.72867013</c:v>
                </c:pt>
                <c:pt idx="4234">
                  <c:v>13030370.640961334</c:v>
                </c:pt>
                <c:pt idx="4235">
                  <c:v>13033033.553252539</c:v>
                </c:pt>
                <c:pt idx="4236">
                  <c:v>13035696.465543743</c:v>
                </c:pt>
                <c:pt idx="4237">
                  <c:v>13038359.377834948</c:v>
                </c:pt>
                <c:pt idx="4238">
                  <c:v>13041022.290126152</c:v>
                </c:pt>
                <c:pt idx="4239">
                  <c:v>13043685.202417357</c:v>
                </c:pt>
                <c:pt idx="4240">
                  <c:v>13046348.114708563</c:v>
                </c:pt>
                <c:pt idx="4241">
                  <c:v>13049011.026999768</c:v>
                </c:pt>
                <c:pt idx="4242">
                  <c:v>13051673.939290972</c:v>
                </c:pt>
                <c:pt idx="4243">
                  <c:v>13054336.851582177</c:v>
                </c:pt>
                <c:pt idx="4244">
                  <c:v>13056999.763873382</c:v>
                </c:pt>
                <c:pt idx="4245">
                  <c:v>13059662.676164586</c:v>
                </c:pt>
                <c:pt idx="4246">
                  <c:v>13062325.588455793</c:v>
                </c:pt>
                <c:pt idx="4247">
                  <c:v>13064988.500746997</c:v>
                </c:pt>
                <c:pt idx="4248">
                  <c:v>13067651.413038202</c:v>
                </c:pt>
                <c:pt idx="4249">
                  <c:v>13070314.325329406</c:v>
                </c:pt>
                <c:pt idx="4250">
                  <c:v>13072977.237620611</c:v>
                </c:pt>
                <c:pt idx="4251">
                  <c:v>13075640.149911815</c:v>
                </c:pt>
                <c:pt idx="4252">
                  <c:v>13078303.062203022</c:v>
                </c:pt>
                <c:pt idx="4253">
                  <c:v>13080965.974494226</c:v>
                </c:pt>
                <c:pt idx="4254">
                  <c:v>13083628.886785431</c:v>
                </c:pt>
                <c:pt idx="4255">
                  <c:v>13086291.799076635</c:v>
                </c:pt>
                <c:pt idx="4256">
                  <c:v>13088954.71136784</c:v>
                </c:pt>
                <c:pt idx="4257">
                  <c:v>13091617.623659045</c:v>
                </c:pt>
                <c:pt idx="4258">
                  <c:v>13094280.535950249</c:v>
                </c:pt>
                <c:pt idx="4259">
                  <c:v>13096943.448241455</c:v>
                </c:pt>
                <c:pt idx="4260">
                  <c:v>13099606.36053266</c:v>
                </c:pt>
                <c:pt idx="4261">
                  <c:v>13102269.272823865</c:v>
                </c:pt>
                <c:pt idx="4262">
                  <c:v>13104932.185115069</c:v>
                </c:pt>
                <c:pt idx="4263">
                  <c:v>13107595.097406274</c:v>
                </c:pt>
                <c:pt idx="4264">
                  <c:v>13110258.009697478</c:v>
                </c:pt>
                <c:pt idx="4265">
                  <c:v>13112920.921988685</c:v>
                </c:pt>
                <c:pt idx="4266">
                  <c:v>13115583.834279889</c:v>
                </c:pt>
                <c:pt idx="4267">
                  <c:v>13118246.746571094</c:v>
                </c:pt>
                <c:pt idx="4268">
                  <c:v>13120909.658862298</c:v>
                </c:pt>
                <c:pt idx="4269">
                  <c:v>13123572.571153503</c:v>
                </c:pt>
                <c:pt idx="4270">
                  <c:v>13126235.483444707</c:v>
                </c:pt>
                <c:pt idx="4271">
                  <c:v>13128898.395735914</c:v>
                </c:pt>
                <c:pt idx="4272">
                  <c:v>13131561.308027118</c:v>
                </c:pt>
                <c:pt idx="4273">
                  <c:v>13134224.220318323</c:v>
                </c:pt>
                <c:pt idx="4274">
                  <c:v>13136887.132609528</c:v>
                </c:pt>
                <c:pt idx="4275">
                  <c:v>13139550.044900732</c:v>
                </c:pt>
                <c:pt idx="4276">
                  <c:v>13142212.957191937</c:v>
                </c:pt>
                <c:pt idx="4277">
                  <c:v>13144875.869483141</c:v>
                </c:pt>
                <c:pt idx="4278">
                  <c:v>13147538.781774348</c:v>
                </c:pt>
                <c:pt idx="4279">
                  <c:v>13150201.694065552</c:v>
                </c:pt>
                <c:pt idx="4280">
                  <c:v>13152864.606356757</c:v>
                </c:pt>
                <c:pt idx="4281">
                  <c:v>13155527.518647961</c:v>
                </c:pt>
                <c:pt idx="4282">
                  <c:v>13158190.430939166</c:v>
                </c:pt>
                <c:pt idx="4283">
                  <c:v>13160853.34323037</c:v>
                </c:pt>
                <c:pt idx="4284">
                  <c:v>13163516.255521577</c:v>
                </c:pt>
                <c:pt idx="4285">
                  <c:v>13166179.167812781</c:v>
                </c:pt>
                <c:pt idx="4286">
                  <c:v>13168842.080103986</c:v>
                </c:pt>
                <c:pt idx="4287">
                  <c:v>13171504.992395191</c:v>
                </c:pt>
                <c:pt idx="4288">
                  <c:v>13174167.904686395</c:v>
                </c:pt>
                <c:pt idx="4289">
                  <c:v>13176830.8169776</c:v>
                </c:pt>
                <c:pt idx="4290">
                  <c:v>13179493.729268806</c:v>
                </c:pt>
                <c:pt idx="4291">
                  <c:v>13182156.641560011</c:v>
                </c:pt>
                <c:pt idx="4292">
                  <c:v>13184819.553851215</c:v>
                </c:pt>
                <c:pt idx="4293">
                  <c:v>13187482.46614242</c:v>
                </c:pt>
                <c:pt idx="4294">
                  <c:v>13190145.378433624</c:v>
                </c:pt>
                <c:pt idx="4295">
                  <c:v>13192808.290724829</c:v>
                </c:pt>
                <c:pt idx="4296">
                  <c:v>13195471.203016033</c:v>
                </c:pt>
                <c:pt idx="4297">
                  <c:v>13198134.11530724</c:v>
                </c:pt>
                <c:pt idx="4298">
                  <c:v>13200797.027598444</c:v>
                </c:pt>
                <c:pt idx="4299">
                  <c:v>13203459.939889649</c:v>
                </c:pt>
                <c:pt idx="4300">
                  <c:v>13206122.852180853</c:v>
                </c:pt>
                <c:pt idx="4301">
                  <c:v>13208785.764472058</c:v>
                </c:pt>
                <c:pt idx="4302">
                  <c:v>13211448.676763263</c:v>
                </c:pt>
                <c:pt idx="4303">
                  <c:v>13214111.589054469</c:v>
                </c:pt>
                <c:pt idx="4304">
                  <c:v>13216774.501345674</c:v>
                </c:pt>
                <c:pt idx="4305">
                  <c:v>13219437.413636878</c:v>
                </c:pt>
                <c:pt idx="4306">
                  <c:v>13222100.325928083</c:v>
                </c:pt>
                <c:pt idx="4307">
                  <c:v>13224763.238219287</c:v>
                </c:pt>
                <c:pt idx="4308">
                  <c:v>13227426.150510492</c:v>
                </c:pt>
                <c:pt idx="4309">
                  <c:v>13230089.062801696</c:v>
                </c:pt>
                <c:pt idx="4310">
                  <c:v>13232751.975092903</c:v>
                </c:pt>
                <c:pt idx="4311">
                  <c:v>13235414.887384107</c:v>
                </c:pt>
                <c:pt idx="4312">
                  <c:v>13238077.799675312</c:v>
                </c:pt>
                <c:pt idx="4313">
                  <c:v>13240740.711966516</c:v>
                </c:pt>
                <c:pt idx="4314">
                  <c:v>13243403.624257721</c:v>
                </c:pt>
                <c:pt idx="4315">
                  <c:v>13246066.536548926</c:v>
                </c:pt>
                <c:pt idx="4316">
                  <c:v>13248729.448840132</c:v>
                </c:pt>
                <c:pt idx="4317">
                  <c:v>13251392.361131337</c:v>
                </c:pt>
                <c:pt idx="4318">
                  <c:v>13254055.273422541</c:v>
                </c:pt>
                <c:pt idx="4319">
                  <c:v>13256718.185713746</c:v>
                </c:pt>
                <c:pt idx="4320">
                  <c:v>13259381.09800495</c:v>
                </c:pt>
                <c:pt idx="4321">
                  <c:v>13262044.010296155</c:v>
                </c:pt>
                <c:pt idx="4322">
                  <c:v>13264706.922587361</c:v>
                </c:pt>
                <c:pt idx="4323">
                  <c:v>13267369.834878566</c:v>
                </c:pt>
                <c:pt idx="4324">
                  <c:v>13270032.74716977</c:v>
                </c:pt>
                <c:pt idx="4325">
                  <c:v>13272695.659460975</c:v>
                </c:pt>
                <c:pt idx="4326">
                  <c:v>13275358.571752179</c:v>
                </c:pt>
                <c:pt idx="4327">
                  <c:v>13278021.484043384</c:v>
                </c:pt>
                <c:pt idx="4328">
                  <c:v>13280684.396334589</c:v>
                </c:pt>
                <c:pt idx="4329">
                  <c:v>13283347.308625795</c:v>
                </c:pt>
                <c:pt idx="4330">
                  <c:v>13286010.220917</c:v>
                </c:pt>
                <c:pt idx="4331">
                  <c:v>13288673.133208204</c:v>
                </c:pt>
                <c:pt idx="4332">
                  <c:v>13291336.045499409</c:v>
                </c:pt>
                <c:pt idx="4333">
                  <c:v>13293998.957790613</c:v>
                </c:pt>
                <c:pt idx="4334">
                  <c:v>13296661.870081818</c:v>
                </c:pt>
                <c:pt idx="4335">
                  <c:v>13299324.782373024</c:v>
                </c:pt>
                <c:pt idx="4336">
                  <c:v>13301987.694664229</c:v>
                </c:pt>
                <c:pt idx="4337">
                  <c:v>13304650.606955433</c:v>
                </c:pt>
                <c:pt idx="4338">
                  <c:v>13307313.519246638</c:v>
                </c:pt>
                <c:pt idx="4339">
                  <c:v>13309976.431537842</c:v>
                </c:pt>
                <c:pt idx="4340">
                  <c:v>13312639.343829047</c:v>
                </c:pt>
                <c:pt idx="4341">
                  <c:v>13315302.256120253</c:v>
                </c:pt>
                <c:pt idx="4342">
                  <c:v>13317965.168411458</c:v>
                </c:pt>
                <c:pt idx="4343">
                  <c:v>13320628.080702662</c:v>
                </c:pt>
                <c:pt idx="4344">
                  <c:v>13323290.992993867</c:v>
                </c:pt>
                <c:pt idx="4345">
                  <c:v>13325953.905285072</c:v>
                </c:pt>
                <c:pt idx="4346">
                  <c:v>13328616.817576276</c:v>
                </c:pt>
                <c:pt idx="4347">
                  <c:v>13331279.729867481</c:v>
                </c:pt>
                <c:pt idx="4348">
                  <c:v>13333942.642158687</c:v>
                </c:pt>
                <c:pt idx="4349">
                  <c:v>13336605.554449892</c:v>
                </c:pt>
                <c:pt idx="4350">
                  <c:v>13339268.466741096</c:v>
                </c:pt>
                <c:pt idx="4351">
                  <c:v>13341931.379032301</c:v>
                </c:pt>
                <c:pt idx="4352">
                  <c:v>13344594.291323505</c:v>
                </c:pt>
                <c:pt idx="4353">
                  <c:v>13347257.20361471</c:v>
                </c:pt>
                <c:pt idx="4354">
                  <c:v>13349920.115905916</c:v>
                </c:pt>
                <c:pt idx="4355">
                  <c:v>13352583.028197121</c:v>
                </c:pt>
                <c:pt idx="4356">
                  <c:v>13355245.940488325</c:v>
                </c:pt>
                <c:pt idx="4357">
                  <c:v>13357908.85277953</c:v>
                </c:pt>
                <c:pt idx="4358">
                  <c:v>13360571.765070735</c:v>
                </c:pt>
                <c:pt idx="4359">
                  <c:v>13363234.677361939</c:v>
                </c:pt>
                <c:pt idx="4360">
                  <c:v>13365897.589653146</c:v>
                </c:pt>
                <c:pt idx="4361">
                  <c:v>13368560.50194435</c:v>
                </c:pt>
                <c:pt idx="4362">
                  <c:v>13371223.414235555</c:v>
                </c:pt>
                <c:pt idx="4363">
                  <c:v>13373886.326526759</c:v>
                </c:pt>
                <c:pt idx="4364">
                  <c:v>13376549.238817964</c:v>
                </c:pt>
                <c:pt idx="4365">
                  <c:v>13379212.151109168</c:v>
                </c:pt>
                <c:pt idx="4366">
                  <c:v>13381875.063400373</c:v>
                </c:pt>
                <c:pt idx="4367">
                  <c:v>13384537.975691579</c:v>
                </c:pt>
                <c:pt idx="4368">
                  <c:v>13387200.887982784</c:v>
                </c:pt>
                <c:pt idx="4369">
                  <c:v>13389863.800273988</c:v>
                </c:pt>
                <c:pt idx="4370">
                  <c:v>13392526.712565193</c:v>
                </c:pt>
                <c:pt idx="4371">
                  <c:v>13395189.624856398</c:v>
                </c:pt>
                <c:pt idx="4372">
                  <c:v>13397852.537147602</c:v>
                </c:pt>
                <c:pt idx="4373">
                  <c:v>13400515.449438808</c:v>
                </c:pt>
                <c:pt idx="4374">
                  <c:v>13403178.361730013</c:v>
                </c:pt>
                <c:pt idx="4375">
                  <c:v>13405841.274021218</c:v>
                </c:pt>
                <c:pt idx="4376">
                  <c:v>13408504.186312422</c:v>
                </c:pt>
                <c:pt idx="4377">
                  <c:v>13411167.098603627</c:v>
                </c:pt>
                <c:pt idx="4378">
                  <c:v>13413830.010894831</c:v>
                </c:pt>
                <c:pt idx="4379">
                  <c:v>13416492.923186036</c:v>
                </c:pt>
                <c:pt idx="4380">
                  <c:v>13419155.835477242</c:v>
                </c:pt>
                <c:pt idx="4381">
                  <c:v>13421818.747768447</c:v>
                </c:pt>
                <c:pt idx="4382">
                  <c:v>13424481.660059651</c:v>
                </c:pt>
                <c:pt idx="4383">
                  <c:v>13427144.572350856</c:v>
                </c:pt>
                <c:pt idx="4384">
                  <c:v>13429807.48464206</c:v>
                </c:pt>
                <c:pt idx="4385">
                  <c:v>13432470.396933265</c:v>
                </c:pt>
                <c:pt idx="4386">
                  <c:v>13435133.309224471</c:v>
                </c:pt>
                <c:pt idx="4387">
                  <c:v>13437796.221515676</c:v>
                </c:pt>
                <c:pt idx="4388">
                  <c:v>13440459.133806881</c:v>
                </c:pt>
                <c:pt idx="4389">
                  <c:v>13443122.046098085</c:v>
                </c:pt>
                <c:pt idx="4390">
                  <c:v>13445784.95838929</c:v>
                </c:pt>
                <c:pt idx="4391">
                  <c:v>13448447.870680494</c:v>
                </c:pt>
                <c:pt idx="4392">
                  <c:v>13451110.782971701</c:v>
                </c:pt>
                <c:pt idx="4393">
                  <c:v>13453773.695262905</c:v>
                </c:pt>
                <c:pt idx="4394">
                  <c:v>13456436.60755411</c:v>
                </c:pt>
                <c:pt idx="4395">
                  <c:v>13459099.519845314</c:v>
                </c:pt>
                <c:pt idx="4396">
                  <c:v>13461762.432136519</c:v>
                </c:pt>
                <c:pt idx="4397">
                  <c:v>13464425.344427723</c:v>
                </c:pt>
                <c:pt idx="4398">
                  <c:v>13467088.256718928</c:v>
                </c:pt>
                <c:pt idx="4399">
                  <c:v>13469751.169010134</c:v>
                </c:pt>
                <c:pt idx="4400">
                  <c:v>13472414.081301339</c:v>
                </c:pt>
                <c:pt idx="4401">
                  <c:v>13475076.993592544</c:v>
                </c:pt>
                <c:pt idx="4402">
                  <c:v>13477739.905883748</c:v>
                </c:pt>
                <c:pt idx="4403">
                  <c:v>13480402.818174953</c:v>
                </c:pt>
                <c:pt idx="4404">
                  <c:v>13483065.730466157</c:v>
                </c:pt>
                <c:pt idx="4405">
                  <c:v>13485728.642757364</c:v>
                </c:pt>
                <c:pt idx="4406">
                  <c:v>13488391.555048568</c:v>
                </c:pt>
                <c:pt idx="4407">
                  <c:v>13491054.467339773</c:v>
                </c:pt>
                <c:pt idx="4408">
                  <c:v>13493717.379630977</c:v>
                </c:pt>
                <c:pt idx="4409">
                  <c:v>13496380.291922182</c:v>
                </c:pt>
                <c:pt idx="4410">
                  <c:v>13499043.204213386</c:v>
                </c:pt>
                <c:pt idx="4411">
                  <c:v>13501706.116504593</c:v>
                </c:pt>
                <c:pt idx="4412">
                  <c:v>13504369.028795797</c:v>
                </c:pt>
                <c:pt idx="4413">
                  <c:v>13507031.941087002</c:v>
                </c:pt>
                <c:pt idx="4414">
                  <c:v>13509694.853378206</c:v>
                </c:pt>
                <c:pt idx="4415">
                  <c:v>13512357.765669411</c:v>
                </c:pt>
                <c:pt idx="4416">
                  <c:v>13515020.677960616</c:v>
                </c:pt>
                <c:pt idx="4417">
                  <c:v>13517683.59025182</c:v>
                </c:pt>
                <c:pt idx="4418">
                  <c:v>13520346.502543027</c:v>
                </c:pt>
                <c:pt idx="4419">
                  <c:v>13523009.414834231</c:v>
                </c:pt>
                <c:pt idx="4420">
                  <c:v>13525672.327125436</c:v>
                </c:pt>
                <c:pt idx="4421">
                  <c:v>13528335.23941664</c:v>
                </c:pt>
                <c:pt idx="4422">
                  <c:v>13530998.151707845</c:v>
                </c:pt>
                <c:pt idx="4423">
                  <c:v>13533661.063999049</c:v>
                </c:pt>
                <c:pt idx="4424">
                  <c:v>13536323.976290256</c:v>
                </c:pt>
                <c:pt idx="4425">
                  <c:v>13538986.88858146</c:v>
                </c:pt>
                <c:pt idx="4426">
                  <c:v>13541649.800872665</c:v>
                </c:pt>
                <c:pt idx="4427">
                  <c:v>13544312.713163869</c:v>
                </c:pt>
                <c:pt idx="4428">
                  <c:v>13546975.625455074</c:v>
                </c:pt>
                <c:pt idx="4429">
                  <c:v>13549638.537746279</c:v>
                </c:pt>
                <c:pt idx="4430">
                  <c:v>13552301.450037485</c:v>
                </c:pt>
                <c:pt idx="4431">
                  <c:v>13554964.36232869</c:v>
                </c:pt>
                <c:pt idx="4432">
                  <c:v>13557627.274619894</c:v>
                </c:pt>
                <c:pt idx="4433">
                  <c:v>13560290.186911099</c:v>
                </c:pt>
                <c:pt idx="4434">
                  <c:v>13562953.099202303</c:v>
                </c:pt>
                <c:pt idx="4435">
                  <c:v>13565616.011493508</c:v>
                </c:pt>
                <c:pt idx="4436">
                  <c:v>13568278.923784712</c:v>
                </c:pt>
                <c:pt idx="4437">
                  <c:v>13570941.836075919</c:v>
                </c:pt>
                <c:pt idx="4438">
                  <c:v>13573604.748367123</c:v>
                </c:pt>
                <c:pt idx="4439">
                  <c:v>13576267.660658328</c:v>
                </c:pt>
                <c:pt idx="4440">
                  <c:v>13578930.572949532</c:v>
                </c:pt>
                <c:pt idx="4441">
                  <c:v>13581593.485240737</c:v>
                </c:pt>
                <c:pt idx="4442">
                  <c:v>13584256.397531942</c:v>
                </c:pt>
                <c:pt idx="4443">
                  <c:v>13586919.309823148</c:v>
                </c:pt>
                <c:pt idx="4444">
                  <c:v>13589582.222114353</c:v>
                </c:pt>
                <c:pt idx="4445">
                  <c:v>13592245.134405557</c:v>
                </c:pt>
                <c:pt idx="4446">
                  <c:v>13594908.046696762</c:v>
                </c:pt>
                <c:pt idx="4447">
                  <c:v>13597570.958987966</c:v>
                </c:pt>
                <c:pt idx="4448">
                  <c:v>13600233.871279171</c:v>
                </c:pt>
                <c:pt idx="4449">
                  <c:v>13602896.783570377</c:v>
                </c:pt>
                <c:pt idx="4450">
                  <c:v>13605559.695861582</c:v>
                </c:pt>
                <c:pt idx="4451">
                  <c:v>13608222.608152786</c:v>
                </c:pt>
                <c:pt idx="4452">
                  <c:v>13610885.520443991</c:v>
                </c:pt>
                <c:pt idx="4453">
                  <c:v>13613548.432735195</c:v>
                </c:pt>
                <c:pt idx="4454">
                  <c:v>13616211.3450264</c:v>
                </c:pt>
                <c:pt idx="4455">
                  <c:v>13618874.257317604</c:v>
                </c:pt>
                <c:pt idx="4456">
                  <c:v>13621537.169608811</c:v>
                </c:pt>
                <c:pt idx="4457">
                  <c:v>13624200.081900015</c:v>
                </c:pt>
                <c:pt idx="4458">
                  <c:v>13626862.99419122</c:v>
                </c:pt>
                <c:pt idx="4459">
                  <c:v>13629525.906482425</c:v>
                </c:pt>
                <c:pt idx="4460">
                  <c:v>13632188.818773629</c:v>
                </c:pt>
                <c:pt idx="4461">
                  <c:v>13634851.731064834</c:v>
                </c:pt>
                <c:pt idx="4462">
                  <c:v>13637514.64335604</c:v>
                </c:pt>
                <c:pt idx="4463">
                  <c:v>13640177.555647245</c:v>
                </c:pt>
                <c:pt idx="4464">
                  <c:v>13642840.467938449</c:v>
                </c:pt>
                <c:pt idx="4465">
                  <c:v>13645503.380229654</c:v>
                </c:pt>
                <c:pt idx="4466">
                  <c:v>13648166.292520858</c:v>
                </c:pt>
                <c:pt idx="4467">
                  <c:v>13650829.204812063</c:v>
                </c:pt>
                <c:pt idx="4468">
                  <c:v>13653492.117103267</c:v>
                </c:pt>
                <c:pt idx="4469">
                  <c:v>13656155.029394474</c:v>
                </c:pt>
                <c:pt idx="4470">
                  <c:v>13658817.941685678</c:v>
                </c:pt>
                <c:pt idx="4471">
                  <c:v>13661480.853976883</c:v>
                </c:pt>
                <c:pt idx="4472">
                  <c:v>13664143.766268088</c:v>
                </c:pt>
                <c:pt idx="4473">
                  <c:v>13666806.678559292</c:v>
                </c:pt>
                <c:pt idx="4474">
                  <c:v>13669469.590850497</c:v>
                </c:pt>
                <c:pt idx="4475">
                  <c:v>13672132.503141703</c:v>
                </c:pt>
                <c:pt idx="4476">
                  <c:v>13674795.415432908</c:v>
                </c:pt>
                <c:pt idx="4477">
                  <c:v>13677458.327724112</c:v>
                </c:pt>
                <c:pt idx="4478">
                  <c:v>13680121.240015317</c:v>
                </c:pt>
                <c:pt idx="4479">
                  <c:v>13682784.152306521</c:v>
                </c:pt>
                <c:pt idx="4480">
                  <c:v>13685447.064597726</c:v>
                </c:pt>
                <c:pt idx="4481">
                  <c:v>13688109.976888932</c:v>
                </c:pt>
                <c:pt idx="4482">
                  <c:v>13690772.889180137</c:v>
                </c:pt>
                <c:pt idx="4483">
                  <c:v>13693435.801471341</c:v>
                </c:pt>
                <c:pt idx="4484">
                  <c:v>13696098.713762546</c:v>
                </c:pt>
                <c:pt idx="4485">
                  <c:v>13698761.626053751</c:v>
                </c:pt>
                <c:pt idx="4486">
                  <c:v>13701424.538344955</c:v>
                </c:pt>
                <c:pt idx="4487">
                  <c:v>13704087.45063616</c:v>
                </c:pt>
                <c:pt idx="4488">
                  <c:v>13706750.362927366</c:v>
                </c:pt>
                <c:pt idx="4489">
                  <c:v>13709413.275218571</c:v>
                </c:pt>
                <c:pt idx="4490">
                  <c:v>13712076.187509775</c:v>
                </c:pt>
                <c:pt idx="4491">
                  <c:v>13714739.09980098</c:v>
                </c:pt>
                <c:pt idx="4492">
                  <c:v>13717402.012092184</c:v>
                </c:pt>
                <c:pt idx="4493">
                  <c:v>13720064.924383389</c:v>
                </c:pt>
                <c:pt idx="4494">
                  <c:v>13722727.836674595</c:v>
                </c:pt>
                <c:pt idx="4495">
                  <c:v>13725390.7489658</c:v>
                </c:pt>
                <c:pt idx="4496">
                  <c:v>13728053.661257004</c:v>
                </c:pt>
                <c:pt idx="4497">
                  <c:v>13730716.573548209</c:v>
                </c:pt>
                <c:pt idx="4498">
                  <c:v>13733379.485839413</c:v>
                </c:pt>
                <c:pt idx="4499">
                  <c:v>13736042.398130618</c:v>
                </c:pt>
                <c:pt idx="4500">
                  <c:v>13738705.310421824</c:v>
                </c:pt>
                <c:pt idx="4501">
                  <c:v>13741368.222713029</c:v>
                </c:pt>
                <c:pt idx="4502">
                  <c:v>13744031.135004234</c:v>
                </c:pt>
                <c:pt idx="4503">
                  <c:v>13746694.047295438</c:v>
                </c:pt>
                <c:pt idx="4504">
                  <c:v>13749356.959586643</c:v>
                </c:pt>
                <c:pt idx="4505">
                  <c:v>13752019.871877847</c:v>
                </c:pt>
                <c:pt idx="4506">
                  <c:v>13754682.784169052</c:v>
                </c:pt>
                <c:pt idx="4507">
                  <c:v>13757345.696460258</c:v>
                </c:pt>
                <c:pt idx="4508">
                  <c:v>13760008.608751463</c:v>
                </c:pt>
                <c:pt idx="4509">
                  <c:v>13762671.521042667</c:v>
                </c:pt>
                <c:pt idx="4510">
                  <c:v>13765334.433333872</c:v>
                </c:pt>
                <c:pt idx="4511">
                  <c:v>13767997.345625076</c:v>
                </c:pt>
                <c:pt idx="4512">
                  <c:v>13770660.257916281</c:v>
                </c:pt>
                <c:pt idx="4513">
                  <c:v>13773323.170207487</c:v>
                </c:pt>
                <c:pt idx="4514">
                  <c:v>13775986.082498692</c:v>
                </c:pt>
                <c:pt idx="4515">
                  <c:v>13778648.994789897</c:v>
                </c:pt>
                <c:pt idx="4516">
                  <c:v>13781311.907081101</c:v>
                </c:pt>
                <c:pt idx="4517">
                  <c:v>13783974.819372306</c:v>
                </c:pt>
                <c:pt idx="4518">
                  <c:v>13786637.73166351</c:v>
                </c:pt>
                <c:pt idx="4519">
                  <c:v>13789300.643954717</c:v>
                </c:pt>
                <c:pt idx="4520">
                  <c:v>13791963.556245921</c:v>
                </c:pt>
                <c:pt idx="4521">
                  <c:v>13794626.468537126</c:v>
                </c:pt>
                <c:pt idx="4522">
                  <c:v>13797289.38082833</c:v>
                </c:pt>
                <c:pt idx="4523">
                  <c:v>13799952.293119535</c:v>
                </c:pt>
                <c:pt idx="4524">
                  <c:v>13802615.205410739</c:v>
                </c:pt>
                <c:pt idx="4525">
                  <c:v>13805278.117701944</c:v>
                </c:pt>
                <c:pt idx="4526">
                  <c:v>13807941.02999315</c:v>
                </c:pt>
                <c:pt idx="4527">
                  <c:v>13810603.942284355</c:v>
                </c:pt>
                <c:pt idx="4528">
                  <c:v>13813266.854575559</c:v>
                </c:pt>
                <c:pt idx="4529">
                  <c:v>13815929.766866764</c:v>
                </c:pt>
                <c:pt idx="4530">
                  <c:v>13818592.679157969</c:v>
                </c:pt>
                <c:pt idx="4531">
                  <c:v>13821255.591449173</c:v>
                </c:pt>
                <c:pt idx="4532">
                  <c:v>13823918.50374038</c:v>
                </c:pt>
                <c:pt idx="4533">
                  <c:v>13826581.416031584</c:v>
                </c:pt>
                <c:pt idx="4534">
                  <c:v>13829244.328322789</c:v>
                </c:pt>
                <c:pt idx="4535">
                  <c:v>13831907.240613993</c:v>
                </c:pt>
                <c:pt idx="4536">
                  <c:v>13834570.152905198</c:v>
                </c:pt>
                <c:pt idx="4537">
                  <c:v>13837233.065196402</c:v>
                </c:pt>
                <c:pt idx="4538">
                  <c:v>13839895.977487607</c:v>
                </c:pt>
                <c:pt idx="4539">
                  <c:v>13842558.889778813</c:v>
                </c:pt>
                <c:pt idx="4540">
                  <c:v>13845221.802070018</c:v>
                </c:pt>
                <c:pt idx="4541">
                  <c:v>13847884.714361222</c:v>
                </c:pt>
                <c:pt idx="4542">
                  <c:v>13850547.626652427</c:v>
                </c:pt>
                <c:pt idx="4543">
                  <c:v>13853210.538943632</c:v>
                </c:pt>
                <c:pt idx="4544">
                  <c:v>13855873.451234836</c:v>
                </c:pt>
                <c:pt idx="4545">
                  <c:v>13858536.363526043</c:v>
                </c:pt>
                <c:pt idx="4546">
                  <c:v>13861199.275817247</c:v>
                </c:pt>
                <c:pt idx="4547">
                  <c:v>13863862.188108452</c:v>
                </c:pt>
                <c:pt idx="4548">
                  <c:v>13866525.100399656</c:v>
                </c:pt>
                <c:pt idx="4549">
                  <c:v>13869188.012690861</c:v>
                </c:pt>
                <c:pt idx="4550">
                  <c:v>13871850.924982065</c:v>
                </c:pt>
                <c:pt idx="4551">
                  <c:v>13874513.837273272</c:v>
                </c:pt>
                <c:pt idx="4552">
                  <c:v>13877176.749564476</c:v>
                </c:pt>
                <c:pt idx="4553">
                  <c:v>13879839.661855681</c:v>
                </c:pt>
                <c:pt idx="4554">
                  <c:v>13882502.574146885</c:v>
                </c:pt>
                <c:pt idx="4555">
                  <c:v>13885165.48643809</c:v>
                </c:pt>
                <c:pt idx="4556">
                  <c:v>13887828.398729295</c:v>
                </c:pt>
                <c:pt idx="4557">
                  <c:v>13890491.311020499</c:v>
                </c:pt>
                <c:pt idx="4558">
                  <c:v>13893154.223311706</c:v>
                </c:pt>
                <c:pt idx="4559">
                  <c:v>13895817.13560291</c:v>
                </c:pt>
                <c:pt idx="4560">
                  <c:v>13898480.047894115</c:v>
                </c:pt>
                <c:pt idx="4561">
                  <c:v>13901142.960185319</c:v>
                </c:pt>
                <c:pt idx="4562">
                  <c:v>13903805.872476524</c:v>
                </c:pt>
                <c:pt idx="4563">
                  <c:v>13906468.784767728</c:v>
                </c:pt>
                <c:pt idx="4564">
                  <c:v>13909131.697058935</c:v>
                </c:pt>
                <c:pt idx="4565">
                  <c:v>13911794.609350139</c:v>
                </c:pt>
                <c:pt idx="4566">
                  <c:v>13914457.521641344</c:v>
                </c:pt>
                <c:pt idx="4567">
                  <c:v>13917120.433932548</c:v>
                </c:pt>
                <c:pt idx="4568">
                  <c:v>13919783.346223753</c:v>
                </c:pt>
                <c:pt idx="4569">
                  <c:v>13922446.258514958</c:v>
                </c:pt>
                <c:pt idx="4570">
                  <c:v>13925109.170806164</c:v>
                </c:pt>
                <c:pt idx="4571">
                  <c:v>13927772.083097368</c:v>
                </c:pt>
                <c:pt idx="4572">
                  <c:v>13930434.995388573</c:v>
                </c:pt>
                <c:pt idx="4573">
                  <c:v>13933097.907679778</c:v>
                </c:pt>
                <c:pt idx="4574">
                  <c:v>13935760.819970982</c:v>
                </c:pt>
                <c:pt idx="4575">
                  <c:v>13938423.732262187</c:v>
                </c:pt>
                <c:pt idx="4576">
                  <c:v>13941086.644553391</c:v>
                </c:pt>
                <c:pt idx="4577">
                  <c:v>13943749.556844598</c:v>
                </c:pt>
                <c:pt idx="4578">
                  <c:v>13946412.469135802</c:v>
                </c:pt>
                <c:pt idx="4579">
                  <c:v>13949075.381427007</c:v>
                </c:pt>
                <c:pt idx="4580">
                  <c:v>13951738.293718211</c:v>
                </c:pt>
                <c:pt idx="4581">
                  <c:v>13954401.206009416</c:v>
                </c:pt>
                <c:pt idx="4582">
                  <c:v>13957064.11830062</c:v>
                </c:pt>
                <c:pt idx="4583">
                  <c:v>13959727.030591827</c:v>
                </c:pt>
                <c:pt idx="4584">
                  <c:v>13962389.942883031</c:v>
                </c:pt>
                <c:pt idx="4585">
                  <c:v>13965052.855174236</c:v>
                </c:pt>
                <c:pt idx="4586">
                  <c:v>13967715.767465441</c:v>
                </c:pt>
                <c:pt idx="4587">
                  <c:v>13970378.679756645</c:v>
                </c:pt>
                <c:pt idx="4588">
                  <c:v>13973041.59204785</c:v>
                </c:pt>
                <c:pt idx="4589">
                  <c:v>13975704.504339056</c:v>
                </c:pt>
                <c:pt idx="4590">
                  <c:v>13978367.416630261</c:v>
                </c:pt>
                <c:pt idx="4591">
                  <c:v>13981030.328921465</c:v>
                </c:pt>
                <c:pt idx="4592">
                  <c:v>13983693.24121267</c:v>
                </c:pt>
                <c:pt idx="4593">
                  <c:v>13986356.153503874</c:v>
                </c:pt>
                <c:pt idx="4594">
                  <c:v>13989019.065795079</c:v>
                </c:pt>
                <c:pt idx="4595">
                  <c:v>13991681.978086283</c:v>
                </c:pt>
                <c:pt idx="4596">
                  <c:v>13994344.89037749</c:v>
                </c:pt>
                <c:pt idx="4597">
                  <c:v>13997007.802668694</c:v>
                </c:pt>
                <c:pt idx="4598">
                  <c:v>13999670.714959899</c:v>
                </c:pt>
                <c:pt idx="4599">
                  <c:v>14002333.627251104</c:v>
                </c:pt>
                <c:pt idx="4600">
                  <c:v>14004996.539542308</c:v>
                </c:pt>
                <c:pt idx="4601">
                  <c:v>14007659.451833513</c:v>
                </c:pt>
                <c:pt idx="4602">
                  <c:v>14010322.364124719</c:v>
                </c:pt>
                <c:pt idx="4603">
                  <c:v>14012985.276415924</c:v>
                </c:pt>
                <c:pt idx="4604">
                  <c:v>14015648.188707128</c:v>
                </c:pt>
                <c:pt idx="4605">
                  <c:v>14018311.100998333</c:v>
                </c:pt>
                <c:pt idx="4606">
                  <c:v>14020974.013289537</c:v>
                </c:pt>
                <c:pt idx="4607">
                  <c:v>14023636.925580742</c:v>
                </c:pt>
                <c:pt idx="4608">
                  <c:v>14026299.837871946</c:v>
                </c:pt>
                <c:pt idx="4609">
                  <c:v>14028962.750163153</c:v>
                </c:pt>
                <c:pt idx="4610">
                  <c:v>14031625.662454357</c:v>
                </c:pt>
                <c:pt idx="4611">
                  <c:v>14034288.574745562</c:v>
                </c:pt>
                <c:pt idx="4612">
                  <c:v>14036951.487036766</c:v>
                </c:pt>
                <c:pt idx="4613">
                  <c:v>14039614.399327971</c:v>
                </c:pt>
                <c:pt idx="4614">
                  <c:v>14042277.311619176</c:v>
                </c:pt>
                <c:pt idx="4615">
                  <c:v>14044940.223910382</c:v>
                </c:pt>
                <c:pt idx="4616">
                  <c:v>14047603.136201587</c:v>
                </c:pt>
                <c:pt idx="4617">
                  <c:v>14050266.048492791</c:v>
                </c:pt>
                <c:pt idx="4618">
                  <c:v>14052928.960783996</c:v>
                </c:pt>
                <c:pt idx="4619">
                  <c:v>14055591.8730752</c:v>
                </c:pt>
                <c:pt idx="4620">
                  <c:v>14058254.785366405</c:v>
                </c:pt>
                <c:pt idx="4621">
                  <c:v>14060917.697657611</c:v>
                </c:pt>
                <c:pt idx="4622">
                  <c:v>14063580.609948816</c:v>
                </c:pt>
                <c:pt idx="4623">
                  <c:v>14066243.52224002</c:v>
                </c:pt>
                <c:pt idx="4624">
                  <c:v>14068906.434531225</c:v>
                </c:pt>
                <c:pt idx="4625">
                  <c:v>14071569.346822429</c:v>
                </c:pt>
                <c:pt idx="4626">
                  <c:v>14074232.259113634</c:v>
                </c:pt>
                <c:pt idx="4627">
                  <c:v>14076895.171404839</c:v>
                </c:pt>
                <c:pt idx="4628">
                  <c:v>14079558.083696045</c:v>
                </c:pt>
                <c:pt idx="4629">
                  <c:v>14082220.99598725</c:v>
                </c:pt>
                <c:pt idx="4630">
                  <c:v>14084883.908278454</c:v>
                </c:pt>
                <c:pt idx="4631">
                  <c:v>14087546.820569659</c:v>
                </c:pt>
                <c:pt idx="4632">
                  <c:v>14090209.732860863</c:v>
                </c:pt>
                <c:pt idx="4633">
                  <c:v>14092872.645152068</c:v>
                </c:pt>
                <c:pt idx="4634">
                  <c:v>14095535.557443274</c:v>
                </c:pt>
                <c:pt idx="4635">
                  <c:v>14098198.469734479</c:v>
                </c:pt>
                <c:pt idx="4636">
                  <c:v>14100861.382025683</c:v>
                </c:pt>
                <c:pt idx="4637">
                  <c:v>14103524.294316888</c:v>
                </c:pt>
                <c:pt idx="4638">
                  <c:v>14106187.206608092</c:v>
                </c:pt>
                <c:pt idx="4639">
                  <c:v>14108850.118899297</c:v>
                </c:pt>
                <c:pt idx="4640">
                  <c:v>14111513.031190503</c:v>
                </c:pt>
                <c:pt idx="4641">
                  <c:v>14114175.943481708</c:v>
                </c:pt>
                <c:pt idx="4642">
                  <c:v>14116838.855772913</c:v>
                </c:pt>
                <c:pt idx="4643">
                  <c:v>14119501.768064117</c:v>
                </c:pt>
                <c:pt idx="4644">
                  <c:v>14122164.680355322</c:v>
                </c:pt>
                <c:pt idx="4645">
                  <c:v>14124827.592646526</c:v>
                </c:pt>
                <c:pt idx="4646">
                  <c:v>14127490.504937731</c:v>
                </c:pt>
                <c:pt idx="4647">
                  <c:v>14130153.417228937</c:v>
                </c:pt>
                <c:pt idx="4648">
                  <c:v>14132816.329520142</c:v>
                </c:pt>
                <c:pt idx="4649">
                  <c:v>14135479.241811346</c:v>
                </c:pt>
                <c:pt idx="4650">
                  <c:v>14138142.154102551</c:v>
                </c:pt>
                <c:pt idx="4651">
                  <c:v>14140805.066393755</c:v>
                </c:pt>
                <c:pt idx="4652">
                  <c:v>14143467.97868496</c:v>
                </c:pt>
                <c:pt idx="4653">
                  <c:v>14146130.890976166</c:v>
                </c:pt>
                <c:pt idx="4654">
                  <c:v>14148793.803267371</c:v>
                </c:pt>
                <c:pt idx="4655">
                  <c:v>14151456.715558575</c:v>
                </c:pt>
                <c:pt idx="4656">
                  <c:v>14154119.62784978</c:v>
                </c:pt>
                <c:pt idx="4657">
                  <c:v>14156782.540140985</c:v>
                </c:pt>
                <c:pt idx="4658">
                  <c:v>14159445.452432189</c:v>
                </c:pt>
                <c:pt idx="4659">
                  <c:v>14162108.364723396</c:v>
                </c:pt>
                <c:pt idx="4660">
                  <c:v>14164771.2770146</c:v>
                </c:pt>
                <c:pt idx="4661">
                  <c:v>14167434.189305805</c:v>
                </c:pt>
                <c:pt idx="4662">
                  <c:v>14170097.101597009</c:v>
                </c:pt>
                <c:pt idx="4663">
                  <c:v>14172760.013888214</c:v>
                </c:pt>
                <c:pt idx="4664">
                  <c:v>14175422.926179418</c:v>
                </c:pt>
                <c:pt idx="4665">
                  <c:v>14178085.838470623</c:v>
                </c:pt>
                <c:pt idx="4666">
                  <c:v>14180748.750761829</c:v>
                </c:pt>
                <c:pt idx="4667">
                  <c:v>14183411.663053034</c:v>
                </c:pt>
                <c:pt idx="4668">
                  <c:v>14186074.575344238</c:v>
                </c:pt>
                <c:pt idx="4669">
                  <c:v>14188737.487635443</c:v>
                </c:pt>
                <c:pt idx="4670">
                  <c:v>14191400.399926648</c:v>
                </c:pt>
                <c:pt idx="4671">
                  <c:v>14194063.312217852</c:v>
                </c:pt>
                <c:pt idx="4672">
                  <c:v>14196726.224509059</c:v>
                </c:pt>
                <c:pt idx="4673">
                  <c:v>14199389.136800263</c:v>
                </c:pt>
                <c:pt idx="4674">
                  <c:v>14202052.049091468</c:v>
                </c:pt>
                <c:pt idx="4675">
                  <c:v>14204714.961382672</c:v>
                </c:pt>
                <c:pt idx="4676">
                  <c:v>14207377.873673877</c:v>
                </c:pt>
                <c:pt idx="4677">
                  <c:v>14210040.785965081</c:v>
                </c:pt>
                <c:pt idx="4678">
                  <c:v>14212703.698256288</c:v>
                </c:pt>
                <c:pt idx="4679">
                  <c:v>14215366.610547492</c:v>
                </c:pt>
                <c:pt idx="4680">
                  <c:v>14218029.522838697</c:v>
                </c:pt>
                <c:pt idx="4681">
                  <c:v>14220692.435129901</c:v>
                </c:pt>
                <c:pt idx="4682">
                  <c:v>14223355.347421106</c:v>
                </c:pt>
                <c:pt idx="4683">
                  <c:v>14226018.259712311</c:v>
                </c:pt>
                <c:pt idx="4684">
                  <c:v>14228681.172003515</c:v>
                </c:pt>
                <c:pt idx="4685">
                  <c:v>14231344.084294721</c:v>
                </c:pt>
                <c:pt idx="4686">
                  <c:v>14234006.996585926</c:v>
                </c:pt>
                <c:pt idx="4687">
                  <c:v>14236669.908877131</c:v>
                </c:pt>
                <c:pt idx="4688">
                  <c:v>14239332.821168335</c:v>
                </c:pt>
                <c:pt idx="4689">
                  <c:v>14241995.73345954</c:v>
                </c:pt>
                <c:pt idx="4690">
                  <c:v>14244658.645750744</c:v>
                </c:pt>
                <c:pt idx="4691">
                  <c:v>14247321.558041951</c:v>
                </c:pt>
                <c:pt idx="4692">
                  <c:v>14249984.470333155</c:v>
                </c:pt>
                <c:pt idx="4693">
                  <c:v>14252647.38262436</c:v>
                </c:pt>
                <c:pt idx="4694">
                  <c:v>14255310.294915564</c:v>
                </c:pt>
                <c:pt idx="4695">
                  <c:v>14257973.207206769</c:v>
                </c:pt>
                <c:pt idx="4696">
                  <c:v>14260636.119497973</c:v>
                </c:pt>
                <c:pt idx="4697">
                  <c:v>14263299.031789178</c:v>
                </c:pt>
                <c:pt idx="4698">
                  <c:v>14265961.944080384</c:v>
                </c:pt>
                <c:pt idx="4699">
                  <c:v>14268624.856371589</c:v>
                </c:pt>
                <c:pt idx="4700">
                  <c:v>14271287.768662794</c:v>
                </c:pt>
                <c:pt idx="4701">
                  <c:v>14273950.680953998</c:v>
                </c:pt>
                <c:pt idx="4702">
                  <c:v>14276613.593245203</c:v>
                </c:pt>
                <c:pt idx="4703">
                  <c:v>14279276.505536407</c:v>
                </c:pt>
                <c:pt idx="4704">
                  <c:v>14281939.417827614</c:v>
                </c:pt>
                <c:pt idx="4705">
                  <c:v>14284602.330118818</c:v>
                </c:pt>
                <c:pt idx="4706">
                  <c:v>14287265.242410023</c:v>
                </c:pt>
                <c:pt idx="4707">
                  <c:v>14289928.154701227</c:v>
                </c:pt>
                <c:pt idx="4708">
                  <c:v>14292591.066992432</c:v>
                </c:pt>
                <c:pt idx="4709">
                  <c:v>14295253.979283636</c:v>
                </c:pt>
                <c:pt idx="4710">
                  <c:v>14297916.891574843</c:v>
                </c:pt>
                <c:pt idx="4711">
                  <c:v>14300579.803866047</c:v>
                </c:pt>
                <c:pt idx="4712">
                  <c:v>14303242.716157252</c:v>
                </c:pt>
                <c:pt idx="4713">
                  <c:v>14305905.628448457</c:v>
                </c:pt>
                <c:pt idx="4714">
                  <c:v>14308568.540739661</c:v>
                </c:pt>
                <c:pt idx="4715">
                  <c:v>14311231.453030866</c:v>
                </c:pt>
                <c:pt idx="4716">
                  <c:v>14313894.36532207</c:v>
                </c:pt>
                <c:pt idx="4717">
                  <c:v>14316557.277613277</c:v>
                </c:pt>
                <c:pt idx="4718">
                  <c:v>14319220.189904481</c:v>
                </c:pt>
                <c:pt idx="4719">
                  <c:v>14321883.102195686</c:v>
                </c:pt>
                <c:pt idx="4720">
                  <c:v>14324546.01448689</c:v>
                </c:pt>
                <c:pt idx="4721">
                  <c:v>14327208.926778095</c:v>
                </c:pt>
                <c:pt idx="4722">
                  <c:v>14329871.839069299</c:v>
                </c:pt>
                <c:pt idx="4723">
                  <c:v>14332534.751360506</c:v>
                </c:pt>
                <c:pt idx="4724">
                  <c:v>14335197.66365171</c:v>
                </c:pt>
                <c:pt idx="4725">
                  <c:v>14337860.575942915</c:v>
                </c:pt>
                <c:pt idx="4726">
                  <c:v>14340523.488234119</c:v>
                </c:pt>
                <c:pt idx="4727">
                  <c:v>14343186.400525324</c:v>
                </c:pt>
                <c:pt idx="4728">
                  <c:v>14345849.312816529</c:v>
                </c:pt>
                <c:pt idx="4729">
                  <c:v>14348512.225107735</c:v>
                </c:pt>
                <c:pt idx="4730">
                  <c:v>14351175.13739894</c:v>
                </c:pt>
                <c:pt idx="4731">
                  <c:v>14353838.049690144</c:v>
                </c:pt>
                <c:pt idx="4732">
                  <c:v>14356500.961981349</c:v>
                </c:pt>
                <c:pt idx="4733">
                  <c:v>14359163.874272553</c:v>
                </c:pt>
                <c:pt idx="4734">
                  <c:v>14361826.786563758</c:v>
                </c:pt>
                <c:pt idx="4735">
                  <c:v>14364489.698854962</c:v>
                </c:pt>
                <c:pt idx="4736">
                  <c:v>14367152.611146169</c:v>
                </c:pt>
                <c:pt idx="4737">
                  <c:v>14369815.523437373</c:v>
                </c:pt>
                <c:pt idx="4738">
                  <c:v>14372478.435728578</c:v>
                </c:pt>
                <c:pt idx="4739">
                  <c:v>14375141.348019782</c:v>
                </c:pt>
                <c:pt idx="4740">
                  <c:v>14377804.260310987</c:v>
                </c:pt>
                <c:pt idx="4741">
                  <c:v>14380467.172602192</c:v>
                </c:pt>
                <c:pt idx="4742">
                  <c:v>14383130.084893398</c:v>
                </c:pt>
                <c:pt idx="4743">
                  <c:v>14385792.997184603</c:v>
                </c:pt>
                <c:pt idx="4744">
                  <c:v>14388455.909475807</c:v>
                </c:pt>
                <c:pt idx="4745">
                  <c:v>14391118.821767012</c:v>
                </c:pt>
                <c:pt idx="4746">
                  <c:v>14393781.734058216</c:v>
                </c:pt>
                <c:pt idx="4747">
                  <c:v>14396444.646349421</c:v>
                </c:pt>
                <c:pt idx="4748">
                  <c:v>14399107.558640627</c:v>
                </c:pt>
                <c:pt idx="4749">
                  <c:v>14401770.470931832</c:v>
                </c:pt>
                <c:pt idx="4750">
                  <c:v>14404433.383223036</c:v>
                </c:pt>
                <c:pt idx="4751">
                  <c:v>14407096.295514241</c:v>
                </c:pt>
                <c:pt idx="4752">
                  <c:v>14409759.207805445</c:v>
                </c:pt>
                <c:pt idx="4753">
                  <c:v>14412422.12009665</c:v>
                </c:pt>
                <c:pt idx="4754">
                  <c:v>14415085.032387855</c:v>
                </c:pt>
                <c:pt idx="4755">
                  <c:v>14417747.944679061</c:v>
                </c:pt>
                <c:pt idx="4756">
                  <c:v>14420410.856970266</c:v>
                </c:pt>
                <c:pt idx="4757">
                  <c:v>14423073.76926147</c:v>
                </c:pt>
                <c:pt idx="4758">
                  <c:v>14425736.681552675</c:v>
                </c:pt>
                <c:pt idx="4759">
                  <c:v>14428399.593843879</c:v>
                </c:pt>
                <c:pt idx="4760">
                  <c:v>14431062.506135084</c:v>
                </c:pt>
                <c:pt idx="4761">
                  <c:v>14433725.41842629</c:v>
                </c:pt>
                <c:pt idx="4762">
                  <c:v>14436388.330717495</c:v>
                </c:pt>
                <c:pt idx="4763">
                  <c:v>14439051.243008699</c:v>
                </c:pt>
                <c:pt idx="4764">
                  <c:v>14441714.155299904</c:v>
                </c:pt>
                <c:pt idx="4765">
                  <c:v>14444377.067591108</c:v>
                </c:pt>
                <c:pt idx="4766">
                  <c:v>14447039.979882313</c:v>
                </c:pt>
                <c:pt idx="4767">
                  <c:v>14449702.892173517</c:v>
                </c:pt>
                <c:pt idx="4768">
                  <c:v>14452365.804464724</c:v>
                </c:pt>
                <c:pt idx="4769">
                  <c:v>14455028.716755928</c:v>
                </c:pt>
                <c:pt idx="4770">
                  <c:v>14457691.629047133</c:v>
                </c:pt>
                <c:pt idx="4771">
                  <c:v>14460354.541338338</c:v>
                </c:pt>
                <c:pt idx="4772">
                  <c:v>14463017.453629542</c:v>
                </c:pt>
                <c:pt idx="4773">
                  <c:v>14465680.365920747</c:v>
                </c:pt>
                <c:pt idx="4774">
                  <c:v>14468343.278211953</c:v>
                </c:pt>
                <c:pt idx="4775">
                  <c:v>14471006.190503158</c:v>
                </c:pt>
                <c:pt idx="4776">
                  <c:v>14473669.102794362</c:v>
                </c:pt>
                <c:pt idx="4777">
                  <c:v>14476332.015085567</c:v>
                </c:pt>
                <c:pt idx="4778">
                  <c:v>14478994.927376771</c:v>
                </c:pt>
                <c:pt idx="4779">
                  <c:v>14481657.839667976</c:v>
                </c:pt>
                <c:pt idx="4780">
                  <c:v>14484320.751959182</c:v>
                </c:pt>
                <c:pt idx="4781">
                  <c:v>14486983.664250387</c:v>
                </c:pt>
                <c:pt idx="4782">
                  <c:v>14489646.576541591</c:v>
                </c:pt>
                <c:pt idx="4783">
                  <c:v>14492309.488832796</c:v>
                </c:pt>
                <c:pt idx="4784">
                  <c:v>14494972.401124001</c:v>
                </c:pt>
                <c:pt idx="4785">
                  <c:v>14497635.313415205</c:v>
                </c:pt>
                <c:pt idx="4786">
                  <c:v>14500298.22570641</c:v>
                </c:pt>
                <c:pt idx="4787">
                  <c:v>14502961.137997616</c:v>
                </c:pt>
                <c:pt idx="4788">
                  <c:v>14505624.050288821</c:v>
                </c:pt>
                <c:pt idx="4789">
                  <c:v>14508286.962580025</c:v>
                </c:pt>
                <c:pt idx="4790">
                  <c:v>14510949.87487123</c:v>
                </c:pt>
                <c:pt idx="4791">
                  <c:v>14513612.787162434</c:v>
                </c:pt>
                <c:pt idx="4792">
                  <c:v>14516275.699453639</c:v>
                </c:pt>
                <c:pt idx="4793">
                  <c:v>14518938.611744845</c:v>
                </c:pt>
                <c:pt idx="4794">
                  <c:v>14521601.52403605</c:v>
                </c:pt>
                <c:pt idx="4795">
                  <c:v>14524264.436327254</c:v>
                </c:pt>
                <c:pt idx="4796">
                  <c:v>14526927.348618459</c:v>
                </c:pt>
                <c:pt idx="4797">
                  <c:v>14529590.260909664</c:v>
                </c:pt>
                <c:pt idx="4798">
                  <c:v>14532253.173200868</c:v>
                </c:pt>
                <c:pt idx="4799">
                  <c:v>14534916.085492074</c:v>
                </c:pt>
                <c:pt idx="4800">
                  <c:v>14537578.997783279</c:v>
                </c:pt>
                <c:pt idx="4801">
                  <c:v>14540241.910074484</c:v>
                </c:pt>
                <c:pt idx="4802">
                  <c:v>14542904.822365688</c:v>
                </c:pt>
                <c:pt idx="4803">
                  <c:v>14545567.734656893</c:v>
                </c:pt>
                <c:pt idx="4804">
                  <c:v>14548230.646948097</c:v>
                </c:pt>
                <c:pt idx="4805">
                  <c:v>14550893.559239302</c:v>
                </c:pt>
                <c:pt idx="4806">
                  <c:v>14553556.471530508</c:v>
                </c:pt>
                <c:pt idx="4807">
                  <c:v>14556219.383821713</c:v>
                </c:pt>
                <c:pt idx="4808">
                  <c:v>14558882.296112917</c:v>
                </c:pt>
                <c:pt idx="4809">
                  <c:v>14561545.208404122</c:v>
                </c:pt>
                <c:pt idx="4810">
                  <c:v>14564208.120695326</c:v>
                </c:pt>
                <c:pt idx="4811">
                  <c:v>14566871.032986531</c:v>
                </c:pt>
                <c:pt idx="4812">
                  <c:v>14569533.945277737</c:v>
                </c:pt>
                <c:pt idx="4813">
                  <c:v>14572196.857568942</c:v>
                </c:pt>
                <c:pt idx="4814">
                  <c:v>14574859.769860147</c:v>
                </c:pt>
                <c:pt idx="4815">
                  <c:v>14577522.682151351</c:v>
                </c:pt>
                <c:pt idx="4816">
                  <c:v>14580185.594442556</c:v>
                </c:pt>
                <c:pt idx="4817">
                  <c:v>14582848.50673376</c:v>
                </c:pt>
                <c:pt idx="4818">
                  <c:v>14585511.419024967</c:v>
                </c:pt>
                <c:pt idx="4819">
                  <c:v>14588174.331316171</c:v>
                </c:pt>
                <c:pt idx="4820">
                  <c:v>14590837.243607376</c:v>
                </c:pt>
                <c:pt idx="4821">
                  <c:v>14593500.15589858</c:v>
                </c:pt>
                <c:pt idx="4822">
                  <c:v>14596163.068189785</c:v>
                </c:pt>
                <c:pt idx="4823">
                  <c:v>14598825.980480989</c:v>
                </c:pt>
                <c:pt idx="4824">
                  <c:v>14601488.892772194</c:v>
                </c:pt>
                <c:pt idx="4825">
                  <c:v>14604151.8050634</c:v>
                </c:pt>
                <c:pt idx="4826">
                  <c:v>14606814.717354605</c:v>
                </c:pt>
                <c:pt idx="4827">
                  <c:v>14609477.62964581</c:v>
                </c:pt>
                <c:pt idx="4828">
                  <c:v>14612140.541937014</c:v>
                </c:pt>
                <c:pt idx="4829">
                  <c:v>14614803.454228219</c:v>
                </c:pt>
                <c:pt idx="4830">
                  <c:v>14617466.366519423</c:v>
                </c:pt>
                <c:pt idx="4831">
                  <c:v>14620129.27881063</c:v>
                </c:pt>
                <c:pt idx="4832">
                  <c:v>14622792.191101834</c:v>
                </c:pt>
                <c:pt idx="4833">
                  <c:v>14625455.103393039</c:v>
                </c:pt>
                <c:pt idx="4834">
                  <c:v>14628118.015684243</c:v>
                </c:pt>
                <c:pt idx="4835">
                  <c:v>14630780.927975448</c:v>
                </c:pt>
                <c:pt idx="4836">
                  <c:v>14633443.840266652</c:v>
                </c:pt>
                <c:pt idx="4837">
                  <c:v>14636106.752557859</c:v>
                </c:pt>
                <c:pt idx="4838">
                  <c:v>14638769.664849063</c:v>
                </c:pt>
                <c:pt idx="4839">
                  <c:v>14641432.577140268</c:v>
                </c:pt>
                <c:pt idx="4840">
                  <c:v>14644095.489431472</c:v>
                </c:pt>
                <c:pt idx="4841">
                  <c:v>14646758.401722677</c:v>
                </c:pt>
                <c:pt idx="4842">
                  <c:v>14649421.314013882</c:v>
                </c:pt>
                <c:pt idx="4843">
                  <c:v>14652084.226305086</c:v>
                </c:pt>
                <c:pt idx="4844">
                  <c:v>14654747.138596293</c:v>
                </c:pt>
                <c:pt idx="4845">
                  <c:v>14657410.050887497</c:v>
                </c:pt>
                <c:pt idx="4846">
                  <c:v>14660072.963178702</c:v>
                </c:pt>
                <c:pt idx="4847">
                  <c:v>14662735.875469906</c:v>
                </c:pt>
                <c:pt idx="4848">
                  <c:v>14665398.787761111</c:v>
                </c:pt>
                <c:pt idx="4849">
                  <c:v>14668061.700052315</c:v>
                </c:pt>
                <c:pt idx="4850">
                  <c:v>14670724.612343522</c:v>
                </c:pt>
                <c:pt idx="4851">
                  <c:v>14673387.524634726</c:v>
                </c:pt>
                <c:pt idx="4852">
                  <c:v>14676050.436925931</c:v>
                </c:pt>
                <c:pt idx="4853">
                  <c:v>14678713.349217135</c:v>
                </c:pt>
                <c:pt idx="4854">
                  <c:v>14681376.26150834</c:v>
                </c:pt>
                <c:pt idx="4855">
                  <c:v>14684039.173799545</c:v>
                </c:pt>
                <c:pt idx="4856">
                  <c:v>14686702.086090749</c:v>
                </c:pt>
                <c:pt idx="4857">
                  <c:v>14689364.998381956</c:v>
                </c:pt>
                <c:pt idx="4858">
                  <c:v>14692027.91067316</c:v>
                </c:pt>
                <c:pt idx="4859">
                  <c:v>14694690.822964365</c:v>
                </c:pt>
                <c:pt idx="4860">
                  <c:v>14697353.735255569</c:v>
                </c:pt>
                <c:pt idx="4861">
                  <c:v>14700016.647546774</c:v>
                </c:pt>
                <c:pt idx="4862">
                  <c:v>14702679.559837978</c:v>
                </c:pt>
                <c:pt idx="4863">
                  <c:v>14705342.472129185</c:v>
                </c:pt>
                <c:pt idx="4864">
                  <c:v>14708005.384420389</c:v>
                </c:pt>
                <c:pt idx="4865">
                  <c:v>14710668.296711594</c:v>
                </c:pt>
                <c:pt idx="4866">
                  <c:v>14713331.209002798</c:v>
                </c:pt>
                <c:pt idx="4867">
                  <c:v>14715994.121294003</c:v>
                </c:pt>
                <c:pt idx="4868">
                  <c:v>14718657.033585208</c:v>
                </c:pt>
                <c:pt idx="4869">
                  <c:v>14721319.945876414</c:v>
                </c:pt>
                <c:pt idx="4870">
                  <c:v>14723982.858167619</c:v>
                </c:pt>
                <c:pt idx="4871">
                  <c:v>14726645.770458823</c:v>
                </c:pt>
                <c:pt idx="4872">
                  <c:v>14729308.682750028</c:v>
                </c:pt>
                <c:pt idx="4873">
                  <c:v>14731971.595041232</c:v>
                </c:pt>
                <c:pt idx="4874">
                  <c:v>14734634.507332437</c:v>
                </c:pt>
                <c:pt idx="4875">
                  <c:v>14737297.419623641</c:v>
                </c:pt>
                <c:pt idx="4876">
                  <c:v>14739960.331914848</c:v>
                </c:pt>
                <c:pt idx="4877">
                  <c:v>14742623.244206052</c:v>
                </c:pt>
                <c:pt idx="4878">
                  <c:v>14745286.156497257</c:v>
                </c:pt>
                <c:pt idx="4879">
                  <c:v>14747949.068788461</c:v>
                </c:pt>
                <c:pt idx="4880">
                  <c:v>14750611.981079666</c:v>
                </c:pt>
                <c:pt idx="4881">
                  <c:v>14753274.893370871</c:v>
                </c:pt>
                <c:pt idx="4882">
                  <c:v>14755937.805662077</c:v>
                </c:pt>
                <c:pt idx="4883">
                  <c:v>14758600.717953281</c:v>
                </c:pt>
                <c:pt idx="4884">
                  <c:v>14761263.630244486</c:v>
                </c:pt>
                <c:pt idx="4885">
                  <c:v>14763926.542535691</c:v>
                </c:pt>
                <c:pt idx="4886">
                  <c:v>14766589.454826895</c:v>
                </c:pt>
                <c:pt idx="4887">
                  <c:v>14769252.3671181</c:v>
                </c:pt>
                <c:pt idx="4888">
                  <c:v>14771915.279409306</c:v>
                </c:pt>
                <c:pt idx="4889">
                  <c:v>14774578.191700511</c:v>
                </c:pt>
                <c:pt idx="4890">
                  <c:v>14777241.103991715</c:v>
                </c:pt>
                <c:pt idx="4891">
                  <c:v>14779904.01628292</c:v>
                </c:pt>
                <c:pt idx="4892">
                  <c:v>14782566.928574124</c:v>
                </c:pt>
                <c:pt idx="4893">
                  <c:v>14785229.840865329</c:v>
                </c:pt>
                <c:pt idx="4894">
                  <c:v>14787892.753156533</c:v>
                </c:pt>
                <c:pt idx="4895">
                  <c:v>14790555.66544774</c:v>
                </c:pt>
                <c:pt idx="4896">
                  <c:v>14793218.577738944</c:v>
                </c:pt>
                <c:pt idx="4897">
                  <c:v>14795881.490030149</c:v>
                </c:pt>
                <c:pt idx="4898">
                  <c:v>14798544.402321354</c:v>
                </c:pt>
                <c:pt idx="4899">
                  <c:v>14801207.314612558</c:v>
                </c:pt>
                <c:pt idx="4900">
                  <c:v>14803870.226903763</c:v>
                </c:pt>
                <c:pt idx="4901">
                  <c:v>14806533.139194969</c:v>
                </c:pt>
                <c:pt idx="4902">
                  <c:v>14809196.051486174</c:v>
                </c:pt>
                <c:pt idx="4903">
                  <c:v>14811858.963777378</c:v>
                </c:pt>
                <c:pt idx="4904">
                  <c:v>14814521.876068583</c:v>
                </c:pt>
                <c:pt idx="4905">
                  <c:v>14817184.788359787</c:v>
                </c:pt>
                <c:pt idx="4906">
                  <c:v>14819847.700650992</c:v>
                </c:pt>
                <c:pt idx="4907">
                  <c:v>14822510.612942198</c:v>
                </c:pt>
                <c:pt idx="4908">
                  <c:v>14825173.525233403</c:v>
                </c:pt>
                <c:pt idx="4909">
                  <c:v>14827836.437524607</c:v>
                </c:pt>
                <c:pt idx="4910">
                  <c:v>14830499.349815812</c:v>
                </c:pt>
                <c:pt idx="4911">
                  <c:v>14833162.262107017</c:v>
                </c:pt>
                <c:pt idx="4912">
                  <c:v>14835825.174398221</c:v>
                </c:pt>
                <c:pt idx="4913">
                  <c:v>14838488.086689426</c:v>
                </c:pt>
                <c:pt idx="4914">
                  <c:v>14841150.998980632</c:v>
                </c:pt>
                <c:pt idx="4915">
                  <c:v>14843813.911271837</c:v>
                </c:pt>
                <c:pt idx="4916">
                  <c:v>14846476.823563041</c:v>
                </c:pt>
                <c:pt idx="4917">
                  <c:v>14849139.735854246</c:v>
                </c:pt>
                <c:pt idx="4918">
                  <c:v>14851802.64814545</c:v>
                </c:pt>
                <c:pt idx="4919">
                  <c:v>14854465.560436655</c:v>
                </c:pt>
                <c:pt idx="4920">
                  <c:v>14857128.472727861</c:v>
                </c:pt>
                <c:pt idx="4921">
                  <c:v>14859791.385019066</c:v>
                </c:pt>
                <c:pt idx="4922">
                  <c:v>14862454.29731027</c:v>
                </c:pt>
                <c:pt idx="4923">
                  <c:v>14865117.209601475</c:v>
                </c:pt>
                <c:pt idx="4924">
                  <c:v>14867780.121892679</c:v>
                </c:pt>
                <c:pt idx="4925">
                  <c:v>14870443.034183884</c:v>
                </c:pt>
                <c:pt idx="4926">
                  <c:v>14873105.946475089</c:v>
                </c:pt>
                <c:pt idx="4927">
                  <c:v>14875768.858766295</c:v>
                </c:pt>
                <c:pt idx="4928">
                  <c:v>14878431.7710575</c:v>
                </c:pt>
                <c:pt idx="4929">
                  <c:v>14881094.683348704</c:v>
                </c:pt>
                <c:pt idx="4930">
                  <c:v>14883757.595639909</c:v>
                </c:pt>
                <c:pt idx="4931">
                  <c:v>14886420.507931113</c:v>
                </c:pt>
                <c:pt idx="4932">
                  <c:v>14889083.420222318</c:v>
                </c:pt>
                <c:pt idx="4933">
                  <c:v>14891746.332513524</c:v>
                </c:pt>
                <c:pt idx="4934">
                  <c:v>14894409.244804729</c:v>
                </c:pt>
                <c:pt idx="4935">
                  <c:v>14897072.157095933</c:v>
                </c:pt>
                <c:pt idx="4936">
                  <c:v>14899735.069387138</c:v>
                </c:pt>
                <c:pt idx="4937">
                  <c:v>14902397.981678342</c:v>
                </c:pt>
                <c:pt idx="4938">
                  <c:v>14905060.893969547</c:v>
                </c:pt>
                <c:pt idx="4939">
                  <c:v>14907723.806260753</c:v>
                </c:pt>
                <c:pt idx="4940">
                  <c:v>14910386.718551958</c:v>
                </c:pt>
                <c:pt idx="4941">
                  <c:v>14913049.630843163</c:v>
                </c:pt>
                <c:pt idx="4942">
                  <c:v>14915712.543134367</c:v>
                </c:pt>
                <c:pt idx="4943">
                  <c:v>14918375.455425572</c:v>
                </c:pt>
                <c:pt idx="4944">
                  <c:v>14921038.367716776</c:v>
                </c:pt>
                <c:pt idx="4945">
                  <c:v>14923701.280007981</c:v>
                </c:pt>
                <c:pt idx="4946">
                  <c:v>14926364.192299187</c:v>
                </c:pt>
                <c:pt idx="4947">
                  <c:v>14929027.104590392</c:v>
                </c:pt>
                <c:pt idx="4948">
                  <c:v>14931690.016881596</c:v>
                </c:pt>
                <c:pt idx="4949">
                  <c:v>14934352.929172801</c:v>
                </c:pt>
                <c:pt idx="4950">
                  <c:v>14937015.841464005</c:v>
                </c:pt>
                <c:pt idx="4951">
                  <c:v>14939678.75375521</c:v>
                </c:pt>
                <c:pt idx="4952">
                  <c:v>14942341.666046416</c:v>
                </c:pt>
                <c:pt idx="4953">
                  <c:v>14945004.578337621</c:v>
                </c:pt>
                <c:pt idx="4954">
                  <c:v>14947667.490628826</c:v>
                </c:pt>
                <c:pt idx="4955">
                  <c:v>14950330.40292003</c:v>
                </c:pt>
                <c:pt idx="4956">
                  <c:v>14952993.315211235</c:v>
                </c:pt>
                <c:pt idx="4957">
                  <c:v>14955656.227502439</c:v>
                </c:pt>
                <c:pt idx="4958">
                  <c:v>14958319.139793646</c:v>
                </c:pt>
                <c:pt idx="4959">
                  <c:v>14960982.05208485</c:v>
                </c:pt>
                <c:pt idx="4960">
                  <c:v>14963644.964376055</c:v>
                </c:pt>
                <c:pt idx="4961">
                  <c:v>14966307.876667259</c:v>
                </c:pt>
                <c:pt idx="4962">
                  <c:v>14968970.788958464</c:v>
                </c:pt>
                <c:pt idx="4963">
                  <c:v>14971633.701249668</c:v>
                </c:pt>
                <c:pt idx="4964">
                  <c:v>14974296.613540873</c:v>
                </c:pt>
                <c:pt idx="4965">
                  <c:v>14976959.525832079</c:v>
                </c:pt>
                <c:pt idx="4966">
                  <c:v>14979622.438123284</c:v>
                </c:pt>
                <c:pt idx="4967">
                  <c:v>14982285.350414488</c:v>
                </c:pt>
                <c:pt idx="4968">
                  <c:v>14984948.262705693</c:v>
                </c:pt>
                <c:pt idx="4969">
                  <c:v>14987611.174996898</c:v>
                </c:pt>
                <c:pt idx="4970">
                  <c:v>14990274.087288102</c:v>
                </c:pt>
                <c:pt idx="4971">
                  <c:v>14992936.999579309</c:v>
                </c:pt>
                <c:pt idx="4972">
                  <c:v>14995599.911870513</c:v>
                </c:pt>
                <c:pt idx="4973">
                  <c:v>14998262.824161718</c:v>
                </c:pt>
                <c:pt idx="4974">
                  <c:v>15000925.736452922</c:v>
                </c:pt>
                <c:pt idx="4975">
                  <c:v>15003588.648744127</c:v>
                </c:pt>
                <c:pt idx="4976">
                  <c:v>15006251.561035331</c:v>
                </c:pt>
                <c:pt idx="4977">
                  <c:v>15008914.473326538</c:v>
                </c:pt>
                <c:pt idx="4978">
                  <c:v>15011577.385617742</c:v>
                </c:pt>
                <c:pt idx="4979">
                  <c:v>15014240.297908947</c:v>
                </c:pt>
                <c:pt idx="4980">
                  <c:v>15016903.210200151</c:v>
                </c:pt>
                <c:pt idx="4981">
                  <c:v>15019566.122491356</c:v>
                </c:pt>
                <c:pt idx="4982">
                  <c:v>15022229.034782561</c:v>
                </c:pt>
                <c:pt idx="4983">
                  <c:v>15024891.947073765</c:v>
                </c:pt>
                <c:pt idx="4984">
                  <c:v>15027554.859364972</c:v>
                </c:pt>
                <c:pt idx="4985">
                  <c:v>15030217.771656176</c:v>
                </c:pt>
                <c:pt idx="4986">
                  <c:v>15032880.683947381</c:v>
                </c:pt>
                <c:pt idx="4987">
                  <c:v>15035543.596238585</c:v>
                </c:pt>
                <c:pt idx="4988">
                  <c:v>15038206.50852979</c:v>
                </c:pt>
                <c:pt idx="4989">
                  <c:v>15040869.420820994</c:v>
                </c:pt>
                <c:pt idx="4990">
                  <c:v>15043532.333112201</c:v>
                </c:pt>
                <c:pt idx="4991">
                  <c:v>15046195.245403405</c:v>
                </c:pt>
                <c:pt idx="4992">
                  <c:v>15048858.15769461</c:v>
                </c:pt>
                <c:pt idx="4993">
                  <c:v>15051521.069985814</c:v>
                </c:pt>
                <c:pt idx="4994">
                  <c:v>15054183.982277019</c:v>
                </c:pt>
                <c:pt idx="4995">
                  <c:v>15056846.894568224</c:v>
                </c:pt>
                <c:pt idx="4996">
                  <c:v>15059509.80685943</c:v>
                </c:pt>
                <c:pt idx="4997">
                  <c:v>15062172.719150634</c:v>
                </c:pt>
                <c:pt idx="4998">
                  <c:v>15064835.631441839</c:v>
                </c:pt>
                <c:pt idx="4999">
                  <c:v>15067498.543733044</c:v>
                </c:pt>
                <c:pt idx="5000">
                  <c:v>15070161.456024248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Equilibrio'!$D$4:$D$5004</c:f>
              <c:numCache>
                <c:formatCode>"$"\ #,##0</c:formatCode>
                <c:ptCount val="5001"/>
                <c:pt idx="0">
                  <c:v>0</c:v>
                </c:pt>
                <c:pt idx="1">
                  <c:v>3168.8656265337713</c:v>
                </c:pt>
                <c:pt idx="2">
                  <c:v>6337.7312530675426</c:v>
                </c:pt>
                <c:pt idx="3">
                  <c:v>9506.5968796013149</c:v>
                </c:pt>
                <c:pt idx="4">
                  <c:v>12675.462506135085</c:v>
                </c:pt>
                <c:pt idx="5">
                  <c:v>15844.328132668856</c:v>
                </c:pt>
                <c:pt idx="6">
                  <c:v>19013.19375920263</c:v>
                </c:pt>
                <c:pt idx="7">
                  <c:v>22182.0593857364</c:v>
                </c:pt>
                <c:pt idx="8">
                  <c:v>25350.925012270171</c:v>
                </c:pt>
                <c:pt idx="9">
                  <c:v>28519.790638803941</c:v>
                </c:pt>
                <c:pt idx="10">
                  <c:v>31688.656265337711</c:v>
                </c:pt>
                <c:pt idx="11">
                  <c:v>34857.521891871482</c:v>
                </c:pt>
                <c:pt idx="12">
                  <c:v>38026.387518405259</c:v>
                </c:pt>
                <c:pt idx="13">
                  <c:v>41195.25314493903</c:v>
                </c:pt>
                <c:pt idx="14">
                  <c:v>44364.1187714728</c:v>
                </c:pt>
                <c:pt idx="15">
                  <c:v>47532.984398006571</c:v>
                </c:pt>
                <c:pt idx="16">
                  <c:v>50701.850024540341</c:v>
                </c:pt>
                <c:pt idx="17">
                  <c:v>53870.715651074112</c:v>
                </c:pt>
                <c:pt idx="18">
                  <c:v>57039.581277607882</c:v>
                </c:pt>
                <c:pt idx="19">
                  <c:v>60208.446904141652</c:v>
                </c:pt>
                <c:pt idx="20">
                  <c:v>63377.312530675423</c:v>
                </c:pt>
                <c:pt idx="21">
                  <c:v>66546.1781572092</c:v>
                </c:pt>
                <c:pt idx="22">
                  <c:v>69715.043783742964</c:v>
                </c:pt>
                <c:pt idx="23">
                  <c:v>72883.909410276741</c:v>
                </c:pt>
                <c:pt idx="24">
                  <c:v>76052.775036810519</c:v>
                </c:pt>
                <c:pt idx="25">
                  <c:v>79221.640663344282</c:v>
                </c:pt>
                <c:pt idx="26">
                  <c:v>82390.50628987806</c:v>
                </c:pt>
                <c:pt idx="27">
                  <c:v>85559.371916411823</c:v>
                </c:pt>
                <c:pt idx="28">
                  <c:v>88728.237542945601</c:v>
                </c:pt>
                <c:pt idx="29">
                  <c:v>91897.103169479364</c:v>
                </c:pt>
                <c:pt idx="30">
                  <c:v>95065.968796013141</c:v>
                </c:pt>
                <c:pt idx="31">
                  <c:v>98234.834422546905</c:v>
                </c:pt>
                <c:pt idx="32">
                  <c:v>101403.70004908068</c:v>
                </c:pt>
                <c:pt idx="33">
                  <c:v>104572.56567561446</c:v>
                </c:pt>
                <c:pt idx="34">
                  <c:v>107741.43130214822</c:v>
                </c:pt>
                <c:pt idx="35">
                  <c:v>110910.296928682</c:v>
                </c:pt>
                <c:pt idx="36">
                  <c:v>114079.16255521576</c:v>
                </c:pt>
                <c:pt idx="37">
                  <c:v>117248.02818174954</c:v>
                </c:pt>
                <c:pt idx="38">
                  <c:v>120416.8938082833</c:v>
                </c:pt>
                <c:pt idx="39">
                  <c:v>123585.75943481708</c:v>
                </c:pt>
                <c:pt idx="40">
                  <c:v>126754.62506135085</c:v>
                </c:pt>
                <c:pt idx="41">
                  <c:v>129923.49068788462</c:v>
                </c:pt>
                <c:pt idx="42">
                  <c:v>133092.3563144184</c:v>
                </c:pt>
                <c:pt idx="43">
                  <c:v>136261.22194095218</c:v>
                </c:pt>
                <c:pt idx="44">
                  <c:v>139430.08756748593</c:v>
                </c:pt>
                <c:pt idx="45">
                  <c:v>142598.9531940197</c:v>
                </c:pt>
                <c:pt idx="46">
                  <c:v>145767.81882055348</c:v>
                </c:pt>
                <c:pt idx="47">
                  <c:v>148936.68444708726</c:v>
                </c:pt>
                <c:pt idx="48">
                  <c:v>152105.55007362104</c:v>
                </c:pt>
                <c:pt idx="49">
                  <c:v>155274.41570015479</c:v>
                </c:pt>
                <c:pt idx="50">
                  <c:v>158443.28132668856</c:v>
                </c:pt>
                <c:pt idx="51">
                  <c:v>161612.14695322234</c:v>
                </c:pt>
                <c:pt idx="52">
                  <c:v>164781.01257975612</c:v>
                </c:pt>
                <c:pt idx="53">
                  <c:v>167949.87820628987</c:v>
                </c:pt>
                <c:pt idx="54">
                  <c:v>171118.74383282365</c:v>
                </c:pt>
                <c:pt idx="55">
                  <c:v>174287.60945935742</c:v>
                </c:pt>
                <c:pt idx="56">
                  <c:v>177456.4750858912</c:v>
                </c:pt>
                <c:pt idx="57">
                  <c:v>180625.34071242498</c:v>
                </c:pt>
                <c:pt idx="58">
                  <c:v>183794.20633895873</c:v>
                </c:pt>
                <c:pt idx="59">
                  <c:v>186963.07196549251</c:v>
                </c:pt>
                <c:pt idx="60">
                  <c:v>190131.93759202628</c:v>
                </c:pt>
                <c:pt idx="61">
                  <c:v>193300.80321856006</c:v>
                </c:pt>
                <c:pt idx="62">
                  <c:v>196469.66884509381</c:v>
                </c:pt>
                <c:pt idx="63">
                  <c:v>199638.53447162759</c:v>
                </c:pt>
                <c:pt idx="64">
                  <c:v>202807.40009816136</c:v>
                </c:pt>
                <c:pt idx="65">
                  <c:v>205976.26572469514</c:v>
                </c:pt>
                <c:pt idx="66">
                  <c:v>209145.13135122892</c:v>
                </c:pt>
                <c:pt idx="67">
                  <c:v>212313.99697776267</c:v>
                </c:pt>
                <c:pt idx="68">
                  <c:v>215482.86260429645</c:v>
                </c:pt>
                <c:pt idx="69">
                  <c:v>218651.72823083022</c:v>
                </c:pt>
                <c:pt idx="70">
                  <c:v>221820.593857364</c:v>
                </c:pt>
                <c:pt idx="71">
                  <c:v>224989.45948389775</c:v>
                </c:pt>
                <c:pt idx="72">
                  <c:v>228158.32511043153</c:v>
                </c:pt>
                <c:pt idx="73">
                  <c:v>231327.19073696531</c:v>
                </c:pt>
                <c:pt idx="74">
                  <c:v>234496.05636349908</c:v>
                </c:pt>
                <c:pt idx="75">
                  <c:v>237664.92199003286</c:v>
                </c:pt>
                <c:pt idx="76">
                  <c:v>240833.78761656661</c:v>
                </c:pt>
                <c:pt idx="77">
                  <c:v>244002.65324310039</c:v>
                </c:pt>
                <c:pt idx="78">
                  <c:v>247171.51886963416</c:v>
                </c:pt>
                <c:pt idx="79">
                  <c:v>250340.38449616794</c:v>
                </c:pt>
                <c:pt idx="80">
                  <c:v>253509.25012270169</c:v>
                </c:pt>
                <c:pt idx="81">
                  <c:v>256678.11574923547</c:v>
                </c:pt>
                <c:pt idx="82">
                  <c:v>259846.98137576925</c:v>
                </c:pt>
                <c:pt idx="83">
                  <c:v>263015.84700230299</c:v>
                </c:pt>
                <c:pt idx="84">
                  <c:v>266184.7126288368</c:v>
                </c:pt>
                <c:pt idx="85">
                  <c:v>269353.57825537055</c:v>
                </c:pt>
                <c:pt idx="86">
                  <c:v>272522.44388190436</c:v>
                </c:pt>
                <c:pt idx="87">
                  <c:v>275691.30950843811</c:v>
                </c:pt>
                <c:pt idx="88">
                  <c:v>278860.17513497185</c:v>
                </c:pt>
                <c:pt idx="89">
                  <c:v>282029.04076150566</c:v>
                </c:pt>
                <c:pt idx="90">
                  <c:v>285197.90638803941</c:v>
                </c:pt>
                <c:pt idx="91">
                  <c:v>288366.77201457322</c:v>
                </c:pt>
                <c:pt idx="92">
                  <c:v>291535.63764110697</c:v>
                </c:pt>
                <c:pt idx="93">
                  <c:v>294704.50326764071</c:v>
                </c:pt>
                <c:pt idx="94">
                  <c:v>297873.36889417452</c:v>
                </c:pt>
                <c:pt idx="95">
                  <c:v>301042.23452070827</c:v>
                </c:pt>
                <c:pt idx="96">
                  <c:v>304211.10014724208</c:v>
                </c:pt>
                <c:pt idx="97">
                  <c:v>307379.96577377582</c:v>
                </c:pt>
                <c:pt idx="98">
                  <c:v>310548.83140030957</c:v>
                </c:pt>
                <c:pt idx="99">
                  <c:v>313717.69702684338</c:v>
                </c:pt>
                <c:pt idx="100">
                  <c:v>316886.56265337713</c:v>
                </c:pt>
                <c:pt idx="101">
                  <c:v>320055.42827991088</c:v>
                </c:pt>
                <c:pt idx="102">
                  <c:v>323224.29390644468</c:v>
                </c:pt>
                <c:pt idx="103">
                  <c:v>326393.15953297843</c:v>
                </c:pt>
                <c:pt idx="104">
                  <c:v>329562.02515951224</c:v>
                </c:pt>
                <c:pt idx="105">
                  <c:v>332730.89078604599</c:v>
                </c:pt>
                <c:pt idx="106">
                  <c:v>335899.75641257974</c:v>
                </c:pt>
                <c:pt idx="107">
                  <c:v>339068.62203911354</c:v>
                </c:pt>
                <c:pt idx="108">
                  <c:v>342237.48766564729</c:v>
                </c:pt>
                <c:pt idx="109">
                  <c:v>345406.3532921811</c:v>
                </c:pt>
                <c:pt idx="110">
                  <c:v>348575.21891871485</c:v>
                </c:pt>
                <c:pt idx="111">
                  <c:v>351744.0845452486</c:v>
                </c:pt>
                <c:pt idx="112">
                  <c:v>354912.9501717824</c:v>
                </c:pt>
                <c:pt idx="113">
                  <c:v>358081.81579831615</c:v>
                </c:pt>
                <c:pt idx="114">
                  <c:v>361250.68142484996</c:v>
                </c:pt>
                <c:pt idx="115">
                  <c:v>364419.54705138371</c:v>
                </c:pt>
                <c:pt idx="116">
                  <c:v>367588.41267791745</c:v>
                </c:pt>
                <c:pt idx="117">
                  <c:v>370757.27830445126</c:v>
                </c:pt>
                <c:pt idx="118">
                  <c:v>373926.14393098501</c:v>
                </c:pt>
                <c:pt idx="119">
                  <c:v>377095.00955751876</c:v>
                </c:pt>
                <c:pt idx="120">
                  <c:v>380263.87518405257</c:v>
                </c:pt>
                <c:pt idx="121">
                  <c:v>383432.74081058631</c:v>
                </c:pt>
                <c:pt idx="122">
                  <c:v>386601.60643712012</c:v>
                </c:pt>
                <c:pt idx="123">
                  <c:v>389770.47206365387</c:v>
                </c:pt>
                <c:pt idx="124">
                  <c:v>392939.33769018762</c:v>
                </c:pt>
                <c:pt idx="125">
                  <c:v>396108.20331672142</c:v>
                </c:pt>
                <c:pt idx="126">
                  <c:v>399277.06894325517</c:v>
                </c:pt>
                <c:pt idx="127">
                  <c:v>402445.93456978898</c:v>
                </c:pt>
                <c:pt idx="128">
                  <c:v>405614.80019632273</c:v>
                </c:pt>
                <c:pt idx="129">
                  <c:v>408783.66582285648</c:v>
                </c:pt>
                <c:pt idx="130">
                  <c:v>411952.53144939028</c:v>
                </c:pt>
                <c:pt idx="131">
                  <c:v>415121.39707592403</c:v>
                </c:pt>
                <c:pt idx="132">
                  <c:v>418290.26270245784</c:v>
                </c:pt>
                <c:pt idx="133">
                  <c:v>421459.12832899159</c:v>
                </c:pt>
                <c:pt idx="134">
                  <c:v>424627.99395552534</c:v>
                </c:pt>
                <c:pt idx="135">
                  <c:v>427796.85958205914</c:v>
                </c:pt>
                <c:pt idx="136">
                  <c:v>430965.72520859289</c:v>
                </c:pt>
                <c:pt idx="137">
                  <c:v>434134.5908351267</c:v>
                </c:pt>
                <c:pt idx="138">
                  <c:v>437303.45646166045</c:v>
                </c:pt>
                <c:pt idx="139">
                  <c:v>440472.3220881942</c:v>
                </c:pt>
                <c:pt idx="140">
                  <c:v>443641.187714728</c:v>
                </c:pt>
                <c:pt idx="141">
                  <c:v>446810.05334126175</c:v>
                </c:pt>
                <c:pt idx="142">
                  <c:v>449978.9189677955</c:v>
                </c:pt>
                <c:pt idx="143">
                  <c:v>453147.78459432931</c:v>
                </c:pt>
                <c:pt idx="144">
                  <c:v>456316.65022086306</c:v>
                </c:pt>
                <c:pt idx="145">
                  <c:v>459485.51584739686</c:v>
                </c:pt>
                <c:pt idx="146">
                  <c:v>462654.38147393061</c:v>
                </c:pt>
                <c:pt idx="147">
                  <c:v>465823.24710046436</c:v>
                </c:pt>
                <c:pt idx="148">
                  <c:v>468992.11272699817</c:v>
                </c:pt>
                <c:pt idx="149">
                  <c:v>472160.97835353191</c:v>
                </c:pt>
                <c:pt idx="150">
                  <c:v>475329.84398006572</c:v>
                </c:pt>
                <c:pt idx="151">
                  <c:v>478498.70960659947</c:v>
                </c:pt>
                <c:pt idx="152">
                  <c:v>481667.57523313322</c:v>
                </c:pt>
                <c:pt idx="153">
                  <c:v>484836.44085966703</c:v>
                </c:pt>
                <c:pt idx="154">
                  <c:v>488005.30648620077</c:v>
                </c:pt>
                <c:pt idx="155">
                  <c:v>491174.17211273458</c:v>
                </c:pt>
                <c:pt idx="156">
                  <c:v>494343.03773926833</c:v>
                </c:pt>
                <c:pt idx="157">
                  <c:v>497511.90336580208</c:v>
                </c:pt>
                <c:pt idx="158">
                  <c:v>500680.76899233588</c:v>
                </c:pt>
                <c:pt idx="159">
                  <c:v>503849.63461886963</c:v>
                </c:pt>
                <c:pt idx="160">
                  <c:v>507018.50024540338</c:v>
                </c:pt>
                <c:pt idx="161">
                  <c:v>510187.36587193719</c:v>
                </c:pt>
                <c:pt idx="162">
                  <c:v>513356.23149847094</c:v>
                </c:pt>
                <c:pt idx="163">
                  <c:v>516525.09712500474</c:v>
                </c:pt>
                <c:pt idx="164">
                  <c:v>519693.96275153849</c:v>
                </c:pt>
                <c:pt idx="165">
                  <c:v>522862.82837807224</c:v>
                </c:pt>
                <c:pt idx="166">
                  <c:v>526031.69400460599</c:v>
                </c:pt>
                <c:pt idx="167">
                  <c:v>529200.55963113985</c:v>
                </c:pt>
                <c:pt idx="168">
                  <c:v>532369.4252576736</c:v>
                </c:pt>
                <c:pt idx="169">
                  <c:v>535538.29088420735</c:v>
                </c:pt>
                <c:pt idx="170">
                  <c:v>538707.1565107411</c:v>
                </c:pt>
                <c:pt idx="171">
                  <c:v>541876.02213727485</c:v>
                </c:pt>
                <c:pt idx="172">
                  <c:v>545044.88776380871</c:v>
                </c:pt>
                <c:pt idx="173">
                  <c:v>548213.75339034246</c:v>
                </c:pt>
                <c:pt idx="174">
                  <c:v>551382.61901687621</c:v>
                </c:pt>
                <c:pt idx="175">
                  <c:v>554551.48464340996</c:v>
                </c:pt>
                <c:pt idx="176">
                  <c:v>557720.35026994371</c:v>
                </c:pt>
                <c:pt idx="177">
                  <c:v>560889.21589647757</c:v>
                </c:pt>
                <c:pt idx="178">
                  <c:v>564058.08152301132</c:v>
                </c:pt>
                <c:pt idx="179">
                  <c:v>567226.94714954507</c:v>
                </c:pt>
                <c:pt idx="180">
                  <c:v>570395.81277607882</c:v>
                </c:pt>
                <c:pt idx="181">
                  <c:v>573564.67840261257</c:v>
                </c:pt>
                <c:pt idx="182">
                  <c:v>576733.54402914643</c:v>
                </c:pt>
                <c:pt idx="183">
                  <c:v>579902.40965568018</c:v>
                </c:pt>
                <c:pt idx="184">
                  <c:v>583071.27528221393</c:v>
                </c:pt>
                <c:pt idx="185">
                  <c:v>586240.14090874768</c:v>
                </c:pt>
                <c:pt idx="186">
                  <c:v>589409.00653528143</c:v>
                </c:pt>
                <c:pt idx="187">
                  <c:v>592577.87216181529</c:v>
                </c:pt>
                <c:pt idx="188">
                  <c:v>595746.73778834904</c:v>
                </c:pt>
                <c:pt idx="189">
                  <c:v>598915.60341488279</c:v>
                </c:pt>
                <c:pt idx="190">
                  <c:v>602084.46904141654</c:v>
                </c:pt>
                <c:pt idx="191">
                  <c:v>605253.33466795029</c:v>
                </c:pt>
                <c:pt idx="192">
                  <c:v>608422.20029448415</c:v>
                </c:pt>
                <c:pt idx="193">
                  <c:v>611591.0659210179</c:v>
                </c:pt>
                <c:pt idx="194">
                  <c:v>614759.93154755165</c:v>
                </c:pt>
                <c:pt idx="195">
                  <c:v>617928.7971740854</c:v>
                </c:pt>
                <c:pt idx="196">
                  <c:v>621097.66280061915</c:v>
                </c:pt>
                <c:pt idx="197">
                  <c:v>624266.52842715289</c:v>
                </c:pt>
                <c:pt idx="198">
                  <c:v>627435.39405368676</c:v>
                </c:pt>
                <c:pt idx="199">
                  <c:v>630604.25968022051</c:v>
                </c:pt>
                <c:pt idx="200">
                  <c:v>633773.12530675426</c:v>
                </c:pt>
                <c:pt idx="201">
                  <c:v>636941.99093328801</c:v>
                </c:pt>
                <c:pt idx="202">
                  <c:v>640110.85655982175</c:v>
                </c:pt>
                <c:pt idx="203">
                  <c:v>643279.72218635562</c:v>
                </c:pt>
                <c:pt idx="204">
                  <c:v>646448.58781288937</c:v>
                </c:pt>
                <c:pt idx="205">
                  <c:v>649617.45343942312</c:v>
                </c:pt>
                <c:pt idx="206">
                  <c:v>652786.31906595686</c:v>
                </c:pt>
                <c:pt idx="207">
                  <c:v>655955.18469249061</c:v>
                </c:pt>
                <c:pt idx="208">
                  <c:v>659124.05031902448</c:v>
                </c:pt>
                <c:pt idx="209">
                  <c:v>662292.91594555823</c:v>
                </c:pt>
                <c:pt idx="210">
                  <c:v>665461.78157209198</c:v>
                </c:pt>
                <c:pt idx="211">
                  <c:v>668630.64719862572</c:v>
                </c:pt>
                <c:pt idx="212">
                  <c:v>671799.51282515947</c:v>
                </c:pt>
                <c:pt idx="213">
                  <c:v>674968.37845169334</c:v>
                </c:pt>
                <c:pt idx="214">
                  <c:v>678137.24407822709</c:v>
                </c:pt>
                <c:pt idx="215">
                  <c:v>681306.10970476083</c:v>
                </c:pt>
                <c:pt idx="216">
                  <c:v>684474.97533129458</c:v>
                </c:pt>
                <c:pt idx="217">
                  <c:v>687643.84095782833</c:v>
                </c:pt>
                <c:pt idx="218">
                  <c:v>690812.7065843622</c:v>
                </c:pt>
                <c:pt idx="219">
                  <c:v>693981.57221089595</c:v>
                </c:pt>
                <c:pt idx="220">
                  <c:v>697150.43783742969</c:v>
                </c:pt>
                <c:pt idx="221">
                  <c:v>700319.30346396344</c:v>
                </c:pt>
                <c:pt idx="222">
                  <c:v>703488.16909049719</c:v>
                </c:pt>
                <c:pt idx="223">
                  <c:v>706657.03471703106</c:v>
                </c:pt>
                <c:pt idx="224">
                  <c:v>709825.9003435648</c:v>
                </c:pt>
                <c:pt idx="225">
                  <c:v>712994.76597009855</c:v>
                </c:pt>
                <c:pt idx="226">
                  <c:v>716163.6315966323</c:v>
                </c:pt>
                <c:pt idx="227">
                  <c:v>719332.49722316605</c:v>
                </c:pt>
                <c:pt idx="228">
                  <c:v>722501.36284969992</c:v>
                </c:pt>
                <c:pt idx="229">
                  <c:v>725670.22847623366</c:v>
                </c:pt>
                <c:pt idx="230">
                  <c:v>728839.09410276741</c:v>
                </c:pt>
                <c:pt idx="231">
                  <c:v>732007.95972930116</c:v>
                </c:pt>
                <c:pt idx="232">
                  <c:v>735176.82535583491</c:v>
                </c:pt>
                <c:pt idx="233">
                  <c:v>738345.69098236877</c:v>
                </c:pt>
                <c:pt idx="234">
                  <c:v>741514.55660890252</c:v>
                </c:pt>
                <c:pt idx="235">
                  <c:v>744683.42223543627</c:v>
                </c:pt>
                <c:pt idx="236">
                  <c:v>747852.28786197002</c:v>
                </c:pt>
                <c:pt idx="237">
                  <c:v>751021.15348850377</c:v>
                </c:pt>
                <c:pt idx="238">
                  <c:v>754190.01911503752</c:v>
                </c:pt>
                <c:pt idx="239">
                  <c:v>757358.88474157138</c:v>
                </c:pt>
                <c:pt idx="240">
                  <c:v>760527.75036810513</c:v>
                </c:pt>
                <c:pt idx="241">
                  <c:v>763696.61599463888</c:v>
                </c:pt>
                <c:pt idx="242">
                  <c:v>766865.48162117263</c:v>
                </c:pt>
                <c:pt idx="243">
                  <c:v>770034.34724770638</c:v>
                </c:pt>
                <c:pt idx="244">
                  <c:v>773203.21287424024</c:v>
                </c:pt>
                <c:pt idx="245">
                  <c:v>776372.07850077399</c:v>
                </c:pt>
                <c:pt idx="246">
                  <c:v>779540.94412730774</c:v>
                </c:pt>
                <c:pt idx="247">
                  <c:v>782709.80975384149</c:v>
                </c:pt>
                <c:pt idx="248">
                  <c:v>785878.67538037524</c:v>
                </c:pt>
                <c:pt idx="249">
                  <c:v>789047.5410069091</c:v>
                </c:pt>
                <c:pt idx="250">
                  <c:v>792216.40663344285</c:v>
                </c:pt>
                <c:pt idx="251">
                  <c:v>795385.2722599766</c:v>
                </c:pt>
                <c:pt idx="252">
                  <c:v>798554.13788651035</c:v>
                </c:pt>
                <c:pt idx="253">
                  <c:v>801723.0035130441</c:v>
                </c:pt>
                <c:pt idx="254">
                  <c:v>804891.86913957796</c:v>
                </c:pt>
                <c:pt idx="255">
                  <c:v>808060.73476611171</c:v>
                </c:pt>
                <c:pt idx="256">
                  <c:v>811229.60039264546</c:v>
                </c:pt>
                <c:pt idx="257">
                  <c:v>814398.46601917921</c:v>
                </c:pt>
                <c:pt idx="258">
                  <c:v>817567.33164571295</c:v>
                </c:pt>
                <c:pt idx="259">
                  <c:v>820736.19727224682</c:v>
                </c:pt>
                <c:pt idx="260">
                  <c:v>823905.06289878057</c:v>
                </c:pt>
                <c:pt idx="261">
                  <c:v>827073.92852531432</c:v>
                </c:pt>
                <c:pt idx="262">
                  <c:v>830242.79415184807</c:v>
                </c:pt>
                <c:pt idx="263">
                  <c:v>833411.65977838181</c:v>
                </c:pt>
                <c:pt idx="264">
                  <c:v>836580.52540491568</c:v>
                </c:pt>
                <c:pt idx="265">
                  <c:v>839749.39103144943</c:v>
                </c:pt>
                <c:pt idx="266">
                  <c:v>842918.25665798318</c:v>
                </c:pt>
                <c:pt idx="267">
                  <c:v>846087.12228451692</c:v>
                </c:pt>
                <c:pt idx="268">
                  <c:v>849255.98791105067</c:v>
                </c:pt>
                <c:pt idx="269">
                  <c:v>852424.85353758454</c:v>
                </c:pt>
                <c:pt idx="270">
                  <c:v>855593.71916411829</c:v>
                </c:pt>
                <c:pt idx="271">
                  <c:v>858762.58479065204</c:v>
                </c:pt>
                <c:pt idx="272">
                  <c:v>861931.45041718578</c:v>
                </c:pt>
                <c:pt idx="273">
                  <c:v>865100.31604371953</c:v>
                </c:pt>
                <c:pt idx="274">
                  <c:v>868269.1816702534</c:v>
                </c:pt>
                <c:pt idx="275">
                  <c:v>871438.04729678715</c:v>
                </c:pt>
                <c:pt idx="276">
                  <c:v>874606.9129233209</c:v>
                </c:pt>
                <c:pt idx="277">
                  <c:v>877775.77854985464</c:v>
                </c:pt>
                <c:pt idx="278">
                  <c:v>880944.64417638839</c:v>
                </c:pt>
                <c:pt idx="279">
                  <c:v>884113.50980292214</c:v>
                </c:pt>
                <c:pt idx="280">
                  <c:v>887282.37542945601</c:v>
                </c:pt>
                <c:pt idx="281">
                  <c:v>890451.24105598975</c:v>
                </c:pt>
                <c:pt idx="282">
                  <c:v>893620.1066825235</c:v>
                </c:pt>
                <c:pt idx="283">
                  <c:v>896788.97230905725</c:v>
                </c:pt>
                <c:pt idx="284">
                  <c:v>899957.837935591</c:v>
                </c:pt>
                <c:pt idx="285">
                  <c:v>903126.70356212487</c:v>
                </c:pt>
                <c:pt idx="286">
                  <c:v>906295.56918865861</c:v>
                </c:pt>
                <c:pt idx="287">
                  <c:v>909464.43481519236</c:v>
                </c:pt>
                <c:pt idx="288">
                  <c:v>912633.30044172611</c:v>
                </c:pt>
                <c:pt idx="289">
                  <c:v>915802.16606825986</c:v>
                </c:pt>
                <c:pt idx="290">
                  <c:v>918971.03169479372</c:v>
                </c:pt>
                <c:pt idx="291">
                  <c:v>922139.89732132747</c:v>
                </c:pt>
                <c:pt idx="292">
                  <c:v>925308.76294786122</c:v>
                </c:pt>
                <c:pt idx="293">
                  <c:v>928477.62857439497</c:v>
                </c:pt>
                <c:pt idx="294">
                  <c:v>931646.49420092872</c:v>
                </c:pt>
                <c:pt idx="295">
                  <c:v>934815.35982746258</c:v>
                </c:pt>
                <c:pt idx="296">
                  <c:v>937984.22545399633</c:v>
                </c:pt>
                <c:pt idx="297">
                  <c:v>941153.09108053008</c:v>
                </c:pt>
                <c:pt idx="298">
                  <c:v>944321.95670706383</c:v>
                </c:pt>
                <c:pt idx="299">
                  <c:v>947490.82233359758</c:v>
                </c:pt>
                <c:pt idx="300">
                  <c:v>950659.68796013144</c:v>
                </c:pt>
                <c:pt idx="301">
                  <c:v>953828.55358666519</c:v>
                </c:pt>
                <c:pt idx="302">
                  <c:v>956997.41921319894</c:v>
                </c:pt>
                <c:pt idx="303">
                  <c:v>960166.28483973269</c:v>
                </c:pt>
                <c:pt idx="304">
                  <c:v>963335.15046626644</c:v>
                </c:pt>
                <c:pt idx="305">
                  <c:v>966504.0160928003</c:v>
                </c:pt>
                <c:pt idx="306">
                  <c:v>969672.88171933405</c:v>
                </c:pt>
                <c:pt idx="307">
                  <c:v>972841.7473458678</c:v>
                </c:pt>
                <c:pt idx="308">
                  <c:v>976010.61297240155</c:v>
                </c:pt>
                <c:pt idx="309">
                  <c:v>979179.4785989353</c:v>
                </c:pt>
                <c:pt idx="310">
                  <c:v>982348.34422546916</c:v>
                </c:pt>
                <c:pt idx="311">
                  <c:v>985517.20985200291</c:v>
                </c:pt>
                <c:pt idx="312">
                  <c:v>988686.07547853666</c:v>
                </c:pt>
                <c:pt idx="313">
                  <c:v>991854.94110507041</c:v>
                </c:pt>
                <c:pt idx="314">
                  <c:v>995023.80673160416</c:v>
                </c:pt>
                <c:pt idx="315">
                  <c:v>998192.67235813802</c:v>
                </c:pt>
                <c:pt idx="316">
                  <c:v>1001361.5379846718</c:v>
                </c:pt>
                <c:pt idx="317">
                  <c:v>1004530.4036112055</c:v>
                </c:pt>
                <c:pt idx="318">
                  <c:v>1007699.2692377393</c:v>
                </c:pt>
                <c:pt idx="319">
                  <c:v>1010868.134864273</c:v>
                </c:pt>
                <c:pt idx="320">
                  <c:v>1014037.0004908068</c:v>
                </c:pt>
                <c:pt idx="321">
                  <c:v>1017205.8661173406</c:v>
                </c:pt>
                <c:pt idx="322">
                  <c:v>1020374.7317438744</c:v>
                </c:pt>
                <c:pt idx="323">
                  <c:v>1023543.5973704081</c:v>
                </c:pt>
                <c:pt idx="324">
                  <c:v>1026712.4629969419</c:v>
                </c:pt>
                <c:pt idx="325">
                  <c:v>1029881.3286234756</c:v>
                </c:pt>
                <c:pt idx="326">
                  <c:v>1033050.1942500095</c:v>
                </c:pt>
                <c:pt idx="327">
                  <c:v>1036219.0598765432</c:v>
                </c:pt>
                <c:pt idx="328">
                  <c:v>1039387.925503077</c:v>
                </c:pt>
                <c:pt idx="329">
                  <c:v>1042556.7911296107</c:v>
                </c:pt>
                <c:pt idx="330">
                  <c:v>1045725.6567561445</c:v>
                </c:pt>
                <c:pt idx="331">
                  <c:v>1048894.5223826782</c:v>
                </c:pt>
                <c:pt idx="332">
                  <c:v>1052063.388009212</c:v>
                </c:pt>
                <c:pt idx="333">
                  <c:v>1055232.253635746</c:v>
                </c:pt>
                <c:pt idx="334">
                  <c:v>1058401.1192622797</c:v>
                </c:pt>
                <c:pt idx="335">
                  <c:v>1061569.9848888135</c:v>
                </c:pt>
                <c:pt idx="336">
                  <c:v>1064738.8505153472</c:v>
                </c:pt>
                <c:pt idx="337">
                  <c:v>1067907.716141881</c:v>
                </c:pt>
                <c:pt idx="338">
                  <c:v>1071076.5817684147</c:v>
                </c:pt>
                <c:pt idx="339">
                  <c:v>1074245.4473949485</c:v>
                </c:pt>
                <c:pt idx="340">
                  <c:v>1077414.3130214822</c:v>
                </c:pt>
                <c:pt idx="341">
                  <c:v>1080583.1786480159</c:v>
                </c:pt>
                <c:pt idx="342">
                  <c:v>1083752.0442745497</c:v>
                </c:pt>
                <c:pt idx="343">
                  <c:v>1086920.9099010834</c:v>
                </c:pt>
                <c:pt idx="344">
                  <c:v>1090089.7755276174</c:v>
                </c:pt>
                <c:pt idx="345">
                  <c:v>1093258.6411541512</c:v>
                </c:pt>
                <c:pt idx="346">
                  <c:v>1096427.5067806849</c:v>
                </c:pt>
                <c:pt idx="347">
                  <c:v>1099596.3724072187</c:v>
                </c:pt>
                <c:pt idx="348">
                  <c:v>1102765.2380337524</c:v>
                </c:pt>
                <c:pt idx="349">
                  <c:v>1105934.1036602862</c:v>
                </c:pt>
                <c:pt idx="350">
                  <c:v>1109102.9692868199</c:v>
                </c:pt>
                <c:pt idx="351">
                  <c:v>1112271.8349133537</c:v>
                </c:pt>
                <c:pt idx="352">
                  <c:v>1115440.7005398874</c:v>
                </c:pt>
                <c:pt idx="353">
                  <c:v>1118609.5661664212</c:v>
                </c:pt>
                <c:pt idx="354">
                  <c:v>1121778.4317929551</c:v>
                </c:pt>
                <c:pt idx="355">
                  <c:v>1124947.2974194889</c:v>
                </c:pt>
                <c:pt idx="356">
                  <c:v>1128116.1630460226</c:v>
                </c:pt>
                <c:pt idx="357">
                  <c:v>1131285.0286725564</c:v>
                </c:pt>
                <c:pt idx="358">
                  <c:v>1134453.8942990901</c:v>
                </c:pt>
                <c:pt idx="359">
                  <c:v>1137622.7599256239</c:v>
                </c:pt>
                <c:pt idx="360">
                  <c:v>1140791.6255521576</c:v>
                </c:pt>
                <c:pt idx="361">
                  <c:v>1143960.4911786914</c:v>
                </c:pt>
                <c:pt idx="362">
                  <c:v>1147129.3568052251</c:v>
                </c:pt>
                <c:pt idx="363">
                  <c:v>1150298.2224317589</c:v>
                </c:pt>
                <c:pt idx="364">
                  <c:v>1153467.0880582929</c:v>
                </c:pt>
                <c:pt idx="365">
                  <c:v>1156635.9536848266</c:v>
                </c:pt>
                <c:pt idx="366">
                  <c:v>1159804.8193113604</c:v>
                </c:pt>
                <c:pt idx="367">
                  <c:v>1162973.6849378941</c:v>
                </c:pt>
                <c:pt idx="368">
                  <c:v>1166142.5505644279</c:v>
                </c:pt>
                <c:pt idx="369">
                  <c:v>1169311.4161909616</c:v>
                </c:pt>
                <c:pt idx="370">
                  <c:v>1172480.2818174954</c:v>
                </c:pt>
                <c:pt idx="371">
                  <c:v>1175649.1474440291</c:v>
                </c:pt>
                <c:pt idx="372">
                  <c:v>1178818.0130705629</c:v>
                </c:pt>
                <c:pt idx="373">
                  <c:v>1181986.8786970966</c:v>
                </c:pt>
                <c:pt idx="374">
                  <c:v>1185155.7443236306</c:v>
                </c:pt>
                <c:pt idx="375">
                  <c:v>1188324.6099501643</c:v>
                </c:pt>
                <c:pt idx="376">
                  <c:v>1191493.4755766981</c:v>
                </c:pt>
                <c:pt idx="377">
                  <c:v>1194662.3412032318</c:v>
                </c:pt>
                <c:pt idx="378">
                  <c:v>1197831.2068297656</c:v>
                </c:pt>
                <c:pt idx="379">
                  <c:v>1201000.0724562993</c:v>
                </c:pt>
                <c:pt idx="380">
                  <c:v>1204168.9380828331</c:v>
                </c:pt>
                <c:pt idx="381">
                  <c:v>1207337.8037093668</c:v>
                </c:pt>
                <c:pt idx="382">
                  <c:v>1210506.6693359006</c:v>
                </c:pt>
                <c:pt idx="383">
                  <c:v>1213675.5349624343</c:v>
                </c:pt>
                <c:pt idx="384">
                  <c:v>1216844.4005889683</c:v>
                </c:pt>
                <c:pt idx="385">
                  <c:v>1220013.2662155021</c:v>
                </c:pt>
                <c:pt idx="386">
                  <c:v>1223182.1318420358</c:v>
                </c:pt>
                <c:pt idx="387">
                  <c:v>1226350.9974685695</c:v>
                </c:pt>
                <c:pt idx="388">
                  <c:v>1229519.8630951033</c:v>
                </c:pt>
                <c:pt idx="389">
                  <c:v>1232688.728721637</c:v>
                </c:pt>
                <c:pt idx="390">
                  <c:v>1235857.5943481708</c:v>
                </c:pt>
                <c:pt idx="391">
                  <c:v>1239026.4599747045</c:v>
                </c:pt>
                <c:pt idx="392">
                  <c:v>1242195.3256012383</c:v>
                </c:pt>
                <c:pt idx="393">
                  <c:v>1245364.191227772</c:v>
                </c:pt>
                <c:pt idx="394">
                  <c:v>1248533.0568543058</c:v>
                </c:pt>
                <c:pt idx="395">
                  <c:v>1251701.9224808398</c:v>
                </c:pt>
                <c:pt idx="396">
                  <c:v>1254870.7881073735</c:v>
                </c:pt>
                <c:pt idx="397">
                  <c:v>1258039.6537339073</c:v>
                </c:pt>
                <c:pt idx="398">
                  <c:v>1261208.519360441</c:v>
                </c:pt>
                <c:pt idx="399">
                  <c:v>1264377.3849869748</c:v>
                </c:pt>
                <c:pt idx="400">
                  <c:v>1267546.2506135085</c:v>
                </c:pt>
                <c:pt idx="401">
                  <c:v>1270715.1162400423</c:v>
                </c:pt>
                <c:pt idx="402">
                  <c:v>1273883.981866576</c:v>
                </c:pt>
                <c:pt idx="403">
                  <c:v>1277052.8474931098</c:v>
                </c:pt>
                <c:pt idx="404">
                  <c:v>1280221.7131196435</c:v>
                </c:pt>
                <c:pt idx="405">
                  <c:v>1283390.5787461775</c:v>
                </c:pt>
                <c:pt idx="406">
                  <c:v>1286559.4443727112</c:v>
                </c:pt>
                <c:pt idx="407">
                  <c:v>1289728.309999245</c:v>
                </c:pt>
                <c:pt idx="408">
                  <c:v>1292897.1756257787</c:v>
                </c:pt>
                <c:pt idx="409">
                  <c:v>1296066.0412523125</c:v>
                </c:pt>
                <c:pt idx="410">
                  <c:v>1299234.9068788462</c:v>
                </c:pt>
                <c:pt idx="411">
                  <c:v>1302403.77250538</c:v>
                </c:pt>
                <c:pt idx="412">
                  <c:v>1305572.6381319137</c:v>
                </c:pt>
                <c:pt idx="413">
                  <c:v>1308741.5037584475</c:v>
                </c:pt>
                <c:pt idx="414">
                  <c:v>1311910.3693849812</c:v>
                </c:pt>
                <c:pt idx="415">
                  <c:v>1315079.2350115152</c:v>
                </c:pt>
                <c:pt idx="416">
                  <c:v>1318248.100638049</c:v>
                </c:pt>
                <c:pt idx="417">
                  <c:v>1321416.9662645827</c:v>
                </c:pt>
                <c:pt idx="418">
                  <c:v>1324585.8318911165</c:v>
                </c:pt>
                <c:pt idx="419">
                  <c:v>1327754.6975176502</c:v>
                </c:pt>
                <c:pt idx="420">
                  <c:v>1330923.563144184</c:v>
                </c:pt>
                <c:pt idx="421">
                  <c:v>1334092.4287707177</c:v>
                </c:pt>
                <c:pt idx="422">
                  <c:v>1337261.2943972514</c:v>
                </c:pt>
                <c:pt idx="423">
                  <c:v>1340430.1600237852</c:v>
                </c:pt>
                <c:pt idx="424">
                  <c:v>1343599.0256503189</c:v>
                </c:pt>
                <c:pt idx="425">
                  <c:v>1346767.8912768529</c:v>
                </c:pt>
                <c:pt idx="426">
                  <c:v>1349936.7569033867</c:v>
                </c:pt>
                <c:pt idx="427">
                  <c:v>1353105.6225299204</c:v>
                </c:pt>
                <c:pt idx="428">
                  <c:v>1356274.4881564542</c:v>
                </c:pt>
                <c:pt idx="429">
                  <c:v>1359443.3537829879</c:v>
                </c:pt>
                <c:pt idx="430">
                  <c:v>1362612.2194095217</c:v>
                </c:pt>
                <c:pt idx="431">
                  <c:v>1365781.0850360554</c:v>
                </c:pt>
                <c:pt idx="432">
                  <c:v>1368949.9506625892</c:v>
                </c:pt>
                <c:pt idx="433">
                  <c:v>1372118.8162891229</c:v>
                </c:pt>
                <c:pt idx="434">
                  <c:v>1375287.6819156567</c:v>
                </c:pt>
                <c:pt idx="435">
                  <c:v>1378456.5475421904</c:v>
                </c:pt>
                <c:pt idx="436">
                  <c:v>1381625.4131687244</c:v>
                </c:pt>
                <c:pt idx="437">
                  <c:v>1384794.2787952581</c:v>
                </c:pt>
                <c:pt idx="438">
                  <c:v>1387963.1444217919</c:v>
                </c:pt>
                <c:pt idx="439">
                  <c:v>1391132.0100483256</c:v>
                </c:pt>
                <c:pt idx="440">
                  <c:v>1394300.8756748594</c:v>
                </c:pt>
                <c:pt idx="441">
                  <c:v>1397469.7413013931</c:v>
                </c:pt>
                <c:pt idx="442">
                  <c:v>1400638.6069279269</c:v>
                </c:pt>
                <c:pt idx="443">
                  <c:v>1403807.4725544606</c:v>
                </c:pt>
                <c:pt idx="444">
                  <c:v>1406976.3381809944</c:v>
                </c:pt>
                <c:pt idx="445">
                  <c:v>1410145.2038075281</c:v>
                </c:pt>
                <c:pt idx="446">
                  <c:v>1413314.0694340621</c:v>
                </c:pt>
                <c:pt idx="447">
                  <c:v>1416482.9350605959</c:v>
                </c:pt>
                <c:pt idx="448">
                  <c:v>1419651.8006871296</c:v>
                </c:pt>
                <c:pt idx="449">
                  <c:v>1422820.6663136634</c:v>
                </c:pt>
                <c:pt idx="450">
                  <c:v>1425989.5319401971</c:v>
                </c:pt>
                <c:pt idx="451">
                  <c:v>1429158.3975667309</c:v>
                </c:pt>
                <c:pt idx="452">
                  <c:v>1432327.2631932646</c:v>
                </c:pt>
                <c:pt idx="453">
                  <c:v>1435496.1288197984</c:v>
                </c:pt>
                <c:pt idx="454">
                  <c:v>1438664.9944463321</c:v>
                </c:pt>
                <c:pt idx="455">
                  <c:v>1441833.8600728658</c:v>
                </c:pt>
                <c:pt idx="456">
                  <c:v>1445002.7256993998</c:v>
                </c:pt>
                <c:pt idx="457">
                  <c:v>1448171.5913259336</c:v>
                </c:pt>
                <c:pt idx="458">
                  <c:v>1451340.4569524673</c:v>
                </c:pt>
                <c:pt idx="459">
                  <c:v>1454509.3225790011</c:v>
                </c:pt>
                <c:pt idx="460">
                  <c:v>1457678.1882055348</c:v>
                </c:pt>
                <c:pt idx="461">
                  <c:v>1460847.0538320686</c:v>
                </c:pt>
                <c:pt idx="462">
                  <c:v>1464015.9194586023</c:v>
                </c:pt>
                <c:pt idx="463">
                  <c:v>1467184.7850851361</c:v>
                </c:pt>
                <c:pt idx="464">
                  <c:v>1470353.6507116698</c:v>
                </c:pt>
                <c:pt idx="465">
                  <c:v>1473522.5163382036</c:v>
                </c:pt>
                <c:pt idx="466">
                  <c:v>1476691.3819647375</c:v>
                </c:pt>
                <c:pt idx="467">
                  <c:v>1479860.2475912713</c:v>
                </c:pt>
                <c:pt idx="468">
                  <c:v>1483029.113217805</c:v>
                </c:pt>
                <c:pt idx="469">
                  <c:v>1486197.9788443388</c:v>
                </c:pt>
                <c:pt idx="470">
                  <c:v>1489366.8444708725</c:v>
                </c:pt>
                <c:pt idx="471">
                  <c:v>1492535.7100974063</c:v>
                </c:pt>
                <c:pt idx="472">
                  <c:v>1495704.57572394</c:v>
                </c:pt>
                <c:pt idx="473">
                  <c:v>1498873.4413504738</c:v>
                </c:pt>
                <c:pt idx="474">
                  <c:v>1502042.3069770075</c:v>
                </c:pt>
                <c:pt idx="475">
                  <c:v>1505211.1726035413</c:v>
                </c:pt>
                <c:pt idx="476">
                  <c:v>1508380.038230075</c:v>
                </c:pt>
                <c:pt idx="477">
                  <c:v>1511548.903856609</c:v>
                </c:pt>
                <c:pt idx="478">
                  <c:v>1514717.7694831428</c:v>
                </c:pt>
                <c:pt idx="479">
                  <c:v>1517886.6351096765</c:v>
                </c:pt>
                <c:pt idx="480">
                  <c:v>1521055.5007362103</c:v>
                </c:pt>
                <c:pt idx="481">
                  <c:v>1524224.366362744</c:v>
                </c:pt>
                <c:pt idx="482">
                  <c:v>1527393.2319892778</c:v>
                </c:pt>
                <c:pt idx="483">
                  <c:v>1530562.0976158115</c:v>
                </c:pt>
                <c:pt idx="484">
                  <c:v>1533730.9632423453</c:v>
                </c:pt>
                <c:pt idx="485">
                  <c:v>1536899.828868879</c:v>
                </c:pt>
                <c:pt idx="486">
                  <c:v>1540068.6944954128</c:v>
                </c:pt>
                <c:pt idx="487">
                  <c:v>1543237.5601219467</c:v>
                </c:pt>
                <c:pt idx="488">
                  <c:v>1546406.4257484805</c:v>
                </c:pt>
                <c:pt idx="489">
                  <c:v>1549575.2913750142</c:v>
                </c:pt>
                <c:pt idx="490">
                  <c:v>1552744.157001548</c:v>
                </c:pt>
                <c:pt idx="491">
                  <c:v>1555913.0226280817</c:v>
                </c:pt>
                <c:pt idx="492">
                  <c:v>1559081.8882546155</c:v>
                </c:pt>
                <c:pt idx="493">
                  <c:v>1562250.7538811492</c:v>
                </c:pt>
                <c:pt idx="494">
                  <c:v>1565419.619507683</c:v>
                </c:pt>
                <c:pt idx="495">
                  <c:v>1568588.4851342167</c:v>
                </c:pt>
                <c:pt idx="496">
                  <c:v>1571757.3507607505</c:v>
                </c:pt>
                <c:pt idx="497">
                  <c:v>1574926.2163872845</c:v>
                </c:pt>
                <c:pt idx="498">
                  <c:v>1578095.0820138182</c:v>
                </c:pt>
                <c:pt idx="499">
                  <c:v>1581263.947640352</c:v>
                </c:pt>
                <c:pt idx="500">
                  <c:v>1584432.8132668857</c:v>
                </c:pt>
                <c:pt idx="501">
                  <c:v>1587601.6788934194</c:v>
                </c:pt>
                <c:pt idx="502">
                  <c:v>1590770.5445199532</c:v>
                </c:pt>
                <c:pt idx="503">
                  <c:v>1593939.4101464869</c:v>
                </c:pt>
                <c:pt idx="504">
                  <c:v>1597108.2757730207</c:v>
                </c:pt>
                <c:pt idx="505">
                  <c:v>1600277.1413995544</c:v>
                </c:pt>
                <c:pt idx="506">
                  <c:v>1603446.0070260882</c:v>
                </c:pt>
                <c:pt idx="507">
                  <c:v>1606614.8726526222</c:v>
                </c:pt>
                <c:pt idx="508">
                  <c:v>1609783.7382791559</c:v>
                </c:pt>
                <c:pt idx="509">
                  <c:v>1612952.6039056897</c:v>
                </c:pt>
                <c:pt idx="510">
                  <c:v>1616121.4695322234</c:v>
                </c:pt>
                <c:pt idx="511">
                  <c:v>1619290.3351587572</c:v>
                </c:pt>
                <c:pt idx="512">
                  <c:v>1622459.2007852909</c:v>
                </c:pt>
                <c:pt idx="513">
                  <c:v>1625628.0664118247</c:v>
                </c:pt>
                <c:pt idx="514">
                  <c:v>1628796.9320383584</c:v>
                </c:pt>
                <c:pt idx="515">
                  <c:v>1631965.7976648922</c:v>
                </c:pt>
                <c:pt idx="516">
                  <c:v>1635134.6632914259</c:v>
                </c:pt>
                <c:pt idx="517">
                  <c:v>1638303.5289179597</c:v>
                </c:pt>
                <c:pt idx="518">
                  <c:v>1641472.3945444936</c:v>
                </c:pt>
                <c:pt idx="519">
                  <c:v>1644641.2601710274</c:v>
                </c:pt>
                <c:pt idx="520">
                  <c:v>1647810.1257975611</c:v>
                </c:pt>
                <c:pt idx="521">
                  <c:v>1650978.9914240949</c:v>
                </c:pt>
                <c:pt idx="522">
                  <c:v>1654147.8570506286</c:v>
                </c:pt>
                <c:pt idx="523">
                  <c:v>1657316.7226771624</c:v>
                </c:pt>
                <c:pt idx="524">
                  <c:v>1660485.5883036961</c:v>
                </c:pt>
                <c:pt idx="525">
                  <c:v>1663654.4539302299</c:v>
                </c:pt>
                <c:pt idx="526">
                  <c:v>1666823.3195567636</c:v>
                </c:pt>
                <c:pt idx="527">
                  <c:v>1669992.1851832974</c:v>
                </c:pt>
                <c:pt idx="528">
                  <c:v>1673161.0508098314</c:v>
                </c:pt>
                <c:pt idx="529">
                  <c:v>1676329.9164363651</c:v>
                </c:pt>
                <c:pt idx="530">
                  <c:v>1679498.7820628989</c:v>
                </c:pt>
                <c:pt idx="531">
                  <c:v>1682667.6476894326</c:v>
                </c:pt>
                <c:pt idx="532">
                  <c:v>1685836.5133159664</c:v>
                </c:pt>
                <c:pt idx="533">
                  <c:v>1689005.3789425001</c:v>
                </c:pt>
                <c:pt idx="534">
                  <c:v>1692174.2445690338</c:v>
                </c:pt>
                <c:pt idx="535">
                  <c:v>1695343.1101955676</c:v>
                </c:pt>
                <c:pt idx="536">
                  <c:v>1698511.9758221013</c:v>
                </c:pt>
                <c:pt idx="537">
                  <c:v>1701680.8414486351</c:v>
                </c:pt>
                <c:pt idx="538">
                  <c:v>1704849.7070751691</c:v>
                </c:pt>
                <c:pt idx="539">
                  <c:v>1708018.5727017028</c:v>
                </c:pt>
                <c:pt idx="540">
                  <c:v>1711187.4383282366</c:v>
                </c:pt>
                <c:pt idx="541">
                  <c:v>1714356.3039547703</c:v>
                </c:pt>
                <c:pt idx="542">
                  <c:v>1717525.1695813041</c:v>
                </c:pt>
                <c:pt idx="543">
                  <c:v>1720694.0352078378</c:v>
                </c:pt>
                <c:pt idx="544">
                  <c:v>1723862.9008343716</c:v>
                </c:pt>
                <c:pt idx="545">
                  <c:v>1727031.7664609053</c:v>
                </c:pt>
                <c:pt idx="546">
                  <c:v>1730200.6320874391</c:v>
                </c:pt>
                <c:pt idx="547">
                  <c:v>1733369.4977139728</c:v>
                </c:pt>
                <c:pt idx="548">
                  <c:v>1736538.3633405068</c:v>
                </c:pt>
                <c:pt idx="549">
                  <c:v>1739707.2289670405</c:v>
                </c:pt>
                <c:pt idx="550">
                  <c:v>1742876.0945935743</c:v>
                </c:pt>
                <c:pt idx="551">
                  <c:v>1746044.960220108</c:v>
                </c:pt>
                <c:pt idx="552">
                  <c:v>1749213.8258466418</c:v>
                </c:pt>
                <c:pt idx="553">
                  <c:v>1752382.6914731755</c:v>
                </c:pt>
                <c:pt idx="554">
                  <c:v>1755551.5570997093</c:v>
                </c:pt>
                <c:pt idx="555">
                  <c:v>1758720.422726243</c:v>
                </c:pt>
                <c:pt idx="556">
                  <c:v>1761889.2883527768</c:v>
                </c:pt>
                <c:pt idx="557">
                  <c:v>1765058.1539793105</c:v>
                </c:pt>
                <c:pt idx="558">
                  <c:v>1768227.0196058443</c:v>
                </c:pt>
                <c:pt idx="559">
                  <c:v>1771395.8852323783</c:v>
                </c:pt>
                <c:pt idx="560">
                  <c:v>1774564.750858912</c:v>
                </c:pt>
                <c:pt idx="561">
                  <c:v>1777733.6164854458</c:v>
                </c:pt>
                <c:pt idx="562">
                  <c:v>1780902.4821119795</c:v>
                </c:pt>
                <c:pt idx="563">
                  <c:v>1784071.3477385133</c:v>
                </c:pt>
                <c:pt idx="564">
                  <c:v>1787240.213365047</c:v>
                </c:pt>
                <c:pt idx="565">
                  <c:v>1790409.0789915808</c:v>
                </c:pt>
                <c:pt idx="566">
                  <c:v>1793577.9446181145</c:v>
                </c:pt>
                <c:pt idx="567">
                  <c:v>1796746.8102446483</c:v>
                </c:pt>
                <c:pt idx="568">
                  <c:v>1799915.675871182</c:v>
                </c:pt>
                <c:pt idx="569">
                  <c:v>1803084.541497716</c:v>
                </c:pt>
                <c:pt idx="570">
                  <c:v>1806253.4071242497</c:v>
                </c:pt>
                <c:pt idx="571">
                  <c:v>1809422.2727507835</c:v>
                </c:pt>
                <c:pt idx="572">
                  <c:v>1812591.1383773172</c:v>
                </c:pt>
                <c:pt idx="573">
                  <c:v>1815760.004003851</c:v>
                </c:pt>
                <c:pt idx="574">
                  <c:v>1818928.8696303847</c:v>
                </c:pt>
                <c:pt idx="575">
                  <c:v>1822097.7352569185</c:v>
                </c:pt>
                <c:pt idx="576">
                  <c:v>1825266.6008834522</c:v>
                </c:pt>
                <c:pt idx="577">
                  <c:v>1828435.466509986</c:v>
                </c:pt>
                <c:pt idx="578">
                  <c:v>1831604.3321365197</c:v>
                </c:pt>
                <c:pt idx="579">
                  <c:v>1834773.1977630537</c:v>
                </c:pt>
                <c:pt idx="580">
                  <c:v>1837942.0633895874</c:v>
                </c:pt>
                <c:pt idx="581">
                  <c:v>1841110.9290161212</c:v>
                </c:pt>
                <c:pt idx="582">
                  <c:v>1844279.7946426549</c:v>
                </c:pt>
                <c:pt idx="583">
                  <c:v>1847448.6602691887</c:v>
                </c:pt>
                <c:pt idx="584">
                  <c:v>1850617.5258957224</c:v>
                </c:pt>
                <c:pt idx="585">
                  <c:v>1853786.3915222562</c:v>
                </c:pt>
                <c:pt idx="586">
                  <c:v>1856955.2571487899</c:v>
                </c:pt>
                <c:pt idx="587">
                  <c:v>1860124.1227753237</c:v>
                </c:pt>
                <c:pt idx="588">
                  <c:v>1863292.9884018574</c:v>
                </c:pt>
                <c:pt idx="589">
                  <c:v>1866461.8540283914</c:v>
                </c:pt>
                <c:pt idx="590">
                  <c:v>1869630.7196549252</c:v>
                </c:pt>
                <c:pt idx="591">
                  <c:v>1872799.5852814589</c:v>
                </c:pt>
                <c:pt idx="592">
                  <c:v>1875968.4509079927</c:v>
                </c:pt>
                <c:pt idx="593">
                  <c:v>1879137.3165345264</c:v>
                </c:pt>
                <c:pt idx="594">
                  <c:v>1882306.1821610602</c:v>
                </c:pt>
                <c:pt idx="595">
                  <c:v>1885475.0477875939</c:v>
                </c:pt>
                <c:pt idx="596">
                  <c:v>1888643.9134141277</c:v>
                </c:pt>
                <c:pt idx="597">
                  <c:v>1891812.7790406614</c:v>
                </c:pt>
                <c:pt idx="598">
                  <c:v>1894981.6446671952</c:v>
                </c:pt>
                <c:pt idx="599">
                  <c:v>1898150.5102937289</c:v>
                </c:pt>
                <c:pt idx="600">
                  <c:v>1901319.3759202629</c:v>
                </c:pt>
                <c:pt idx="601">
                  <c:v>1904488.2415467966</c:v>
                </c:pt>
                <c:pt idx="602">
                  <c:v>1907657.1071733304</c:v>
                </c:pt>
                <c:pt idx="603">
                  <c:v>1910825.9727998641</c:v>
                </c:pt>
                <c:pt idx="604">
                  <c:v>1913994.8384263979</c:v>
                </c:pt>
                <c:pt idx="605">
                  <c:v>1917163.7040529316</c:v>
                </c:pt>
                <c:pt idx="606">
                  <c:v>1920332.5696794654</c:v>
                </c:pt>
                <c:pt idx="607">
                  <c:v>1923501.4353059991</c:v>
                </c:pt>
                <c:pt idx="608">
                  <c:v>1926670.3009325329</c:v>
                </c:pt>
                <c:pt idx="609">
                  <c:v>1929839.1665590666</c:v>
                </c:pt>
                <c:pt idx="610">
                  <c:v>1933008.0321856006</c:v>
                </c:pt>
                <c:pt idx="611">
                  <c:v>1936176.8978121344</c:v>
                </c:pt>
                <c:pt idx="612">
                  <c:v>1939345.7634386681</c:v>
                </c:pt>
                <c:pt idx="613">
                  <c:v>1942514.6290652019</c:v>
                </c:pt>
                <c:pt idx="614">
                  <c:v>1945683.4946917356</c:v>
                </c:pt>
                <c:pt idx="615">
                  <c:v>1948852.3603182693</c:v>
                </c:pt>
                <c:pt idx="616">
                  <c:v>1952021.2259448031</c:v>
                </c:pt>
                <c:pt idx="617">
                  <c:v>1955190.0915713368</c:v>
                </c:pt>
                <c:pt idx="618">
                  <c:v>1958358.9571978706</c:v>
                </c:pt>
                <c:pt idx="619">
                  <c:v>1961527.8228244043</c:v>
                </c:pt>
                <c:pt idx="620">
                  <c:v>1964696.6884509383</c:v>
                </c:pt>
                <c:pt idx="621">
                  <c:v>1967865.5540774721</c:v>
                </c:pt>
                <c:pt idx="622">
                  <c:v>1971034.4197040058</c:v>
                </c:pt>
                <c:pt idx="623">
                  <c:v>1974203.2853305396</c:v>
                </c:pt>
                <c:pt idx="624">
                  <c:v>1977372.1509570733</c:v>
                </c:pt>
                <c:pt idx="625">
                  <c:v>1980541.0165836071</c:v>
                </c:pt>
                <c:pt idx="626">
                  <c:v>1983709.8822101408</c:v>
                </c:pt>
                <c:pt idx="627">
                  <c:v>1986878.7478366746</c:v>
                </c:pt>
                <c:pt idx="628">
                  <c:v>1990047.6134632083</c:v>
                </c:pt>
                <c:pt idx="629">
                  <c:v>1993216.4790897421</c:v>
                </c:pt>
                <c:pt idx="630">
                  <c:v>1996385.344716276</c:v>
                </c:pt>
                <c:pt idx="631">
                  <c:v>1999554.2103428098</c:v>
                </c:pt>
                <c:pt idx="632">
                  <c:v>2002723.0759693435</c:v>
                </c:pt>
                <c:pt idx="633">
                  <c:v>2005891.9415958773</c:v>
                </c:pt>
                <c:pt idx="634">
                  <c:v>2009060.807222411</c:v>
                </c:pt>
                <c:pt idx="635">
                  <c:v>2012229.6728489448</c:v>
                </c:pt>
                <c:pt idx="636">
                  <c:v>2015398.5384754785</c:v>
                </c:pt>
                <c:pt idx="637">
                  <c:v>2018567.4041020123</c:v>
                </c:pt>
                <c:pt idx="638">
                  <c:v>2021736.269728546</c:v>
                </c:pt>
                <c:pt idx="639">
                  <c:v>2024905.1353550798</c:v>
                </c:pt>
                <c:pt idx="640">
                  <c:v>2028074.0009816135</c:v>
                </c:pt>
                <c:pt idx="641">
                  <c:v>2031242.8666081475</c:v>
                </c:pt>
                <c:pt idx="642">
                  <c:v>2034411.7322346813</c:v>
                </c:pt>
                <c:pt idx="643">
                  <c:v>2037580.597861215</c:v>
                </c:pt>
                <c:pt idx="644">
                  <c:v>2040749.4634877488</c:v>
                </c:pt>
                <c:pt idx="645">
                  <c:v>2043918.3291142825</c:v>
                </c:pt>
                <c:pt idx="646">
                  <c:v>2047087.1947408163</c:v>
                </c:pt>
                <c:pt idx="647">
                  <c:v>2050256.06036735</c:v>
                </c:pt>
                <c:pt idx="648">
                  <c:v>2053424.9259938837</c:v>
                </c:pt>
                <c:pt idx="649">
                  <c:v>2056593.7916204175</c:v>
                </c:pt>
                <c:pt idx="650">
                  <c:v>2059762.6572469512</c:v>
                </c:pt>
                <c:pt idx="651">
                  <c:v>2062931.5228734852</c:v>
                </c:pt>
                <c:pt idx="652">
                  <c:v>2066100.388500019</c:v>
                </c:pt>
                <c:pt idx="653">
                  <c:v>2069269.2541265527</c:v>
                </c:pt>
                <c:pt idx="654">
                  <c:v>2072438.1197530865</c:v>
                </c:pt>
                <c:pt idx="655">
                  <c:v>2075606.9853796202</c:v>
                </c:pt>
                <c:pt idx="656">
                  <c:v>2078775.851006154</c:v>
                </c:pt>
                <c:pt idx="657">
                  <c:v>2081944.7166326877</c:v>
                </c:pt>
                <c:pt idx="658">
                  <c:v>2085113.5822592215</c:v>
                </c:pt>
                <c:pt idx="659">
                  <c:v>2088282.4478857552</c:v>
                </c:pt>
                <c:pt idx="660">
                  <c:v>2091451.313512289</c:v>
                </c:pt>
                <c:pt idx="661">
                  <c:v>2094620.1791388229</c:v>
                </c:pt>
                <c:pt idx="662">
                  <c:v>2097789.0447653565</c:v>
                </c:pt>
                <c:pt idx="663">
                  <c:v>2100957.9103918904</c:v>
                </c:pt>
                <c:pt idx="664">
                  <c:v>2104126.776018424</c:v>
                </c:pt>
                <c:pt idx="665">
                  <c:v>2107295.6416449579</c:v>
                </c:pt>
                <c:pt idx="666">
                  <c:v>2110464.5072714919</c:v>
                </c:pt>
                <c:pt idx="667">
                  <c:v>2113633.3728980254</c:v>
                </c:pt>
                <c:pt idx="668">
                  <c:v>2116802.2385245594</c:v>
                </c:pt>
                <c:pt idx="669">
                  <c:v>2119971.1041510929</c:v>
                </c:pt>
                <c:pt idx="670">
                  <c:v>2123139.9697776269</c:v>
                </c:pt>
                <c:pt idx="671">
                  <c:v>2126308.8354041604</c:v>
                </c:pt>
                <c:pt idx="672">
                  <c:v>2129477.7010306944</c:v>
                </c:pt>
                <c:pt idx="673">
                  <c:v>2132646.5666572279</c:v>
                </c:pt>
                <c:pt idx="674">
                  <c:v>2135815.4322837619</c:v>
                </c:pt>
                <c:pt idx="675">
                  <c:v>2138984.2979102954</c:v>
                </c:pt>
                <c:pt idx="676">
                  <c:v>2142153.1635368294</c:v>
                </c:pt>
                <c:pt idx="677">
                  <c:v>2145322.0291633634</c:v>
                </c:pt>
                <c:pt idx="678">
                  <c:v>2148490.8947898969</c:v>
                </c:pt>
                <c:pt idx="679">
                  <c:v>2151659.7604164309</c:v>
                </c:pt>
                <c:pt idx="680">
                  <c:v>2154828.6260429644</c:v>
                </c:pt>
                <c:pt idx="681">
                  <c:v>2157997.4916694984</c:v>
                </c:pt>
                <c:pt idx="682">
                  <c:v>2161166.3572960319</c:v>
                </c:pt>
                <c:pt idx="683">
                  <c:v>2164335.2229225659</c:v>
                </c:pt>
                <c:pt idx="684">
                  <c:v>2167504.0885490994</c:v>
                </c:pt>
                <c:pt idx="685">
                  <c:v>2170672.9541756334</c:v>
                </c:pt>
                <c:pt idx="686">
                  <c:v>2173841.8198021669</c:v>
                </c:pt>
                <c:pt idx="687">
                  <c:v>2177010.6854287009</c:v>
                </c:pt>
                <c:pt idx="688">
                  <c:v>2180179.5510552349</c:v>
                </c:pt>
                <c:pt idx="689">
                  <c:v>2183348.4166817684</c:v>
                </c:pt>
                <c:pt idx="690">
                  <c:v>2186517.2823083024</c:v>
                </c:pt>
                <c:pt idx="691">
                  <c:v>2189686.1479348359</c:v>
                </c:pt>
                <c:pt idx="692">
                  <c:v>2192855.0135613699</c:v>
                </c:pt>
                <c:pt idx="693">
                  <c:v>2196023.8791879034</c:v>
                </c:pt>
                <c:pt idx="694">
                  <c:v>2199192.7448144373</c:v>
                </c:pt>
                <c:pt idx="695">
                  <c:v>2202361.6104409709</c:v>
                </c:pt>
                <c:pt idx="696">
                  <c:v>2205530.4760675048</c:v>
                </c:pt>
                <c:pt idx="697">
                  <c:v>2208699.3416940388</c:v>
                </c:pt>
                <c:pt idx="698">
                  <c:v>2211868.2073205723</c:v>
                </c:pt>
                <c:pt idx="699">
                  <c:v>2215037.0729471063</c:v>
                </c:pt>
                <c:pt idx="700">
                  <c:v>2218205.9385736398</c:v>
                </c:pt>
                <c:pt idx="701">
                  <c:v>2221374.8042001738</c:v>
                </c:pt>
                <c:pt idx="702">
                  <c:v>2224543.6698267073</c:v>
                </c:pt>
                <c:pt idx="703">
                  <c:v>2227712.5354532413</c:v>
                </c:pt>
                <c:pt idx="704">
                  <c:v>2230881.4010797748</c:v>
                </c:pt>
                <c:pt idx="705">
                  <c:v>2234050.2667063088</c:v>
                </c:pt>
                <c:pt idx="706">
                  <c:v>2237219.1323328423</c:v>
                </c:pt>
                <c:pt idx="707">
                  <c:v>2240387.9979593763</c:v>
                </c:pt>
                <c:pt idx="708">
                  <c:v>2243556.8635859103</c:v>
                </c:pt>
                <c:pt idx="709">
                  <c:v>2246725.7292124438</c:v>
                </c:pt>
                <c:pt idx="710">
                  <c:v>2249894.5948389778</c:v>
                </c:pt>
                <c:pt idx="711">
                  <c:v>2253063.4604655113</c:v>
                </c:pt>
                <c:pt idx="712">
                  <c:v>2256232.3260920453</c:v>
                </c:pt>
                <c:pt idx="713">
                  <c:v>2259401.1917185788</c:v>
                </c:pt>
                <c:pt idx="714">
                  <c:v>2262570.0573451128</c:v>
                </c:pt>
                <c:pt idx="715">
                  <c:v>2265738.9229716463</c:v>
                </c:pt>
                <c:pt idx="716">
                  <c:v>2268907.7885981803</c:v>
                </c:pt>
                <c:pt idx="717">
                  <c:v>2272076.6542247143</c:v>
                </c:pt>
                <c:pt idx="718">
                  <c:v>2275245.5198512478</c:v>
                </c:pt>
                <c:pt idx="719">
                  <c:v>2278414.3854777818</c:v>
                </c:pt>
                <c:pt idx="720">
                  <c:v>2281583.2511043153</c:v>
                </c:pt>
                <c:pt idx="721">
                  <c:v>2284752.1167308493</c:v>
                </c:pt>
                <c:pt idx="722">
                  <c:v>2287920.9823573828</c:v>
                </c:pt>
                <c:pt idx="723">
                  <c:v>2291089.8479839168</c:v>
                </c:pt>
                <c:pt idx="724">
                  <c:v>2294258.7136104503</c:v>
                </c:pt>
                <c:pt idx="725">
                  <c:v>2297427.5792369843</c:v>
                </c:pt>
                <c:pt idx="726">
                  <c:v>2300596.4448635178</c:v>
                </c:pt>
                <c:pt idx="727">
                  <c:v>2303765.3104900518</c:v>
                </c:pt>
                <c:pt idx="728">
                  <c:v>2306934.1761165857</c:v>
                </c:pt>
                <c:pt idx="729">
                  <c:v>2310103.0417431192</c:v>
                </c:pt>
                <c:pt idx="730">
                  <c:v>2313271.9073696532</c:v>
                </c:pt>
                <c:pt idx="731">
                  <c:v>2316440.7729961867</c:v>
                </c:pt>
                <c:pt idx="732">
                  <c:v>2319609.6386227207</c:v>
                </c:pt>
                <c:pt idx="733">
                  <c:v>2322778.5042492542</c:v>
                </c:pt>
                <c:pt idx="734">
                  <c:v>2325947.3698757882</c:v>
                </c:pt>
                <c:pt idx="735">
                  <c:v>2329116.2355023217</c:v>
                </c:pt>
                <c:pt idx="736">
                  <c:v>2332285.1011288557</c:v>
                </c:pt>
                <c:pt idx="737">
                  <c:v>2335453.9667553892</c:v>
                </c:pt>
                <c:pt idx="738">
                  <c:v>2338622.8323819232</c:v>
                </c:pt>
                <c:pt idx="739">
                  <c:v>2341791.6980084572</c:v>
                </c:pt>
                <c:pt idx="740">
                  <c:v>2344960.5636349907</c:v>
                </c:pt>
                <c:pt idx="741">
                  <c:v>2348129.4292615247</c:v>
                </c:pt>
                <c:pt idx="742">
                  <c:v>2351298.2948880582</c:v>
                </c:pt>
                <c:pt idx="743">
                  <c:v>2354467.1605145922</c:v>
                </c:pt>
                <c:pt idx="744">
                  <c:v>2357636.0261411257</c:v>
                </c:pt>
                <c:pt idx="745">
                  <c:v>2360804.8917676597</c:v>
                </c:pt>
                <c:pt idx="746">
                  <c:v>2363973.7573941932</c:v>
                </c:pt>
                <c:pt idx="747">
                  <c:v>2367142.6230207272</c:v>
                </c:pt>
                <c:pt idx="748">
                  <c:v>2370311.4886472612</c:v>
                </c:pt>
                <c:pt idx="749">
                  <c:v>2373480.3542737947</c:v>
                </c:pt>
                <c:pt idx="750">
                  <c:v>2376649.2199003287</c:v>
                </c:pt>
                <c:pt idx="751">
                  <c:v>2379818.0855268622</c:v>
                </c:pt>
                <c:pt idx="752">
                  <c:v>2382986.9511533962</c:v>
                </c:pt>
                <c:pt idx="753">
                  <c:v>2386155.8167799297</c:v>
                </c:pt>
                <c:pt idx="754">
                  <c:v>2389324.6824064637</c:v>
                </c:pt>
                <c:pt idx="755">
                  <c:v>2392493.5480329972</c:v>
                </c:pt>
                <c:pt idx="756">
                  <c:v>2395662.4136595312</c:v>
                </c:pt>
                <c:pt idx="757">
                  <c:v>2398831.2792860647</c:v>
                </c:pt>
                <c:pt idx="758">
                  <c:v>2402000.1449125987</c:v>
                </c:pt>
                <c:pt idx="759">
                  <c:v>2405169.0105391326</c:v>
                </c:pt>
                <c:pt idx="760">
                  <c:v>2408337.8761656662</c:v>
                </c:pt>
                <c:pt idx="761">
                  <c:v>2411506.7417922001</c:v>
                </c:pt>
                <c:pt idx="762">
                  <c:v>2414675.6074187336</c:v>
                </c:pt>
                <c:pt idx="763">
                  <c:v>2417844.4730452676</c:v>
                </c:pt>
                <c:pt idx="764">
                  <c:v>2421013.3386718011</c:v>
                </c:pt>
                <c:pt idx="765">
                  <c:v>2424182.2042983351</c:v>
                </c:pt>
                <c:pt idx="766">
                  <c:v>2427351.0699248686</c:v>
                </c:pt>
                <c:pt idx="767">
                  <c:v>2430519.9355514026</c:v>
                </c:pt>
                <c:pt idx="768">
                  <c:v>2433688.8011779366</c:v>
                </c:pt>
                <c:pt idx="769">
                  <c:v>2436857.6668044701</c:v>
                </c:pt>
                <c:pt idx="770">
                  <c:v>2440026.5324310041</c:v>
                </c:pt>
                <c:pt idx="771">
                  <c:v>2443195.3980575376</c:v>
                </c:pt>
                <c:pt idx="772">
                  <c:v>2446364.2636840716</c:v>
                </c:pt>
                <c:pt idx="773">
                  <c:v>2449533.1293106051</c:v>
                </c:pt>
                <c:pt idx="774">
                  <c:v>2452701.9949371391</c:v>
                </c:pt>
                <c:pt idx="775">
                  <c:v>2455870.8605636726</c:v>
                </c:pt>
                <c:pt idx="776">
                  <c:v>2459039.7261902066</c:v>
                </c:pt>
                <c:pt idx="777">
                  <c:v>2462208.5918167401</c:v>
                </c:pt>
                <c:pt idx="778">
                  <c:v>2465377.4574432741</c:v>
                </c:pt>
                <c:pt idx="779">
                  <c:v>2468546.3230698081</c:v>
                </c:pt>
                <c:pt idx="780">
                  <c:v>2471715.1886963416</c:v>
                </c:pt>
                <c:pt idx="781">
                  <c:v>2474884.0543228756</c:v>
                </c:pt>
                <c:pt idx="782">
                  <c:v>2478052.9199494091</c:v>
                </c:pt>
                <c:pt idx="783">
                  <c:v>2481221.7855759431</c:v>
                </c:pt>
                <c:pt idx="784">
                  <c:v>2484390.6512024766</c:v>
                </c:pt>
                <c:pt idx="785">
                  <c:v>2487559.5168290106</c:v>
                </c:pt>
                <c:pt idx="786">
                  <c:v>2490728.3824555441</c:v>
                </c:pt>
                <c:pt idx="787">
                  <c:v>2493897.2480820781</c:v>
                </c:pt>
                <c:pt idx="788">
                  <c:v>2497066.1137086116</c:v>
                </c:pt>
                <c:pt idx="789">
                  <c:v>2500234.9793351456</c:v>
                </c:pt>
                <c:pt idx="790">
                  <c:v>2503403.8449616795</c:v>
                </c:pt>
                <c:pt idx="791">
                  <c:v>2506572.7105882131</c:v>
                </c:pt>
                <c:pt idx="792">
                  <c:v>2509741.576214747</c:v>
                </c:pt>
                <c:pt idx="793">
                  <c:v>2512910.4418412806</c:v>
                </c:pt>
                <c:pt idx="794">
                  <c:v>2516079.3074678145</c:v>
                </c:pt>
                <c:pt idx="795">
                  <c:v>2519248.1730943481</c:v>
                </c:pt>
                <c:pt idx="796">
                  <c:v>2522417.038720882</c:v>
                </c:pt>
                <c:pt idx="797">
                  <c:v>2525585.9043474155</c:v>
                </c:pt>
                <c:pt idx="798">
                  <c:v>2528754.7699739495</c:v>
                </c:pt>
                <c:pt idx="799">
                  <c:v>2531923.6356004835</c:v>
                </c:pt>
                <c:pt idx="800">
                  <c:v>2535092.501227017</c:v>
                </c:pt>
                <c:pt idx="801">
                  <c:v>2538261.366853551</c:v>
                </c:pt>
                <c:pt idx="802">
                  <c:v>2541430.2324800845</c:v>
                </c:pt>
                <c:pt idx="803">
                  <c:v>2544599.0981066185</c:v>
                </c:pt>
                <c:pt idx="804">
                  <c:v>2547767.963733152</c:v>
                </c:pt>
                <c:pt idx="805">
                  <c:v>2550936.829359686</c:v>
                </c:pt>
                <c:pt idx="806">
                  <c:v>2554105.6949862195</c:v>
                </c:pt>
                <c:pt idx="807">
                  <c:v>2557274.5606127535</c:v>
                </c:pt>
                <c:pt idx="808">
                  <c:v>2560443.426239287</c:v>
                </c:pt>
                <c:pt idx="809">
                  <c:v>2563612.291865821</c:v>
                </c:pt>
                <c:pt idx="810">
                  <c:v>2566781.157492355</c:v>
                </c:pt>
                <c:pt idx="811">
                  <c:v>2569950.0231188885</c:v>
                </c:pt>
                <c:pt idx="812">
                  <c:v>2573118.8887454225</c:v>
                </c:pt>
                <c:pt idx="813">
                  <c:v>2576287.754371956</c:v>
                </c:pt>
                <c:pt idx="814">
                  <c:v>2579456.61999849</c:v>
                </c:pt>
                <c:pt idx="815">
                  <c:v>2582625.4856250235</c:v>
                </c:pt>
                <c:pt idx="816">
                  <c:v>2585794.3512515575</c:v>
                </c:pt>
                <c:pt idx="817">
                  <c:v>2588963.216878091</c:v>
                </c:pt>
                <c:pt idx="818">
                  <c:v>2592132.082504625</c:v>
                </c:pt>
                <c:pt idx="819">
                  <c:v>2595300.9481311585</c:v>
                </c:pt>
                <c:pt idx="820">
                  <c:v>2598469.8137576925</c:v>
                </c:pt>
                <c:pt idx="821">
                  <c:v>2601638.6793842264</c:v>
                </c:pt>
                <c:pt idx="822">
                  <c:v>2604807.54501076</c:v>
                </c:pt>
                <c:pt idx="823">
                  <c:v>2607976.4106372939</c:v>
                </c:pt>
                <c:pt idx="824">
                  <c:v>2611145.2762638275</c:v>
                </c:pt>
                <c:pt idx="825">
                  <c:v>2614314.1418903614</c:v>
                </c:pt>
                <c:pt idx="826">
                  <c:v>2617483.007516895</c:v>
                </c:pt>
                <c:pt idx="827">
                  <c:v>2620651.8731434289</c:v>
                </c:pt>
                <c:pt idx="828">
                  <c:v>2623820.7387699625</c:v>
                </c:pt>
                <c:pt idx="829">
                  <c:v>2626989.6043964964</c:v>
                </c:pt>
                <c:pt idx="830">
                  <c:v>2630158.4700230304</c:v>
                </c:pt>
                <c:pt idx="831">
                  <c:v>2633327.3356495639</c:v>
                </c:pt>
                <c:pt idx="832">
                  <c:v>2636496.2012760979</c:v>
                </c:pt>
                <c:pt idx="833">
                  <c:v>2639665.0669026314</c:v>
                </c:pt>
                <c:pt idx="834">
                  <c:v>2642833.9325291654</c:v>
                </c:pt>
                <c:pt idx="835">
                  <c:v>2646002.7981556989</c:v>
                </c:pt>
                <c:pt idx="836">
                  <c:v>2649171.6637822329</c:v>
                </c:pt>
                <c:pt idx="837">
                  <c:v>2652340.5294087664</c:v>
                </c:pt>
                <c:pt idx="838">
                  <c:v>2655509.3950353004</c:v>
                </c:pt>
                <c:pt idx="839">
                  <c:v>2658678.2606618339</c:v>
                </c:pt>
                <c:pt idx="840">
                  <c:v>2661847.1262883679</c:v>
                </c:pt>
                <c:pt idx="841">
                  <c:v>2665015.9919149019</c:v>
                </c:pt>
                <c:pt idx="842">
                  <c:v>2668184.8575414354</c:v>
                </c:pt>
                <c:pt idx="843">
                  <c:v>2671353.7231679694</c:v>
                </c:pt>
                <c:pt idx="844">
                  <c:v>2674522.5887945029</c:v>
                </c:pt>
                <c:pt idx="845">
                  <c:v>2677691.4544210369</c:v>
                </c:pt>
                <c:pt idx="846">
                  <c:v>2680860.3200475704</c:v>
                </c:pt>
                <c:pt idx="847">
                  <c:v>2684029.1856741044</c:v>
                </c:pt>
                <c:pt idx="848">
                  <c:v>2687198.0513006379</c:v>
                </c:pt>
                <c:pt idx="849">
                  <c:v>2690366.9169271719</c:v>
                </c:pt>
                <c:pt idx="850">
                  <c:v>2693535.7825537059</c:v>
                </c:pt>
                <c:pt idx="851">
                  <c:v>2696704.6481802394</c:v>
                </c:pt>
                <c:pt idx="852">
                  <c:v>2699873.5138067733</c:v>
                </c:pt>
                <c:pt idx="853">
                  <c:v>2703042.3794333069</c:v>
                </c:pt>
                <c:pt idx="854">
                  <c:v>2706211.2450598408</c:v>
                </c:pt>
                <c:pt idx="855">
                  <c:v>2709380.1106863744</c:v>
                </c:pt>
                <c:pt idx="856">
                  <c:v>2712548.9763129083</c:v>
                </c:pt>
                <c:pt idx="857">
                  <c:v>2715717.8419394419</c:v>
                </c:pt>
                <c:pt idx="858">
                  <c:v>2718886.7075659758</c:v>
                </c:pt>
                <c:pt idx="859">
                  <c:v>2722055.5731925094</c:v>
                </c:pt>
                <c:pt idx="860">
                  <c:v>2725224.4388190433</c:v>
                </c:pt>
                <c:pt idx="861">
                  <c:v>2728393.3044455773</c:v>
                </c:pt>
                <c:pt idx="862">
                  <c:v>2731562.1700721108</c:v>
                </c:pt>
                <c:pt idx="863">
                  <c:v>2734731.0356986448</c:v>
                </c:pt>
                <c:pt idx="864">
                  <c:v>2737899.9013251783</c:v>
                </c:pt>
                <c:pt idx="865">
                  <c:v>2741068.7669517123</c:v>
                </c:pt>
                <c:pt idx="866">
                  <c:v>2744237.6325782458</c:v>
                </c:pt>
                <c:pt idx="867">
                  <c:v>2747406.4982047798</c:v>
                </c:pt>
                <c:pt idx="868">
                  <c:v>2750575.3638313133</c:v>
                </c:pt>
                <c:pt idx="869">
                  <c:v>2753744.2294578473</c:v>
                </c:pt>
                <c:pt idx="870">
                  <c:v>2756913.0950843808</c:v>
                </c:pt>
                <c:pt idx="871">
                  <c:v>2760081.9607109148</c:v>
                </c:pt>
                <c:pt idx="872">
                  <c:v>2763250.8263374488</c:v>
                </c:pt>
                <c:pt idx="873">
                  <c:v>2766419.6919639823</c:v>
                </c:pt>
                <c:pt idx="874">
                  <c:v>2769588.5575905163</c:v>
                </c:pt>
                <c:pt idx="875">
                  <c:v>2772757.4232170498</c:v>
                </c:pt>
                <c:pt idx="876">
                  <c:v>2775926.2888435838</c:v>
                </c:pt>
                <c:pt idx="877">
                  <c:v>2779095.1544701173</c:v>
                </c:pt>
                <c:pt idx="878">
                  <c:v>2782264.0200966513</c:v>
                </c:pt>
                <c:pt idx="879">
                  <c:v>2785432.8857231848</c:v>
                </c:pt>
                <c:pt idx="880">
                  <c:v>2788601.7513497188</c:v>
                </c:pt>
                <c:pt idx="881">
                  <c:v>2791770.6169762528</c:v>
                </c:pt>
                <c:pt idx="882">
                  <c:v>2794939.4826027863</c:v>
                </c:pt>
                <c:pt idx="883">
                  <c:v>2798108.3482293203</c:v>
                </c:pt>
                <c:pt idx="884">
                  <c:v>2801277.2138558538</c:v>
                </c:pt>
                <c:pt idx="885">
                  <c:v>2804446.0794823878</c:v>
                </c:pt>
                <c:pt idx="886">
                  <c:v>2807614.9451089213</c:v>
                </c:pt>
                <c:pt idx="887">
                  <c:v>2810783.8107354552</c:v>
                </c:pt>
                <c:pt idx="888">
                  <c:v>2813952.6763619888</c:v>
                </c:pt>
                <c:pt idx="889">
                  <c:v>2817121.5419885227</c:v>
                </c:pt>
                <c:pt idx="890">
                  <c:v>2820290.4076150563</c:v>
                </c:pt>
                <c:pt idx="891">
                  <c:v>2823459.2732415902</c:v>
                </c:pt>
                <c:pt idx="892">
                  <c:v>2826628.1388681242</c:v>
                </c:pt>
                <c:pt idx="893">
                  <c:v>2829797.0044946577</c:v>
                </c:pt>
                <c:pt idx="894">
                  <c:v>2832965.8701211917</c:v>
                </c:pt>
                <c:pt idx="895">
                  <c:v>2836134.7357477252</c:v>
                </c:pt>
                <c:pt idx="896">
                  <c:v>2839303.6013742592</c:v>
                </c:pt>
                <c:pt idx="897">
                  <c:v>2842472.4670007927</c:v>
                </c:pt>
                <c:pt idx="898">
                  <c:v>2845641.3326273267</c:v>
                </c:pt>
                <c:pt idx="899">
                  <c:v>2848810.1982538602</c:v>
                </c:pt>
                <c:pt idx="900">
                  <c:v>2851979.0638803942</c:v>
                </c:pt>
                <c:pt idx="901">
                  <c:v>2855147.9295069277</c:v>
                </c:pt>
                <c:pt idx="902">
                  <c:v>2858316.7951334617</c:v>
                </c:pt>
                <c:pt idx="903">
                  <c:v>2861485.6607599957</c:v>
                </c:pt>
                <c:pt idx="904">
                  <c:v>2864654.5263865292</c:v>
                </c:pt>
                <c:pt idx="905">
                  <c:v>2867823.3920130632</c:v>
                </c:pt>
                <c:pt idx="906">
                  <c:v>2870992.2576395967</c:v>
                </c:pt>
                <c:pt idx="907">
                  <c:v>2874161.1232661307</c:v>
                </c:pt>
                <c:pt idx="908">
                  <c:v>2877329.9888926642</c:v>
                </c:pt>
                <c:pt idx="909">
                  <c:v>2880498.8545191982</c:v>
                </c:pt>
                <c:pt idx="910">
                  <c:v>2883667.7201457317</c:v>
                </c:pt>
                <c:pt idx="911">
                  <c:v>2886836.5857722657</c:v>
                </c:pt>
                <c:pt idx="912">
                  <c:v>2890005.4513987997</c:v>
                </c:pt>
                <c:pt idx="913">
                  <c:v>2893174.3170253332</c:v>
                </c:pt>
                <c:pt idx="914">
                  <c:v>2896343.1826518672</c:v>
                </c:pt>
                <c:pt idx="915">
                  <c:v>2899512.0482784007</c:v>
                </c:pt>
                <c:pt idx="916">
                  <c:v>2902680.9139049347</c:v>
                </c:pt>
                <c:pt idx="917">
                  <c:v>2905849.7795314682</c:v>
                </c:pt>
                <c:pt idx="918">
                  <c:v>2909018.6451580022</c:v>
                </c:pt>
                <c:pt idx="919">
                  <c:v>2912187.5107845357</c:v>
                </c:pt>
                <c:pt idx="920">
                  <c:v>2915356.3764110697</c:v>
                </c:pt>
                <c:pt idx="921">
                  <c:v>2918525.2420376032</c:v>
                </c:pt>
                <c:pt idx="922">
                  <c:v>2921694.1076641371</c:v>
                </c:pt>
                <c:pt idx="923">
                  <c:v>2924862.9732906711</c:v>
                </c:pt>
                <c:pt idx="924">
                  <c:v>2928031.8389172046</c:v>
                </c:pt>
                <c:pt idx="925">
                  <c:v>2931200.7045437386</c:v>
                </c:pt>
                <c:pt idx="926">
                  <c:v>2934369.5701702721</c:v>
                </c:pt>
                <c:pt idx="927">
                  <c:v>2937538.4357968061</c:v>
                </c:pt>
                <c:pt idx="928">
                  <c:v>2940707.3014233396</c:v>
                </c:pt>
                <c:pt idx="929">
                  <c:v>2943876.1670498736</c:v>
                </c:pt>
                <c:pt idx="930">
                  <c:v>2947045.0326764071</c:v>
                </c:pt>
                <c:pt idx="931">
                  <c:v>2950213.8983029411</c:v>
                </c:pt>
                <c:pt idx="932">
                  <c:v>2953382.7639294751</c:v>
                </c:pt>
                <c:pt idx="933">
                  <c:v>2956551.6295560086</c:v>
                </c:pt>
                <c:pt idx="934">
                  <c:v>2959720.4951825426</c:v>
                </c:pt>
                <c:pt idx="935">
                  <c:v>2962889.3608090761</c:v>
                </c:pt>
                <c:pt idx="936">
                  <c:v>2966058.2264356101</c:v>
                </c:pt>
                <c:pt idx="937">
                  <c:v>2969227.0920621436</c:v>
                </c:pt>
                <c:pt idx="938">
                  <c:v>2972395.9576886776</c:v>
                </c:pt>
                <c:pt idx="939">
                  <c:v>2975564.8233152111</c:v>
                </c:pt>
                <c:pt idx="940">
                  <c:v>2978733.6889417451</c:v>
                </c:pt>
                <c:pt idx="941">
                  <c:v>2981902.5545682786</c:v>
                </c:pt>
                <c:pt idx="942">
                  <c:v>2985071.4201948126</c:v>
                </c:pt>
                <c:pt idx="943">
                  <c:v>2988240.2858213466</c:v>
                </c:pt>
                <c:pt idx="944">
                  <c:v>2991409.1514478801</c:v>
                </c:pt>
                <c:pt idx="945">
                  <c:v>2994578.0170744141</c:v>
                </c:pt>
                <c:pt idx="946">
                  <c:v>2997746.8827009476</c:v>
                </c:pt>
                <c:pt idx="947">
                  <c:v>3000915.7483274816</c:v>
                </c:pt>
                <c:pt idx="948">
                  <c:v>3004084.6139540151</c:v>
                </c:pt>
                <c:pt idx="949">
                  <c:v>3007253.4795805491</c:v>
                </c:pt>
                <c:pt idx="950">
                  <c:v>3010422.3452070826</c:v>
                </c:pt>
                <c:pt idx="951">
                  <c:v>3013591.2108336166</c:v>
                </c:pt>
                <c:pt idx="952">
                  <c:v>3016760.0764601501</c:v>
                </c:pt>
                <c:pt idx="953">
                  <c:v>3019928.9420866841</c:v>
                </c:pt>
                <c:pt idx="954">
                  <c:v>3023097.807713218</c:v>
                </c:pt>
                <c:pt idx="955">
                  <c:v>3026266.6733397515</c:v>
                </c:pt>
                <c:pt idx="956">
                  <c:v>3029435.5389662855</c:v>
                </c:pt>
                <c:pt idx="957">
                  <c:v>3032604.404592819</c:v>
                </c:pt>
                <c:pt idx="958">
                  <c:v>3035773.270219353</c:v>
                </c:pt>
                <c:pt idx="959">
                  <c:v>3038942.1358458865</c:v>
                </c:pt>
                <c:pt idx="960">
                  <c:v>3042111.0014724205</c:v>
                </c:pt>
                <c:pt idx="961">
                  <c:v>3045279.867098954</c:v>
                </c:pt>
                <c:pt idx="962">
                  <c:v>3048448.732725488</c:v>
                </c:pt>
                <c:pt idx="963">
                  <c:v>3051617.598352022</c:v>
                </c:pt>
                <c:pt idx="964">
                  <c:v>3054786.4639785555</c:v>
                </c:pt>
                <c:pt idx="965">
                  <c:v>3057955.3296050895</c:v>
                </c:pt>
                <c:pt idx="966">
                  <c:v>3061124.195231623</c:v>
                </c:pt>
                <c:pt idx="967">
                  <c:v>3064293.060858157</c:v>
                </c:pt>
                <c:pt idx="968">
                  <c:v>3067461.9264846905</c:v>
                </c:pt>
                <c:pt idx="969">
                  <c:v>3070630.7921112245</c:v>
                </c:pt>
                <c:pt idx="970">
                  <c:v>3073799.657737758</c:v>
                </c:pt>
                <c:pt idx="971">
                  <c:v>3076968.523364292</c:v>
                </c:pt>
                <c:pt idx="972">
                  <c:v>3080137.3889908255</c:v>
                </c:pt>
                <c:pt idx="973">
                  <c:v>3083306.2546173595</c:v>
                </c:pt>
                <c:pt idx="974">
                  <c:v>3086475.1202438935</c:v>
                </c:pt>
                <c:pt idx="975">
                  <c:v>3089643.985870427</c:v>
                </c:pt>
                <c:pt idx="976">
                  <c:v>3092812.851496961</c:v>
                </c:pt>
                <c:pt idx="977">
                  <c:v>3095981.7171234945</c:v>
                </c:pt>
                <c:pt idx="978">
                  <c:v>3099150.5827500285</c:v>
                </c:pt>
                <c:pt idx="979">
                  <c:v>3102319.448376562</c:v>
                </c:pt>
                <c:pt idx="980">
                  <c:v>3105488.314003096</c:v>
                </c:pt>
                <c:pt idx="981">
                  <c:v>3108657.1796296295</c:v>
                </c:pt>
                <c:pt idx="982">
                  <c:v>3111826.0452561635</c:v>
                </c:pt>
                <c:pt idx="983">
                  <c:v>3114994.910882697</c:v>
                </c:pt>
                <c:pt idx="984">
                  <c:v>3118163.776509231</c:v>
                </c:pt>
                <c:pt idx="985">
                  <c:v>3121332.6421357649</c:v>
                </c:pt>
                <c:pt idx="986">
                  <c:v>3124501.5077622985</c:v>
                </c:pt>
                <c:pt idx="987">
                  <c:v>3127670.3733888324</c:v>
                </c:pt>
                <c:pt idx="988">
                  <c:v>3130839.239015366</c:v>
                </c:pt>
                <c:pt idx="989">
                  <c:v>3134008.1046418999</c:v>
                </c:pt>
                <c:pt idx="990">
                  <c:v>3137176.9702684334</c:v>
                </c:pt>
                <c:pt idx="991">
                  <c:v>3140345.8358949674</c:v>
                </c:pt>
                <c:pt idx="992">
                  <c:v>3143514.7015215009</c:v>
                </c:pt>
                <c:pt idx="993">
                  <c:v>3146683.5671480349</c:v>
                </c:pt>
                <c:pt idx="994">
                  <c:v>3149852.4327745689</c:v>
                </c:pt>
                <c:pt idx="995">
                  <c:v>3153021.2984011024</c:v>
                </c:pt>
                <c:pt idx="996">
                  <c:v>3156190.1640276364</c:v>
                </c:pt>
                <c:pt idx="997">
                  <c:v>3159359.0296541699</c:v>
                </c:pt>
                <c:pt idx="998">
                  <c:v>3162527.8952807039</c:v>
                </c:pt>
                <c:pt idx="999">
                  <c:v>3165696.7609072374</c:v>
                </c:pt>
                <c:pt idx="1000">
                  <c:v>3168865.6265337714</c:v>
                </c:pt>
                <c:pt idx="1001">
                  <c:v>3172034.4921603049</c:v>
                </c:pt>
                <c:pt idx="1002">
                  <c:v>3175203.3577868389</c:v>
                </c:pt>
                <c:pt idx="1003">
                  <c:v>3178372.2234133724</c:v>
                </c:pt>
                <c:pt idx="1004">
                  <c:v>3181541.0890399064</c:v>
                </c:pt>
                <c:pt idx="1005">
                  <c:v>3184709.9546664404</c:v>
                </c:pt>
                <c:pt idx="1006">
                  <c:v>3187878.8202929739</c:v>
                </c:pt>
                <c:pt idx="1007">
                  <c:v>3191047.6859195079</c:v>
                </c:pt>
                <c:pt idx="1008">
                  <c:v>3194216.5515460414</c:v>
                </c:pt>
                <c:pt idx="1009">
                  <c:v>3197385.4171725754</c:v>
                </c:pt>
                <c:pt idx="1010">
                  <c:v>3200554.2827991089</c:v>
                </c:pt>
                <c:pt idx="1011">
                  <c:v>3203723.1484256429</c:v>
                </c:pt>
                <c:pt idx="1012">
                  <c:v>3206892.0140521764</c:v>
                </c:pt>
                <c:pt idx="1013">
                  <c:v>3210060.8796787104</c:v>
                </c:pt>
                <c:pt idx="1014">
                  <c:v>3213229.7453052443</c:v>
                </c:pt>
                <c:pt idx="1015">
                  <c:v>3216398.6109317779</c:v>
                </c:pt>
                <c:pt idx="1016">
                  <c:v>3219567.4765583118</c:v>
                </c:pt>
                <c:pt idx="1017">
                  <c:v>3222736.3421848454</c:v>
                </c:pt>
                <c:pt idx="1018">
                  <c:v>3225905.2078113793</c:v>
                </c:pt>
                <c:pt idx="1019">
                  <c:v>3229074.0734379129</c:v>
                </c:pt>
                <c:pt idx="1020">
                  <c:v>3232242.9390644468</c:v>
                </c:pt>
                <c:pt idx="1021">
                  <c:v>3235411.8046909804</c:v>
                </c:pt>
                <c:pt idx="1022">
                  <c:v>3238580.6703175143</c:v>
                </c:pt>
                <c:pt idx="1023">
                  <c:v>3241749.5359440478</c:v>
                </c:pt>
                <c:pt idx="1024">
                  <c:v>3244918.4015705818</c:v>
                </c:pt>
                <c:pt idx="1025">
                  <c:v>3248087.2671971158</c:v>
                </c:pt>
                <c:pt idx="1026">
                  <c:v>3251256.1328236493</c:v>
                </c:pt>
                <c:pt idx="1027">
                  <c:v>3254424.9984501833</c:v>
                </c:pt>
                <c:pt idx="1028">
                  <c:v>3257593.8640767168</c:v>
                </c:pt>
                <c:pt idx="1029">
                  <c:v>3260762.7297032508</c:v>
                </c:pt>
                <c:pt idx="1030">
                  <c:v>3263931.5953297843</c:v>
                </c:pt>
                <c:pt idx="1031">
                  <c:v>3267100.4609563183</c:v>
                </c:pt>
                <c:pt idx="1032">
                  <c:v>3270269.3265828518</c:v>
                </c:pt>
                <c:pt idx="1033">
                  <c:v>3273438.1922093858</c:v>
                </c:pt>
                <c:pt idx="1034">
                  <c:v>3276607.0578359193</c:v>
                </c:pt>
                <c:pt idx="1035">
                  <c:v>3279775.9234624533</c:v>
                </c:pt>
                <c:pt idx="1036">
                  <c:v>3282944.7890889873</c:v>
                </c:pt>
                <c:pt idx="1037">
                  <c:v>3286113.6547155208</c:v>
                </c:pt>
                <c:pt idx="1038">
                  <c:v>3289282.5203420548</c:v>
                </c:pt>
                <c:pt idx="1039">
                  <c:v>3292451.3859685883</c:v>
                </c:pt>
                <c:pt idx="1040">
                  <c:v>3295620.2515951223</c:v>
                </c:pt>
                <c:pt idx="1041">
                  <c:v>3298789.1172216558</c:v>
                </c:pt>
                <c:pt idx="1042">
                  <c:v>3301957.9828481898</c:v>
                </c:pt>
                <c:pt idx="1043">
                  <c:v>3305126.8484747233</c:v>
                </c:pt>
                <c:pt idx="1044">
                  <c:v>3308295.7141012573</c:v>
                </c:pt>
                <c:pt idx="1045">
                  <c:v>3311464.5797277912</c:v>
                </c:pt>
                <c:pt idx="1046">
                  <c:v>3314633.4453543248</c:v>
                </c:pt>
                <c:pt idx="1047">
                  <c:v>3317802.3109808587</c:v>
                </c:pt>
                <c:pt idx="1048">
                  <c:v>3320971.1766073923</c:v>
                </c:pt>
                <c:pt idx="1049">
                  <c:v>3324140.0422339262</c:v>
                </c:pt>
                <c:pt idx="1050">
                  <c:v>3327308.9078604598</c:v>
                </c:pt>
                <c:pt idx="1051">
                  <c:v>3330477.7734869937</c:v>
                </c:pt>
                <c:pt idx="1052">
                  <c:v>3333646.6391135273</c:v>
                </c:pt>
                <c:pt idx="1053">
                  <c:v>3336815.5047400612</c:v>
                </c:pt>
                <c:pt idx="1054">
                  <c:v>3339984.3703665948</c:v>
                </c:pt>
                <c:pt idx="1055">
                  <c:v>3343153.2359931287</c:v>
                </c:pt>
                <c:pt idx="1056">
                  <c:v>3346322.1016196627</c:v>
                </c:pt>
                <c:pt idx="1057">
                  <c:v>3349490.9672461962</c:v>
                </c:pt>
                <c:pt idx="1058">
                  <c:v>3352659.8328727302</c:v>
                </c:pt>
                <c:pt idx="1059">
                  <c:v>3355828.6984992637</c:v>
                </c:pt>
                <c:pt idx="1060">
                  <c:v>3358997.5641257977</c:v>
                </c:pt>
                <c:pt idx="1061">
                  <c:v>3362166.4297523312</c:v>
                </c:pt>
                <c:pt idx="1062">
                  <c:v>3365335.2953788652</c:v>
                </c:pt>
                <c:pt idx="1063">
                  <c:v>3368504.1610053987</c:v>
                </c:pt>
                <c:pt idx="1064">
                  <c:v>3371673.0266319327</c:v>
                </c:pt>
                <c:pt idx="1065">
                  <c:v>3374841.8922584667</c:v>
                </c:pt>
                <c:pt idx="1066">
                  <c:v>3378010.7578850002</c:v>
                </c:pt>
                <c:pt idx="1067">
                  <c:v>3381179.6235115342</c:v>
                </c:pt>
                <c:pt idx="1068">
                  <c:v>3384348.4891380677</c:v>
                </c:pt>
                <c:pt idx="1069">
                  <c:v>3387517.3547646017</c:v>
                </c:pt>
                <c:pt idx="1070">
                  <c:v>3390686.2203911352</c:v>
                </c:pt>
                <c:pt idx="1071">
                  <c:v>3393855.0860176692</c:v>
                </c:pt>
                <c:pt idx="1072">
                  <c:v>3397023.9516442027</c:v>
                </c:pt>
                <c:pt idx="1073">
                  <c:v>3400192.8172707367</c:v>
                </c:pt>
                <c:pt idx="1074">
                  <c:v>3403361.6828972702</c:v>
                </c:pt>
                <c:pt idx="1075">
                  <c:v>3406530.5485238042</c:v>
                </c:pt>
                <c:pt idx="1076">
                  <c:v>3409699.4141503382</c:v>
                </c:pt>
                <c:pt idx="1077">
                  <c:v>3412868.2797768717</c:v>
                </c:pt>
                <c:pt idx="1078">
                  <c:v>3416037.1454034057</c:v>
                </c:pt>
                <c:pt idx="1079">
                  <c:v>3419206.0110299392</c:v>
                </c:pt>
                <c:pt idx="1080">
                  <c:v>3422374.8766564731</c:v>
                </c:pt>
                <c:pt idx="1081">
                  <c:v>3425543.7422830067</c:v>
                </c:pt>
                <c:pt idx="1082">
                  <c:v>3428712.6079095406</c:v>
                </c:pt>
                <c:pt idx="1083">
                  <c:v>3431881.4735360742</c:v>
                </c:pt>
                <c:pt idx="1084">
                  <c:v>3435050.3391626081</c:v>
                </c:pt>
                <c:pt idx="1085">
                  <c:v>3438219.2047891417</c:v>
                </c:pt>
                <c:pt idx="1086">
                  <c:v>3441388.0704156756</c:v>
                </c:pt>
                <c:pt idx="1087">
                  <c:v>3444556.9360422096</c:v>
                </c:pt>
                <c:pt idx="1088">
                  <c:v>3447725.8016687431</c:v>
                </c:pt>
                <c:pt idx="1089">
                  <c:v>3450894.6672952771</c:v>
                </c:pt>
                <c:pt idx="1090">
                  <c:v>3454063.5329218106</c:v>
                </c:pt>
                <c:pt idx="1091">
                  <c:v>3457232.3985483446</c:v>
                </c:pt>
                <c:pt idx="1092">
                  <c:v>3460401.2641748781</c:v>
                </c:pt>
                <c:pt idx="1093">
                  <c:v>3463570.1298014121</c:v>
                </c:pt>
                <c:pt idx="1094">
                  <c:v>3466738.9954279456</c:v>
                </c:pt>
                <c:pt idx="1095">
                  <c:v>3469907.8610544796</c:v>
                </c:pt>
                <c:pt idx="1096">
                  <c:v>3473076.7266810136</c:v>
                </c:pt>
                <c:pt idx="1097">
                  <c:v>3476245.5923075471</c:v>
                </c:pt>
                <c:pt idx="1098">
                  <c:v>3479414.4579340811</c:v>
                </c:pt>
                <c:pt idx="1099">
                  <c:v>3482583.3235606146</c:v>
                </c:pt>
                <c:pt idx="1100">
                  <c:v>3485752.1891871486</c:v>
                </c:pt>
                <c:pt idx="1101">
                  <c:v>3488921.0548136821</c:v>
                </c:pt>
                <c:pt idx="1102">
                  <c:v>3492089.9204402161</c:v>
                </c:pt>
                <c:pt idx="1103">
                  <c:v>3495258.7860667496</c:v>
                </c:pt>
                <c:pt idx="1104">
                  <c:v>3498427.6516932836</c:v>
                </c:pt>
                <c:pt idx="1105">
                  <c:v>3501596.5173198171</c:v>
                </c:pt>
                <c:pt idx="1106">
                  <c:v>3504765.3829463511</c:v>
                </c:pt>
                <c:pt idx="1107">
                  <c:v>3507934.2485728851</c:v>
                </c:pt>
                <c:pt idx="1108">
                  <c:v>3511103.1141994186</c:v>
                </c:pt>
                <c:pt idx="1109">
                  <c:v>3514271.9798259526</c:v>
                </c:pt>
                <c:pt idx="1110">
                  <c:v>3517440.8454524861</c:v>
                </c:pt>
                <c:pt idx="1111">
                  <c:v>3520609.7110790201</c:v>
                </c:pt>
                <c:pt idx="1112">
                  <c:v>3523778.5767055536</c:v>
                </c:pt>
                <c:pt idx="1113">
                  <c:v>3526947.4423320876</c:v>
                </c:pt>
                <c:pt idx="1114">
                  <c:v>3530116.3079586211</c:v>
                </c:pt>
                <c:pt idx="1115">
                  <c:v>3533285.173585155</c:v>
                </c:pt>
                <c:pt idx="1116">
                  <c:v>3536454.0392116886</c:v>
                </c:pt>
                <c:pt idx="1117">
                  <c:v>3539622.9048382225</c:v>
                </c:pt>
                <c:pt idx="1118">
                  <c:v>3542791.7704647565</c:v>
                </c:pt>
                <c:pt idx="1119">
                  <c:v>3545960.63609129</c:v>
                </c:pt>
                <c:pt idx="1120">
                  <c:v>3549129.501717824</c:v>
                </c:pt>
                <c:pt idx="1121">
                  <c:v>3552298.3673443575</c:v>
                </c:pt>
                <c:pt idx="1122">
                  <c:v>3555467.2329708915</c:v>
                </c:pt>
                <c:pt idx="1123">
                  <c:v>3558636.098597425</c:v>
                </c:pt>
                <c:pt idx="1124">
                  <c:v>3561804.964223959</c:v>
                </c:pt>
                <c:pt idx="1125">
                  <c:v>3564973.8298504925</c:v>
                </c:pt>
                <c:pt idx="1126">
                  <c:v>3568142.6954770265</c:v>
                </c:pt>
                <c:pt idx="1127">
                  <c:v>3571311.5611035605</c:v>
                </c:pt>
                <c:pt idx="1128">
                  <c:v>3574480.426730094</c:v>
                </c:pt>
                <c:pt idx="1129">
                  <c:v>3577649.292356628</c:v>
                </c:pt>
                <c:pt idx="1130">
                  <c:v>3580818.1579831615</c:v>
                </c:pt>
                <c:pt idx="1131">
                  <c:v>3583987.0236096955</c:v>
                </c:pt>
                <c:pt idx="1132">
                  <c:v>3587155.889236229</c:v>
                </c:pt>
                <c:pt idx="1133">
                  <c:v>3590324.754862763</c:v>
                </c:pt>
                <c:pt idx="1134">
                  <c:v>3593493.6204892965</c:v>
                </c:pt>
                <c:pt idx="1135">
                  <c:v>3596662.4861158305</c:v>
                </c:pt>
                <c:pt idx="1136">
                  <c:v>3599831.351742364</c:v>
                </c:pt>
                <c:pt idx="1137">
                  <c:v>3603000.217368898</c:v>
                </c:pt>
                <c:pt idx="1138">
                  <c:v>3606169.082995432</c:v>
                </c:pt>
                <c:pt idx="1139">
                  <c:v>3609337.9486219655</c:v>
                </c:pt>
                <c:pt idx="1140">
                  <c:v>3612506.8142484995</c:v>
                </c:pt>
                <c:pt idx="1141">
                  <c:v>3615675.679875033</c:v>
                </c:pt>
                <c:pt idx="1142">
                  <c:v>3618844.545501567</c:v>
                </c:pt>
                <c:pt idx="1143">
                  <c:v>3622013.4111281005</c:v>
                </c:pt>
                <c:pt idx="1144">
                  <c:v>3625182.2767546345</c:v>
                </c:pt>
                <c:pt idx="1145">
                  <c:v>3628351.142381168</c:v>
                </c:pt>
                <c:pt idx="1146">
                  <c:v>3631520.008007702</c:v>
                </c:pt>
                <c:pt idx="1147">
                  <c:v>3634688.8736342359</c:v>
                </c:pt>
                <c:pt idx="1148">
                  <c:v>3637857.7392607694</c:v>
                </c:pt>
                <c:pt idx="1149">
                  <c:v>3641026.6048873034</c:v>
                </c:pt>
                <c:pt idx="1150">
                  <c:v>3644195.4705138369</c:v>
                </c:pt>
                <c:pt idx="1151">
                  <c:v>3647364.3361403709</c:v>
                </c:pt>
                <c:pt idx="1152">
                  <c:v>3650533.2017669044</c:v>
                </c:pt>
                <c:pt idx="1153">
                  <c:v>3653702.0673934384</c:v>
                </c:pt>
                <c:pt idx="1154">
                  <c:v>3656870.9330199719</c:v>
                </c:pt>
                <c:pt idx="1155">
                  <c:v>3660039.7986465059</c:v>
                </c:pt>
                <c:pt idx="1156">
                  <c:v>3663208.6642730394</c:v>
                </c:pt>
                <c:pt idx="1157">
                  <c:v>3666377.5298995734</c:v>
                </c:pt>
                <c:pt idx="1158">
                  <c:v>3669546.3955261074</c:v>
                </c:pt>
                <c:pt idx="1159">
                  <c:v>3672715.2611526409</c:v>
                </c:pt>
                <c:pt idx="1160">
                  <c:v>3675884.1267791749</c:v>
                </c:pt>
                <c:pt idx="1161">
                  <c:v>3679052.9924057084</c:v>
                </c:pt>
                <c:pt idx="1162">
                  <c:v>3682221.8580322424</c:v>
                </c:pt>
                <c:pt idx="1163">
                  <c:v>3685390.7236587759</c:v>
                </c:pt>
                <c:pt idx="1164">
                  <c:v>3688559.5892853099</c:v>
                </c:pt>
                <c:pt idx="1165">
                  <c:v>3691728.4549118434</c:v>
                </c:pt>
                <c:pt idx="1166">
                  <c:v>3694897.3205383774</c:v>
                </c:pt>
                <c:pt idx="1167">
                  <c:v>3698066.1861649109</c:v>
                </c:pt>
                <c:pt idx="1168">
                  <c:v>3701235.0517914449</c:v>
                </c:pt>
                <c:pt idx="1169">
                  <c:v>3704403.9174179789</c:v>
                </c:pt>
                <c:pt idx="1170">
                  <c:v>3707572.7830445124</c:v>
                </c:pt>
                <c:pt idx="1171">
                  <c:v>3710741.6486710464</c:v>
                </c:pt>
                <c:pt idx="1172">
                  <c:v>3713910.5142975799</c:v>
                </c:pt>
                <c:pt idx="1173">
                  <c:v>3717079.3799241139</c:v>
                </c:pt>
                <c:pt idx="1174">
                  <c:v>3720248.2455506474</c:v>
                </c:pt>
                <c:pt idx="1175">
                  <c:v>3723417.1111771814</c:v>
                </c:pt>
                <c:pt idx="1176">
                  <c:v>3726585.9768037149</c:v>
                </c:pt>
                <c:pt idx="1177">
                  <c:v>3729754.8424302489</c:v>
                </c:pt>
                <c:pt idx="1178">
                  <c:v>3732923.7080567828</c:v>
                </c:pt>
                <c:pt idx="1179">
                  <c:v>3736092.5736833164</c:v>
                </c:pt>
                <c:pt idx="1180">
                  <c:v>3739261.4393098503</c:v>
                </c:pt>
                <c:pt idx="1181">
                  <c:v>3742430.3049363839</c:v>
                </c:pt>
                <c:pt idx="1182">
                  <c:v>3745599.1705629178</c:v>
                </c:pt>
                <c:pt idx="1183">
                  <c:v>3748768.0361894513</c:v>
                </c:pt>
                <c:pt idx="1184">
                  <c:v>3751936.9018159853</c:v>
                </c:pt>
                <c:pt idx="1185">
                  <c:v>3755105.7674425188</c:v>
                </c:pt>
                <c:pt idx="1186">
                  <c:v>3758274.6330690528</c:v>
                </c:pt>
                <c:pt idx="1187">
                  <c:v>3761443.4986955863</c:v>
                </c:pt>
                <c:pt idx="1188">
                  <c:v>3764612.3643221203</c:v>
                </c:pt>
                <c:pt idx="1189">
                  <c:v>3767781.2299486543</c:v>
                </c:pt>
                <c:pt idx="1190">
                  <c:v>3770950.0955751878</c:v>
                </c:pt>
                <c:pt idx="1191">
                  <c:v>3774118.9612017218</c:v>
                </c:pt>
                <c:pt idx="1192">
                  <c:v>3777287.8268282553</c:v>
                </c:pt>
                <c:pt idx="1193">
                  <c:v>3780456.6924547893</c:v>
                </c:pt>
                <c:pt idx="1194">
                  <c:v>3783625.5580813228</c:v>
                </c:pt>
                <c:pt idx="1195">
                  <c:v>3786794.4237078568</c:v>
                </c:pt>
                <c:pt idx="1196">
                  <c:v>3789963.2893343903</c:v>
                </c:pt>
                <c:pt idx="1197">
                  <c:v>3793132.1549609243</c:v>
                </c:pt>
                <c:pt idx="1198">
                  <c:v>3796301.0205874578</c:v>
                </c:pt>
                <c:pt idx="1199">
                  <c:v>3799469.8862139918</c:v>
                </c:pt>
                <c:pt idx="1200">
                  <c:v>3802638.7518405258</c:v>
                </c:pt>
                <c:pt idx="1201">
                  <c:v>3805807.6174670593</c:v>
                </c:pt>
                <c:pt idx="1202">
                  <c:v>3808976.4830935933</c:v>
                </c:pt>
                <c:pt idx="1203">
                  <c:v>3812145.3487201268</c:v>
                </c:pt>
                <c:pt idx="1204">
                  <c:v>3815314.2143466608</c:v>
                </c:pt>
                <c:pt idx="1205">
                  <c:v>3818483.0799731943</c:v>
                </c:pt>
                <c:pt idx="1206">
                  <c:v>3821651.9455997283</c:v>
                </c:pt>
                <c:pt idx="1207">
                  <c:v>3824820.8112262618</c:v>
                </c:pt>
                <c:pt idx="1208">
                  <c:v>3827989.6768527958</c:v>
                </c:pt>
                <c:pt idx="1209">
                  <c:v>3831158.5424793297</c:v>
                </c:pt>
                <c:pt idx="1210">
                  <c:v>3834327.4081058633</c:v>
                </c:pt>
                <c:pt idx="1211">
                  <c:v>3837496.2737323972</c:v>
                </c:pt>
                <c:pt idx="1212">
                  <c:v>3840665.1393589308</c:v>
                </c:pt>
                <c:pt idx="1213">
                  <c:v>3843834.0049854647</c:v>
                </c:pt>
                <c:pt idx="1214">
                  <c:v>3847002.8706119983</c:v>
                </c:pt>
                <c:pt idx="1215">
                  <c:v>3850171.7362385322</c:v>
                </c:pt>
                <c:pt idx="1216">
                  <c:v>3853340.6018650657</c:v>
                </c:pt>
                <c:pt idx="1217">
                  <c:v>3856509.4674915997</c:v>
                </c:pt>
                <c:pt idx="1218">
                  <c:v>3859678.3331181332</c:v>
                </c:pt>
                <c:pt idx="1219">
                  <c:v>3862847.1987446672</c:v>
                </c:pt>
                <c:pt idx="1220">
                  <c:v>3866016.0643712012</c:v>
                </c:pt>
                <c:pt idx="1221">
                  <c:v>3869184.9299977347</c:v>
                </c:pt>
                <c:pt idx="1222">
                  <c:v>3872353.7956242687</c:v>
                </c:pt>
                <c:pt idx="1223">
                  <c:v>3875522.6612508022</c:v>
                </c:pt>
                <c:pt idx="1224">
                  <c:v>3878691.5268773362</c:v>
                </c:pt>
                <c:pt idx="1225">
                  <c:v>3881860.3925038697</c:v>
                </c:pt>
                <c:pt idx="1226">
                  <c:v>3885029.2581304037</c:v>
                </c:pt>
                <c:pt idx="1227">
                  <c:v>3888198.1237569372</c:v>
                </c:pt>
                <c:pt idx="1228">
                  <c:v>3891366.9893834712</c:v>
                </c:pt>
                <c:pt idx="1229">
                  <c:v>3894535.8550100052</c:v>
                </c:pt>
                <c:pt idx="1230">
                  <c:v>3897704.7206365387</c:v>
                </c:pt>
                <c:pt idx="1231">
                  <c:v>3900873.5862630727</c:v>
                </c:pt>
                <c:pt idx="1232">
                  <c:v>3904042.4518896062</c:v>
                </c:pt>
                <c:pt idx="1233">
                  <c:v>3907211.3175161402</c:v>
                </c:pt>
                <c:pt idx="1234">
                  <c:v>3910380.1831426737</c:v>
                </c:pt>
                <c:pt idx="1235">
                  <c:v>3913549.0487692077</c:v>
                </c:pt>
                <c:pt idx="1236">
                  <c:v>3916717.9143957412</c:v>
                </c:pt>
                <c:pt idx="1237">
                  <c:v>3919886.7800222752</c:v>
                </c:pt>
                <c:pt idx="1238">
                  <c:v>3923055.6456488087</c:v>
                </c:pt>
                <c:pt idx="1239">
                  <c:v>3926224.5112753427</c:v>
                </c:pt>
                <c:pt idx="1240">
                  <c:v>3929393.3769018766</c:v>
                </c:pt>
                <c:pt idx="1241">
                  <c:v>3932562.2425284102</c:v>
                </c:pt>
                <c:pt idx="1242">
                  <c:v>3935731.1081549441</c:v>
                </c:pt>
                <c:pt idx="1243">
                  <c:v>3938899.9737814777</c:v>
                </c:pt>
                <c:pt idx="1244">
                  <c:v>3942068.8394080116</c:v>
                </c:pt>
                <c:pt idx="1245">
                  <c:v>3945237.7050345452</c:v>
                </c:pt>
                <c:pt idx="1246">
                  <c:v>3948406.5706610791</c:v>
                </c:pt>
                <c:pt idx="1247">
                  <c:v>3951575.4362876127</c:v>
                </c:pt>
                <c:pt idx="1248">
                  <c:v>3954744.3019141466</c:v>
                </c:pt>
                <c:pt idx="1249">
                  <c:v>3957913.1675406802</c:v>
                </c:pt>
                <c:pt idx="1250">
                  <c:v>3961082.0331672141</c:v>
                </c:pt>
                <c:pt idx="1251">
                  <c:v>3964250.8987937481</c:v>
                </c:pt>
                <c:pt idx="1252">
                  <c:v>3967419.7644202816</c:v>
                </c:pt>
                <c:pt idx="1253">
                  <c:v>3970588.6300468156</c:v>
                </c:pt>
                <c:pt idx="1254">
                  <c:v>3973757.4956733491</c:v>
                </c:pt>
                <c:pt idx="1255">
                  <c:v>3976926.3612998831</c:v>
                </c:pt>
                <c:pt idx="1256">
                  <c:v>3980095.2269264166</c:v>
                </c:pt>
                <c:pt idx="1257">
                  <c:v>3983264.0925529506</c:v>
                </c:pt>
                <c:pt idx="1258">
                  <c:v>3986432.9581794841</c:v>
                </c:pt>
                <c:pt idx="1259">
                  <c:v>3989601.8238060181</c:v>
                </c:pt>
                <c:pt idx="1260">
                  <c:v>3992770.6894325521</c:v>
                </c:pt>
                <c:pt idx="1261">
                  <c:v>3995939.5550590856</c:v>
                </c:pt>
                <c:pt idx="1262">
                  <c:v>3999108.4206856196</c:v>
                </c:pt>
                <c:pt idx="1263">
                  <c:v>4002277.2863121531</c:v>
                </c:pt>
                <c:pt idx="1264">
                  <c:v>4005446.1519386871</c:v>
                </c:pt>
                <c:pt idx="1265">
                  <c:v>4008615.0175652206</c:v>
                </c:pt>
                <c:pt idx="1266">
                  <c:v>4011783.8831917546</c:v>
                </c:pt>
                <c:pt idx="1267">
                  <c:v>4014952.7488182881</c:v>
                </c:pt>
                <c:pt idx="1268">
                  <c:v>4018121.6144448221</c:v>
                </c:pt>
                <c:pt idx="1269">
                  <c:v>4021290.4800713556</c:v>
                </c:pt>
                <c:pt idx="1270">
                  <c:v>4024459.3456978896</c:v>
                </c:pt>
                <c:pt idx="1271">
                  <c:v>4027628.2113244236</c:v>
                </c:pt>
                <c:pt idx="1272">
                  <c:v>4030797.0769509571</c:v>
                </c:pt>
                <c:pt idx="1273">
                  <c:v>4033965.942577491</c:v>
                </c:pt>
                <c:pt idx="1274">
                  <c:v>4037134.8082040246</c:v>
                </c:pt>
                <c:pt idx="1275">
                  <c:v>4040303.6738305585</c:v>
                </c:pt>
                <c:pt idx="1276">
                  <c:v>4043472.5394570921</c:v>
                </c:pt>
                <c:pt idx="1277">
                  <c:v>4046641.405083626</c:v>
                </c:pt>
                <c:pt idx="1278">
                  <c:v>4049810.2707101596</c:v>
                </c:pt>
                <c:pt idx="1279">
                  <c:v>4052979.1363366935</c:v>
                </c:pt>
                <c:pt idx="1280">
                  <c:v>4056148.0019632271</c:v>
                </c:pt>
                <c:pt idx="1281">
                  <c:v>4059316.867589761</c:v>
                </c:pt>
                <c:pt idx="1282">
                  <c:v>4062485.733216295</c:v>
                </c:pt>
                <c:pt idx="1283">
                  <c:v>4065654.5988428285</c:v>
                </c:pt>
                <c:pt idx="1284">
                  <c:v>4068823.4644693625</c:v>
                </c:pt>
                <c:pt idx="1285">
                  <c:v>4071992.330095896</c:v>
                </c:pt>
                <c:pt idx="1286">
                  <c:v>4075161.19572243</c:v>
                </c:pt>
                <c:pt idx="1287">
                  <c:v>4078330.0613489635</c:v>
                </c:pt>
                <c:pt idx="1288">
                  <c:v>4081498.9269754975</c:v>
                </c:pt>
                <c:pt idx="1289">
                  <c:v>4084667.792602031</c:v>
                </c:pt>
                <c:pt idx="1290">
                  <c:v>4087836.658228565</c:v>
                </c:pt>
                <c:pt idx="1291">
                  <c:v>4091005.523855099</c:v>
                </c:pt>
                <c:pt idx="1292">
                  <c:v>4094174.3894816325</c:v>
                </c:pt>
                <c:pt idx="1293">
                  <c:v>4097343.2551081665</c:v>
                </c:pt>
                <c:pt idx="1294">
                  <c:v>4100512.1207347</c:v>
                </c:pt>
                <c:pt idx="1295">
                  <c:v>4103680.986361234</c:v>
                </c:pt>
                <c:pt idx="1296">
                  <c:v>4106849.8519877675</c:v>
                </c:pt>
                <c:pt idx="1297">
                  <c:v>4110018.7176143015</c:v>
                </c:pt>
                <c:pt idx="1298">
                  <c:v>4113187.583240835</c:v>
                </c:pt>
                <c:pt idx="1299">
                  <c:v>4116356.448867369</c:v>
                </c:pt>
                <c:pt idx="1300">
                  <c:v>4119525.3144939025</c:v>
                </c:pt>
                <c:pt idx="1301">
                  <c:v>4122694.1801204365</c:v>
                </c:pt>
                <c:pt idx="1302">
                  <c:v>4125863.0457469705</c:v>
                </c:pt>
                <c:pt idx="1303">
                  <c:v>4129031.911373504</c:v>
                </c:pt>
                <c:pt idx="1304">
                  <c:v>4132200.777000038</c:v>
                </c:pt>
                <c:pt idx="1305">
                  <c:v>4135369.6426265715</c:v>
                </c:pt>
                <c:pt idx="1306">
                  <c:v>4138538.5082531055</c:v>
                </c:pt>
                <c:pt idx="1307">
                  <c:v>4141707.373879639</c:v>
                </c:pt>
                <c:pt idx="1308">
                  <c:v>4144876.2395061729</c:v>
                </c:pt>
                <c:pt idx="1309">
                  <c:v>4148045.1051327065</c:v>
                </c:pt>
                <c:pt idx="1310">
                  <c:v>4151213.9707592404</c:v>
                </c:pt>
                <c:pt idx="1311">
                  <c:v>4154382.8363857744</c:v>
                </c:pt>
                <c:pt idx="1312">
                  <c:v>4157551.7020123079</c:v>
                </c:pt>
                <c:pt idx="1313">
                  <c:v>4160720.5676388419</c:v>
                </c:pt>
                <c:pt idx="1314">
                  <c:v>4163889.4332653754</c:v>
                </c:pt>
                <c:pt idx="1315">
                  <c:v>4167058.2988919094</c:v>
                </c:pt>
                <c:pt idx="1316">
                  <c:v>4170227.1645184429</c:v>
                </c:pt>
                <c:pt idx="1317">
                  <c:v>4173396.0301449769</c:v>
                </c:pt>
                <c:pt idx="1318">
                  <c:v>4176564.8957715104</c:v>
                </c:pt>
                <c:pt idx="1319">
                  <c:v>4179733.7613980444</c:v>
                </c:pt>
                <c:pt idx="1320">
                  <c:v>4182902.6270245779</c:v>
                </c:pt>
                <c:pt idx="1321">
                  <c:v>4186071.4926511119</c:v>
                </c:pt>
                <c:pt idx="1322">
                  <c:v>4189240.3582776459</c:v>
                </c:pt>
                <c:pt idx="1323">
                  <c:v>4192409.2239041794</c:v>
                </c:pt>
                <c:pt idx="1324">
                  <c:v>4195578.0895307129</c:v>
                </c:pt>
                <c:pt idx="1325">
                  <c:v>4198746.9551572474</c:v>
                </c:pt>
                <c:pt idx="1326">
                  <c:v>4201915.8207837809</c:v>
                </c:pt>
                <c:pt idx="1327">
                  <c:v>4205084.6864103144</c:v>
                </c:pt>
                <c:pt idx="1328">
                  <c:v>4208253.5520368479</c:v>
                </c:pt>
                <c:pt idx="1329">
                  <c:v>4211422.4176633824</c:v>
                </c:pt>
                <c:pt idx="1330">
                  <c:v>4214591.2832899159</c:v>
                </c:pt>
                <c:pt idx="1331">
                  <c:v>4217760.1489164494</c:v>
                </c:pt>
                <c:pt idx="1332">
                  <c:v>4220929.0145429838</c:v>
                </c:pt>
                <c:pt idx="1333">
                  <c:v>4224097.8801695174</c:v>
                </c:pt>
                <c:pt idx="1334">
                  <c:v>4227266.7457960509</c:v>
                </c:pt>
                <c:pt idx="1335">
                  <c:v>4230435.6114225844</c:v>
                </c:pt>
                <c:pt idx="1336">
                  <c:v>4233604.4770491188</c:v>
                </c:pt>
                <c:pt idx="1337">
                  <c:v>4236773.3426756524</c:v>
                </c:pt>
                <c:pt idx="1338">
                  <c:v>4239942.2083021859</c:v>
                </c:pt>
                <c:pt idx="1339">
                  <c:v>4243111.0739287194</c:v>
                </c:pt>
                <c:pt idx="1340">
                  <c:v>4246279.9395552538</c:v>
                </c:pt>
                <c:pt idx="1341">
                  <c:v>4249448.8051817873</c:v>
                </c:pt>
                <c:pt idx="1342">
                  <c:v>4252617.6708083209</c:v>
                </c:pt>
                <c:pt idx="1343">
                  <c:v>4255786.5364348553</c:v>
                </c:pt>
                <c:pt idx="1344">
                  <c:v>4258955.4020613888</c:v>
                </c:pt>
                <c:pt idx="1345">
                  <c:v>4262124.2676879223</c:v>
                </c:pt>
                <c:pt idx="1346">
                  <c:v>4265293.1333144559</c:v>
                </c:pt>
                <c:pt idx="1347">
                  <c:v>4268461.9989409903</c:v>
                </c:pt>
                <c:pt idx="1348">
                  <c:v>4271630.8645675238</c:v>
                </c:pt>
                <c:pt idx="1349">
                  <c:v>4274799.7301940573</c:v>
                </c:pt>
                <c:pt idx="1350">
                  <c:v>4277968.5958205909</c:v>
                </c:pt>
                <c:pt idx="1351">
                  <c:v>4281137.4614471253</c:v>
                </c:pt>
                <c:pt idx="1352">
                  <c:v>4284306.3270736588</c:v>
                </c:pt>
                <c:pt idx="1353">
                  <c:v>4287475.1927001923</c:v>
                </c:pt>
                <c:pt idx="1354">
                  <c:v>4290644.0583267268</c:v>
                </c:pt>
                <c:pt idx="1355">
                  <c:v>4293812.9239532603</c:v>
                </c:pt>
                <c:pt idx="1356">
                  <c:v>4296981.7895797938</c:v>
                </c:pt>
                <c:pt idx="1357">
                  <c:v>4300150.6552063273</c:v>
                </c:pt>
                <c:pt idx="1358">
                  <c:v>4303319.5208328618</c:v>
                </c:pt>
                <c:pt idx="1359">
                  <c:v>4306488.3864593953</c:v>
                </c:pt>
                <c:pt idx="1360">
                  <c:v>4309657.2520859288</c:v>
                </c:pt>
                <c:pt idx="1361">
                  <c:v>4312826.1177124623</c:v>
                </c:pt>
                <c:pt idx="1362">
                  <c:v>4315994.9833389968</c:v>
                </c:pt>
                <c:pt idx="1363">
                  <c:v>4319163.8489655303</c:v>
                </c:pt>
                <c:pt idx="1364">
                  <c:v>4322332.7145920638</c:v>
                </c:pt>
                <c:pt idx="1365">
                  <c:v>4325501.5802185982</c:v>
                </c:pt>
                <c:pt idx="1366">
                  <c:v>4328670.4458451318</c:v>
                </c:pt>
                <c:pt idx="1367">
                  <c:v>4331839.3114716653</c:v>
                </c:pt>
                <c:pt idx="1368">
                  <c:v>4335008.1770981988</c:v>
                </c:pt>
                <c:pt idx="1369">
                  <c:v>4338177.0427247332</c:v>
                </c:pt>
                <c:pt idx="1370">
                  <c:v>4341345.9083512668</c:v>
                </c:pt>
                <c:pt idx="1371">
                  <c:v>4344514.7739778003</c:v>
                </c:pt>
                <c:pt idx="1372">
                  <c:v>4347683.6396043338</c:v>
                </c:pt>
                <c:pt idx="1373">
                  <c:v>4350852.5052308682</c:v>
                </c:pt>
                <c:pt idx="1374">
                  <c:v>4354021.3708574018</c:v>
                </c:pt>
                <c:pt idx="1375">
                  <c:v>4357190.2364839353</c:v>
                </c:pt>
                <c:pt idx="1376">
                  <c:v>4360359.1021104697</c:v>
                </c:pt>
                <c:pt idx="1377">
                  <c:v>4363527.9677370032</c:v>
                </c:pt>
                <c:pt idx="1378">
                  <c:v>4366696.8333635367</c:v>
                </c:pt>
                <c:pt idx="1379">
                  <c:v>4369865.6989900703</c:v>
                </c:pt>
                <c:pt idx="1380">
                  <c:v>4373034.5646166047</c:v>
                </c:pt>
                <c:pt idx="1381">
                  <c:v>4376203.4302431382</c:v>
                </c:pt>
                <c:pt idx="1382">
                  <c:v>4379372.2958696717</c:v>
                </c:pt>
                <c:pt idx="1383">
                  <c:v>4382541.1614962062</c:v>
                </c:pt>
                <c:pt idx="1384">
                  <c:v>4385710.0271227397</c:v>
                </c:pt>
                <c:pt idx="1385">
                  <c:v>4388878.8927492732</c:v>
                </c:pt>
                <c:pt idx="1386">
                  <c:v>4392047.7583758067</c:v>
                </c:pt>
                <c:pt idx="1387">
                  <c:v>4395216.6240023412</c:v>
                </c:pt>
                <c:pt idx="1388">
                  <c:v>4398385.4896288747</c:v>
                </c:pt>
                <c:pt idx="1389">
                  <c:v>4401554.3552554082</c:v>
                </c:pt>
                <c:pt idx="1390">
                  <c:v>4404723.2208819417</c:v>
                </c:pt>
                <c:pt idx="1391">
                  <c:v>4407892.0865084762</c:v>
                </c:pt>
                <c:pt idx="1392">
                  <c:v>4411060.9521350097</c:v>
                </c:pt>
                <c:pt idx="1393">
                  <c:v>4414229.8177615432</c:v>
                </c:pt>
                <c:pt idx="1394">
                  <c:v>4417398.6833880777</c:v>
                </c:pt>
                <c:pt idx="1395">
                  <c:v>4420567.5490146112</c:v>
                </c:pt>
                <c:pt idx="1396">
                  <c:v>4423736.4146411447</c:v>
                </c:pt>
                <c:pt idx="1397">
                  <c:v>4426905.2802676782</c:v>
                </c:pt>
                <c:pt idx="1398">
                  <c:v>4430074.1458942126</c:v>
                </c:pt>
                <c:pt idx="1399">
                  <c:v>4433243.0115207462</c:v>
                </c:pt>
                <c:pt idx="1400">
                  <c:v>4436411.8771472797</c:v>
                </c:pt>
                <c:pt idx="1401">
                  <c:v>4439580.7427738132</c:v>
                </c:pt>
                <c:pt idx="1402">
                  <c:v>4442749.6084003476</c:v>
                </c:pt>
                <c:pt idx="1403">
                  <c:v>4445918.4740268812</c:v>
                </c:pt>
                <c:pt idx="1404">
                  <c:v>4449087.3396534147</c:v>
                </c:pt>
                <c:pt idx="1405">
                  <c:v>4452256.2052799491</c:v>
                </c:pt>
                <c:pt idx="1406">
                  <c:v>4455425.0709064826</c:v>
                </c:pt>
                <c:pt idx="1407">
                  <c:v>4458593.9365330162</c:v>
                </c:pt>
                <c:pt idx="1408">
                  <c:v>4461762.8021595497</c:v>
                </c:pt>
                <c:pt idx="1409">
                  <c:v>4464931.6677860841</c:v>
                </c:pt>
                <c:pt idx="1410">
                  <c:v>4468100.5334126176</c:v>
                </c:pt>
                <c:pt idx="1411">
                  <c:v>4471269.3990391511</c:v>
                </c:pt>
                <c:pt idx="1412">
                  <c:v>4474438.2646656847</c:v>
                </c:pt>
                <c:pt idx="1413">
                  <c:v>4477607.1302922191</c:v>
                </c:pt>
                <c:pt idx="1414">
                  <c:v>4480775.9959187526</c:v>
                </c:pt>
                <c:pt idx="1415">
                  <c:v>4483944.8615452861</c:v>
                </c:pt>
                <c:pt idx="1416">
                  <c:v>4487113.7271718206</c:v>
                </c:pt>
                <c:pt idx="1417">
                  <c:v>4490282.5927983541</c:v>
                </c:pt>
                <c:pt idx="1418">
                  <c:v>4493451.4584248876</c:v>
                </c:pt>
                <c:pt idx="1419">
                  <c:v>4496620.3240514211</c:v>
                </c:pt>
                <c:pt idx="1420">
                  <c:v>4499789.1896779556</c:v>
                </c:pt>
                <c:pt idx="1421">
                  <c:v>4502958.0553044891</c:v>
                </c:pt>
                <c:pt idx="1422">
                  <c:v>4506126.9209310226</c:v>
                </c:pt>
                <c:pt idx="1423">
                  <c:v>4509295.7865575561</c:v>
                </c:pt>
                <c:pt idx="1424">
                  <c:v>4512464.6521840906</c:v>
                </c:pt>
                <c:pt idx="1425">
                  <c:v>4515633.5178106241</c:v>
                </c:pt>
                <c:pt idx="1426">
                  <c:v>4518802.3834371576</c:v>
                </c:pt>
                <c:pt idx="1427">
                  <c:v>4521971.2490636921</c:v>
                </c:pt>
                <c:pt idx="1428">
                  <c:v>4525140.1146902256</c:v>
                </c:pt>
                <c:pt idx="1429">
                  <c:v>4528308.9803167591</c:v>
                </c:pt>
                <c:pt idx="1430">
                  <c:v>4531477.8459432926</c:v>
                </c:pt>
                <c:pt idx="1431">
                  <c:v>4534646.711569827</c:v>
                </c:pt>
                <c:pt idx="1432">
                  <c:v>4537815.5771963606</c:v>
                </c:pt>
                <c:pt idx="1433">
                  <c:v>4540984.4428228941</c:v>
                </c:pt>
                <c:pt idx="1434">
                  <c:v>4544153.3084494285</c:v>
                </c:pt>
                <c:pt idx="1435">
                  <c:v>4547322.174075962</c:v>
                </c:pt>
                <c:pt idx="1436">
                  <c:v>4550491.0397024956</c:v>
                </c:pt>
                <c:pt idx="1437">
                  <c:v>4553659.9053290291</c:v>
                </c:pt>
                <c:pt idx="1438">
                  <c:v>4556828.7709555635</c:v>
                </c:pt>
                <c:pt idx="1439">
                  <c:v>4559997.636582097</c:v>
                </c:pt>
                <c:pt idx="1440">
                  <c:v>4563166.5022086306</c:v>
                </c:pt>
                <c:pt idx="1441">
                  <c:v>4566335.3678351641</c:v>
                </c:pt>
                <c:pt idx="1442">
                  <c:v>4569504.2334616985</c:v>
                </c:pt>
                <c:pt idx="1443">
                  <c:v>4572673.099088232</c:v>
                </c:pt>
                <c:pt idx="1444">
                  <c:v>4575841.9647147655</c:v>
                </c:pt>
                <c:pt idx="1445">
                  <c:v>4579010.8303413</c:v>
                </c:pt>
                <c:pt idx="1446">
                  <c:v>4582179.6959678335</c:v>
                </c:pt>
                <c:pt idx="1447">
                  <c:v>4585348.561594367</c:v>
                </c:pt>
                <c:pt idx="1448">
                  <c:v>4588517.4272209005</c:v>
                </c:pt>
                <c:pt idx="1449">
                  <c:v>4591686.292847435</c:v>
                </c:pt>
                <c:pt idx="1450">
                  <c:v>4594855.1584739685</c:v>
                </c:pt>
                <c:pt idx="1451">
                  <c:v>4598024.024100502</c:v>
                </c:pt>
                <c:pt idx="1452">
                  <c:v>4601192.8897270355</c:v>
                </c:pt>
                <c:pt idx="1453">
                  <c:v>4604361.75535357</c:v>
                </c:pt>
                <c:pt idx="1454">
                  <c:v>4607530.6209801035</c:v>
                </c:pt>
                <c:pt idx="1455">
                  <c:v>4610699.486606637</c:v>
                </c:pt>
                <c:pt idx="1456">
                  <c:v>4613868.3522331715</c:v>
                </c:pt>
                <c:pt idx="1457">
                  <c:v>4617037.217859705</c:v>
                </c:pt>
                <c:pt idx="1458">
                  <c:v>4620206.0834862385</c:v>
                </c:pt>
                <c:pt idx="1459">
                  <c:v>4623374.949112772</c:v>
                </c:pt>
                <c:pt idx="1460">
                  <c:v>4626543.8147393065</c:v>
                </c:pt>
                <c:pt idx="1461">
                  <c:v>4629712.68036584</c:v>
                </c:pt>
                <c:pt idx="1462">
                  <c:v>4632881.5459923735</c:v>
                </c:pt>
                <c:pt idx="1463">
                  <c:v>4636050.411618907</c:v>
                </c:pt>
                <c:pt idx="1464">
                  <c:v>4639219.2772454415</c:v>
                </c:pt>
                <c:pt idx="1465">
                  <c:v>4642388.142871975</c:v>
                </c:pt>
                <c:pt idx="1466">
                  <c:v>4645557.0084985085</c:v>
                </c:pt>
                <c:pt idx="1467">
                  <c:v>4648725.8741250429</c:v>
                </c:pt>
                <c:pt idx="1468">
                  <c:v>4651894.7397515764</c:v>
                </c:pt>
                <c:pt idx="1469">
                  <c:v>4655063.60537811</c:v>
                </c:pt>
                <c:pt idx="1470">
                  <c:v>4658232.4710046435</c:v>
                </c:pt>
                <c:pt idx="1471">
                  <c:v>4661401.3366311779</c:v>
                </c:pt>
                <c:pt idx="1472">
                  <c:v>4664570.2022577114</c:v>
                </c:pt>
                <c:pt idx="1473">
                  <c:v>4667739.067884245</c:v>
                </c:pt>
                <c:pt idx="1474">
                  <c:v>4670907.9335107785</c:v>
                </c:pt>
                <c:pt idx="1475">
                  <c:v>4674076.7991373129</c:v>
                </c:pt>
                <c:pt idx="1476">
                  <c:v>4677245.6647638464</c:v>
                </c:pt>
                <c:pt idx="1477">
                  <c:v>4680414.53039038</c:v>
                </c:pt>
                <c:pt idx="1478">
                  <c:v>4683583.3960169144</c:v>
                </c:pt>
                <c:pt idx="1479">
                  <c:v>4686752.2616434479</c:v>
                </c:pt>
                <c:pt idx="1480">
                  <c:v>4689921.1272699814</c:v>
                </c:pt>
                <c:pt idx="1481">
                  <c:v>4693089.9928965149</c:v>
                </c:pt>
                <c:pt idx="1482">
                  <c:v>4696258.8585230494</c:v>
                </c:pt>
                <c:pt idx="1483">
                  <c:v>4699427.7241495829</c:v>
                </c:pt>
                <c:pt idx="1484">
                  <c:v>4702596.5897761164</c:v>
                </c:pt>
                <c:pt idx="1485">
                  <c:v>4705765.4554026509</c:v>
                </c:pt>
                <c:pt idx="1486">
                  <c:v>4708934.3210291844</c:v>
                </c:pt>
                <c:pt idx="1487">
                  <c:v>4712103.1866557179</c:v>
                </c:pt>
                <c:pt idx="1488">
                  <c:v>4715272.0522822514</c:v>
                </c:pt>
                <c:pt idx="1489">
                  <c:v>4718440.9179087859</c:v>
                </c:pt>
                <c:pt idx="1490">
                  <c:v>4721609.7835353194</c:v>
                </c:pt>
                <c:pt idx="1491">
                  <c:v>4724778.6491618529</c:v>
                </c:pt>
                <c:pt idx="1492">
                  <c:v>4727947.5147883864</c:v>
                </c:pt>
                <c:pt idx="1493">
                  <c:v>4731116.3804149209</c:v>
                </c:pt>
                <c:pt idx="1494">
                  <c:v>4734285.2460414544</c:v>
                </c:pt>
                <c:pt idx="1495">
                  <c:v>4737454.1116679879</c:v>
                </c:pt>
                <c:pt idx="1496">
                  <c:v>4740622.9772945223</c:v>
                </c:pt>
                <c:pt idx="1497">
                  <c:v>4743791.8429210559</c:v>
                </c:pt>
                <c:pt idx="1498">
                  <c:v>4746960.7085475894</c:v>
                </c:pt>
                <c:pt idx="1499">
                  <c:v>4750129.5741741229</c:v>
                </c:pt>
                <c:pt idx="1500">
                  <c:v>4753298.4398006573</c:v>
                </c:pt>
                <c:pt idx="1501">
                  <c:v>4756467.3054271908</c:v>
                </c:pt>
                <c:pt idx="1502">
                  <c:v>4759636.1710537244</c:v>
                </c:pt>
                <c:pt idx="1503">
                  <c:v>4762805.0366802579</c:v>
                </c:pt>
                <c:pt idx="1504">
                  <c:v>4765973.9023067923</c:v>
                </c:pt>
                <c:pt idx="1505">
                  <c:v>4769142.7679333258</c:v>
                </c:pt>
                <c:pt idx="1506">
                  <c:v>4772311.6335598594</c:v>
                </c:pt>
                <c:pt idx="1507">
                  <c:v>4775480.4991863938</c:v>
                </c:pt>
                <c:pt idx="1508">
                  <c:v>4778649.3648129273</c:v>
                </c:pt>
                <c:pt idx="1509">
                  <c:v>4781818.2304394608</c:v>
                </c:pt>
                <c:pt idx="1510">
                  <c:v>4784987.0960659944</c:v>
                </c:pt>
                <c:pt idx="1511">
                  <c:v>4788155.9616925288</c:v>
                </c:pt>
                <c:pt idx="1512">
                  <c:v>4791324.8273190623</c:v>
                </c:pt>
                <c:pt idx="1513">
                  <c:v>4794493.6929455958</c:v>
                </c:pt>
                <c:pt idx="1514">
                  <c:v>4797662.5585721293</c:v>
                </c:pt>
                <c:pt idx="1515">
                  <c:v>4800831.4241986638</c:v>
                </c:pt>
                <c:pt idx="1516">
                  <c:v>4804000.2898251973</c:v>
                </c:pt>
                <c:pt idx="1517">
                  <c:v>4807169.1554517308</c:v>
                </c:pt>
                <c:pt idx="1518">
                  <c:v>4810338.0210782653</c:v>
                </c:pt>
                <c:pt idx="1519">
                  <c:v>4813506.8867047988</c:v>
                </c:pt>
                <c:pt idx="1520">
                  <c:v>4816675.7523313323</c:v>
                </c:pt>
                <c:pt idx="1521">
                  <c:v>4819844.6179578658</c:v>
                </c:pt>
                <c:pt idx="1522">
                  <c:v>4823013.4835844003</c:v>
                </c:pt>
                <c:pt idx="1523">
                  <c:v>4826182.3492109338</c:v>
                </c:pt>
                <c:pt idx="1524">
                  <c:v>4829351.2148374673</c:v>
                </c:pt>
                <c:pt idx="1525">
                  <c:v>4832520.0804640008</c:v>
                </c:pt>
                <c:pt idx="1526">
                  <c:v>4835688.9460905353</c:v>
                </c:pt>
                <c:pt idx="1527">
                  <c:v>4838857.8117170688</c:v>
                </c:pt>
                <c:pt idx="1528">
                  <c:v>4842026.6773436023</c:v>
                </c:pt>
                <c:pt idx="1529">
                  <c:v>4845195.5429701367</c:v>
                </c:pt>
                <c:pt idx="1530">
                  <c:v>4848364.4085966703</c:v>
                </c:pt>
                <c:pt idx="1531">
                  <c:v>4851533.2742232038</c:v>
                </c:pt>
                <c:pt idx="1532">
                  <c:v>4854702.1398497373</c:v>
                </c:pt>
                <c:pt idx="1533">
                  <c:v>4857871.0054762717</c:v>
                </c:pt>
                <c:pt idx="1534">
                  <c:v>4861039.8711028052</c:v>
                </c:pt>
                <c:pt idx="1535">
                  <c:v>4864208.7367293388</c:v>
                </c:pt>
                <c:pt idx="1536">
                  <c:v>4867377.6023558732</c:v>
                </c:pt>
                <c:pt idx="1537">
                  <c:v>4870546.4679824067</c:v>
                </c:pt>
                <c:pt idx="1538">
                  <c:v>4873715.3336089402</c:v>
                </c:pt>
                <c:pt idx="1539">
                  <c:v>4876884.1992354738</c:v>
                </c:pt>
                <c:pt idx="1540">
                  <c:v>4880053.0648620082</c:v>
                </c:pt>
                <c:pt idx="1541">
                  <c:v>4883221.9304885417</c:v>
                </c:pt>
                <c:pt idx="1542">
                  <c:v>4886390.7961150752</c:v>
                </c:pt>
                <c:pt idx="1543">
                  <c:v>4889559.6617416088</c:v>
                </c:pt>
                <c:pt idx="1544">
                  <c:v>4892728.5273681432</c:v>
                </c:pt>
                <c:pt idx="1545">
                  <c:v>4895897.3929946767</c:v>
                </c:pt>
                <c:pt idx="1546">
                  <c:v>4899066.2586212102</c:v>
                </c:pt>
                <c:pt idx="1547">
                  <c:v>4902235.1242477447</c:v>
                </c:pt>
                <c:pt idx="1548">
                  <c:v>4905403.9898742782</c:v>
                </c:pt>
                <c:pt idx="1549">
                  <c:v>4908572.8555008117</c:v>
                </c:pt>
                <c:pt idx="1550">
                  <c:v>4911741.7211273452</c:v>
                </c:pt>
                <c:pt idx="1551">
                  <c:v>4914910.5867538797</c:v>
                </c:pt>
                <c:pt idx="1552">
                  <c:v>4918079.4523804132</c:v>
                </c:pt>
                <c:pt idx="1553">
                  <c:v>4921248.3180069467</c:v>
                </c:pt>
                <c:pt idx="1554">
                  <c:v>4924417.1836334802</c:v>
                </c:pt>
                <c:pt idx="1555">
                  <c:v>4927586.0492600147</c:v>
                </c:pt>
                <c:pt idx="1556">
                  <c:v>4930754.9148865482</c:v>
                </c:pt>
                <c:pt idx="1557">
                  <c:v>4933923.7805130817</c:v>
                </c:pt>
                <c:pt idx="1558">
                  <c:v>4937092.6461396161</c:v>
                </c:pt>
                <c:pt idx="1559">
                  <c:v>4940261.5117661497</c:v>
                </c:pt>
                <c:pt idx="1560">
                  <c:v>4943430.3773926832</c:v>
                </c:pt>
                <c:pt idx="1561">
                  <c:v>4946599.2430192167</c:v>
                </c:pt>
                <c:pt idx="1562">
                  <c:v>4949768.1086457511</c:v>
                </c:pt>
                <c:pt idx="1563">
                  <c:v>4952936.9742722847</c:v>
                </c:pt>
                <c:pt idx="1564">
                  <c:v>4956105.8398988182</c:v>
                </c:pt>
                <c:pt idx="1565">
                  <c:v>4959274.7055253517</c:v>
                </c:pt>
                <c:pt idx="1566">
                  <c:v>4962443.5711518861</c:v>
                </c:pt>
                <c:pt idx="1567">
                  <c:v>4965612.4367784197</c:v>
                </c:pt>
                <c:pt idx="1568">
                  <c:v>4968781.3024049532</c:v>
                </c:pt>
                <c:pt idx="1569">
                  <c:v>4971950.1680314876</c:v>
                </c:pt>
                <c:pt idx="1570">
                  <c:v>4975119.0336580211</c:v>
                </c:pt>
                <c:pt idx="1571">
                  <c:v>4978287.8992845546</c:v>
                </c:pt>
                <c:pt idx="1572">
                  <c:v>4981456.7649110882</c:v>
                </c:pt>
                <c:pt idx="1573">
                  <c:v>4984625.6305376226</c:v>
                </c:pt>
                <c:pt idx="1574">
                  <c:v>4987794.4961641561</c:v>
                </c:pt>
                <c:pt idx="1575">
                  <c:v>4990963.3617906896</c:v>
                </c:pt>
                <c:pt idx="1576">
                  <c:v>4994132.2274172232</c:v>
                </c:pt>
                <c:pt idx="1577">
                  <c:v>4997301.0930437576</c:v>
                </c:pt>
                <c:pt idx="1578">
                  <c:v>5000469.9586702911</c:v>
                </c:pt>
                <c:pt idx="1579">
                  <c:v>5003638.8242968246</c:v>
                </c:pt>
                <c:pt idx="1580">
                  <c:v>5006807.6899233591</c:v>
                </c:pt>
                <c:pt idx="1581">
                  <c:v>5009976.5555498926</c:v>
                </c:pt>
                <c:pt idx="1582">
                  <c:v>5013145.4211764261</c:v>
                </c:pt>
                <c:pt idx="1583">
                  <c:v>5016314.2868029596</c:v>
                </c:pt>
                <c:pt idx="1584">
                  <c:v>5019483.1524294941</c:v>
                </c:pt>
                <c:pt idx="1585">
                  <c:v>5022652.0180560276</c:v>
                </c:pt>
                <c:pt idx="1586">
                  <c:v>5025820.8836825611</c:v>
                </c:pt>
                <c:pt idx="1587">
                  <c:v>5028989.7493090946</c:v>
                </c:pt>
                <c:pt idx="1588">
                  <c:v>5032158.6149356291</c:v>
                </c:pt>
                <c:pt idx="1589">
                  <c:v>5035327.4805621626</c:v>
                </c:pt>
                <c:pt idx="1590">
                  <c:v>5038496.3461886961</c:v>
                </c:pt>
                <c:pt idx="1591">
                  <c:v>5041665.2118152305</c:v>
                </c:pt>
                <c:pt idx="1592">
                  <c:v>5044834.0774417641</c:v>
                </c:pt>
                <c:pt idx="1593">
                  <c:v>5048002.9430682976</c:v>
                </c:pt>
                <c:pt idx="1594">
                  <c:v>5051171.8086948311</c:v>
                </c:pt>
                <c:pt idx="1595">
                  <c:v>5054340.6743213655</c:v>
                </c:pt>
                <c:pt idx="1596">
                  <c:v>5057509.5399478991</c:v>
                </c:pt>
                <c:pt idx="1597">
                  <c:v>5060678.4055744326</c:v>
                </c:pt>
                <c:pt idx="1598">
                  <c:v>5063847.271200967</c:v>
                </c:pt>
                <c:pt idx="1599">
                  <c:v>5067016.1368275005</c:v>
                </c:pt>
                <c:pt idx="1600">
                  <c:v>5070185.0024540341</c:v>
                </c:pt>
                <c:pt idx="1601">
                  <c:v>5073353.8680805676</c:v>
                </c:pt>
                <c:pt idx="1602">
                  <c:v>5076522.733707102</c:v>
                </c:pt>
                <c:pt idx="1603">
                  <c:v>5079691.5993336355</c:v>
                </c:pt>
                <c:pt idx="1604">
                  <c:v>5082860.464960169</c:v>
                </c:pt>
                <c:pt idx="1605">
                  <c:v>5086029.3305867026</c:v>
                </c:pt>
                <c:pt idx="1606">
                  <c:v>5089198.196213237</c:v>
                </c:pt>
                <c:pt idx="1607">
                  <c:v>5092367.0618397705</c:v>
                </c:pt>
                <c:pt idx="1608">
                  <c:v>5095535.927466304</c:v>
                </c:pt>
                <c:pt idx="1609">
                  <c:v>5098704.7930928385</c:v>
                </c:pt>
                <c:pt idx="1610">
                  <c:v>5101873.658719372</c:v>
                </c:pt>
                <c:pt idx="1611">
                  <c:v>5105042.5243459055</c:v>
                </c:pt>
                <c:pt idx="1612">
                  <c:v>5108211.389972439</c:v>
                </c:pt>
                <c:pt idx="1613">
                  <c:v>5111380.2555989735</c:v>
                </c:pt>
                <c:pt idx="1614">
                  <c:v>5114549.121225507</c:v>
                </c:pt>
                <c:pt idx="1615">
                  <c:v>5117717.9868520405</c:v>
                </c:pt>
                <c:pt idx="1616">
                  <c:v>5120886.852478574</c:v>
                </c:pt>
                <c:pt idx="1617">
                  <c:v>5124055.7181051085</c:v>
                </c:pt>
                <c:pt idx="1618">
                  <c:v>5127224.583731642</c:v>
                </c:pt>
                <c:pt idx="1619">
                  <c:v>5130393.4493581755</c:v>
                </c:pt>
                <c:pt idx="1620">
                  <c:v>5133562.31498471</c:v>
                </c:pt>
                <c:pt idx="1621">
                  <c:v>5136731.1806112435</c:v>
                </c:pt>
                <c:pt idx="1622">
                  <c:v>5139900.046237777</c:v>
                </c:pt>
                <c:pt idx="1623">
                  <c:v>5143068.9118643105</c:v>
                </c:pt>
                <c:pt idx="1624">
                  <c:v>5146237.777490845</c:v>
                </c:pt>
                <c:pt idx="1625">
                  <c:v>5149406.6431173785</c:v>
                </c:pt>
                <c:pt idx="1626">
                  <c:v>5152575.508743912</c:v>
                </c:pt>
                <c:pt idx="1627">
                  <c:v>5155744.3743704455</c:v>
                </c:pt>
                <c:pt idx="1628">
                  <c:v>5158913.2399969799</c:v>
                </c:pt>
                <c:pt idx="1629">
                  <c:v>5162082.1056235135</c:v>
                </c:pt>
                <c:pt idx="1630">
                  <c:v>5165250.971250047</c:v>
                </c:pt>
                <c:pt idx="1631">
                  <c:v>5168419.8368765814</c:v>
                </c:pt>
                <c:pt idx="1632">
                  <c:v>5171588.7025031149</c:v>
                </c:pt>
                <c:pt idx="1633">
                  <c:v>5174757.5681296485</c:v>
                </c:pt>
                <c:pt idx="1634">
                  <c:v>5177926.433756182</c:v>
                </c:pt>
                <c:pt idx="1635">
                  <c:v>5181095.2993827164</c:v>
                </c:pt>
                <c:pt idx="1636">
                  <c:v>5184264.1650092499</c:v>
                </c:pt>
                <c:pt idx="1637">
                  <c:v>5187433.0306357834</c:v>
                </c:pt>
                <c:pt idx="1638">
                  <c:v>5190601.896262317</c:v>
                </c:pt>
                <c:pt idx="1639">
                  <c:v>5193770.7618888514</c:v>
                </c:pt>
                <c:pt idx="1640">
                  <c:v>5196939.6275153849</c:v>
                </c:pt>
                <c:pt idx="1641">
                  <c:v>5200108.4931419184</c:v>
                </c:pt>
                <c:pt idx="1642">
                  <c:v>5203277.3587684529</c:v>
                </c:pt>
                <c:pt idx="1643">
                  <c:v>5206446.2243949864</c:v>
                </c:pt>
                <c:pt idx="1644">
                  <c:v>5209615.0900215199</c:v>
                </c:pt>
                <c:pt idx="1645">
                  <c:v>5212783.9556480534</c:v>
                </c:pt>
                <c:pt idx="1646">
                  <c:v>5215952.8212745879</c:v>
                </c:pt>
                <c:pt idx="1647">
                  <c:v>5219121.6869011214</c:v>
                </c:pt>
                <c:pt idx="1648">
                  <c:v>5222290.5525276549</c:v>
                </c:pt>
                <c:pt idx="1649">
                  <c:v>5225459.4181541894</c:v>
                </c:pt>
                <c:pt idx="1650">
                  <c:v>5228628.2837807229</c:v>
                </c:pt>
                <c:pt idx="1651">
                  <c:v>5231797.1494072564</c:v>
                </c:pt>
                <c:pt idx="1652">
                  <c:v>5234966.0150337899</c:v>
                </c:pt>
                <c:pt idx="1653">
                  <c:v>5238134.8806603244</c:v>
                </c:pt>
                <c:pt idx="1654">
                  <c:v>5241303.7462868579</c:v>
                </c:pt>
                <c:pt idx="1655">
                  <c:v>5244472.6119133914</c:v>
                </c:pt>
                <c:pt idx="1656">
                  <c:v>5247641.4775399249</c:v>
                </c:pt>
                <c:pt idx="1657">
                  <c:v>5250810.3431664594</c:v>
                </c:pt>
                <c:pt idx="1658">
                  <c:v>5253979.2087929929</c:v>
                </c:pt>
                <c:pt idx="1659">
                  <c:v>5257148.0744195264</c:v>
                </c:pt>
                <c:pt idx="1660">
                  <c:v>5260316.9400460608</c:v>
                </c:pt>
                <c:pt idx="1661">
                  <c:v>5263485.8056725943</c:v>
                </c:pt>
                <c:pt idx="1662">
                  <c:v>5266654.6712991279</c:v>
                </c:pt>
                <c:pt idx="1663">
                  <c:v>5269823.5369256614</c:v>
                </c:pt>
                <c:pt idx="1664">
                  <c:v>5272992.4025521958</c:v>
                </c:pt>
                <c:pt idx="1665">
                  <c:v>5276161.2681787293</c:v>
                </c:pt>
                <c:pt idx="1666">
                  <c:v>5279330.1338052629</c:v>
                </c:pt>
                <c:pt idx="1667">
                  <c:v>5282498.9994317964</c:v>
                </c:pt>
                <c:pt idx="1668">
                  <c:v>5285667.8650583308</c:v>
                </c:pt>
                <c:pt idx="1669">
                  <c:v>5288836.7306848643</c:v>
                </c:pt>
                <c:pt idx="1670">
                  <c:v>5292005.5963113979</c:v>
                </c:pt>
                <c:pt idx="1671">
                  <c:v>5295174.4619379323</c:v>
                </c:pt>
                <c:pt idx="1672">
                  <c:v>5298343.3275644658</c:v>
                </c:pt>
                <c:pt idx="1673">
                  <c:v>5301512.1931909993</c:v>
                </c:pt>
                <c:pt idx="1674">
                  <c:v>5304681.0588175328</c:v>
                </c:pt>
                <c:pt idx="1675">
                  <c:v>5307849.9244440673</c:v>
                </c:pt>
                <c:pt idx="1676">
                  <c:v>5311018.7900706008</c:v>
                </c:pt>
                <c:pt idx="1677">
                  <c:v>5314187.6556971343</c:v>
                </c:pt>
                <c:pt idx="1678">
                  <c:v>5317356.5213236678</c:v>
                </c:pt>
                <c:pt idx="1679">
                  <c:v>5320525.3869502023</c:v>
                </c:pt>
                <c:pt idx="1680">
                  <c:v>5323694.2525767358</c:v>
                </c:pt>
                <c:pt idx="1681">
                  <c:v>5326863.1182032693</c:v>
                </c:pt>
                <c:pt idx="1682">
                  <c:v>5330031.9838298038</c:v>
                </c:pt>
                <c:pt idx="1683">
                  <c:v>5333200.8494563373</c:v>
                </c:pt>
                <c:pt idx="1684">
                  <c:v>5336369.7150828708</c:v>
                </c:pt>
                <c:pt idx="1685">
                  <c:v>5339538.5807094043</c:v>
                </c:pt>
                <c:pt idx="1686">
                  <c:v>5342707.4463359388</c:v>
                </c:pt>
                <c:pt idx="1687">
                  <c:v>5345876.3119624723</c:v>
                </c:pt>
                <c:pt idx="1688">
                  <c:v>5349045.1775890058</c:v>
                </c:pt>
                <c:pt idx="1689">
                  <c:v>5352214.0432155393</c:v>
                </c:pt>
                <c:pt idx="1690">
                  <c:v>5355382.9088420738</c:v>
                </c:pt>
                <c:pt idx="1691">
                  <c:v>5358551.7744686073</c:v>
                </c:pt>
                <c:pt idx="1692">
                  <c:v>5361720.6400951408</c:v>
                </c:pt>
                <c:pt idx="1693">
                  <c:v>5364889.5057216752</c:v>
                </c:pt>
                <c:pt idx="1694">
                  <c:v>5368058.3713482087</c:v>
                </c:pt>
                <c:pt idx="1695">
                  <c:v>5371227.2369747423</c:v>
                </c:pt>
                <c:pt idx="1696">
                  <c:v>5374396.1026012758</c:v>
                </c:pt>
                <c:pt idx="1697">
                  <c:v>5377564.9682278102</c:v>
                </c:pt>
                <c:pt idx="1698">
                  <c:v>5380733.8338543437</c:v>
                </c:pt>
                <c:pt idx="1699">
                  <c:v>5383902.6994808773</c:v>
                </c:pt>
                <c:pt idx="1700">
                  <c:v>5387071.5651074117</c:v>
                </c:pt>
                <c:pt idx="1701">
                  <c:v>5390240.4307339452</c:v>
                </c:pt>
                <c:pt idx="1702">
                  <c:v>5393409.2963604787</c:v>
                </c:pt>
                <c:pt idx="1703">
                  <c:v>5396578.1619870123</c:v>
                </c:pt>
                <c:pt idx="1704">
                  <c:v>5399747.0276135467</c:v>
                </c:pt>
                <c:pt idx="1705">
                  <c:v>5402915.8932400802</c:v>
                </c:pt>
                <c:pt idx="1706">
                  <c:v>5406084.7588666137</c:v>
                </c:pt>
                <c:pt idx="1707">
                  <c:v>5409253.6244931472</c:v>
                </c:pt>
                <c:pt idx="1708">
                  <c:v>5412422.4901196817</c:v>
                </c:pt>
                <c:pt idx="1709">
                  <c:v>5415591.3557462152</c:v>
                </c:pt>
                <c:pt idx="1710">
                  <c:v>5418760.2213727487</c:v>
                </c:pt>
                <c:pt idx="1711">
                  <c:v>5421929.0869992832</c:v>
                </c:pt>
                <c:pt idx="1712">
                  <c:v>5425097.9526258167</c:v>
                </c:pt>
                <c:pt idx="1713">
                  <c:v>5428266.8182523502</c:v>
                </c:pt>
                <c:pt idx="1714">
                  <c:v>5431435.6838788837</c:v>
                </c:pt>
                <c:pt idx="1715">
                  <c:v>5434604.5495054182</c:v>
                </c:pt>
                <c:pt idx="1716">
                  <c:v>5437773.4151319517</c:v>
                </c:pt>
                <c:pt idx="1717">
                  <c:v>5440942.2807584852</c:v>
                </c:pt>
                <c:pt idx="1718">
                  <c:v>5444111.1463850187</c:v>
                </c:pt>
                <c:pt idx="1719">
                  <c:v>5447280.0120115532</c:v>
                </c:pt>
                <c:pt idx="1720">
                  <c:v>5450448.8776380867</c:v>
                </c:pt>
                <c:pt idx="1721">
                  <c:v>5453617.7432646202</c:v>
                </c:pt>
                <c:pt idx="1722">
                  <c:v>5456786.6088911546</c:v>
                </c:pt>
                <c:pt idx="1723">
                  <c:v>5459955.4745176882</c:v>
                </c:pt>
                <c:pt idx="1724">
                  <c:v>5463124.3401442217</c:v>
                </c:pt>
                <c:pt idx="1725">
                  <c:v>5466293.2057707552</c:v>
                </c:pt>
                <c:pt idx="1726">
                  <c:v>5469462.0713972896</c:v>
                </c:pt>
                <c:pt idx="1727">
                  <c:v>5472630.9370238231</c:v>
                </c:pt>
                <c:pt idx="1728">
                  <c:v>5475799.8026503567</c:v>
                </c:pt>
                <c:pt idx="1729">
                  <c:v>5478968.6682768902</c:v>
                </c:pt>
                <c:pt idx="1730">
                  <c:v>5482137.5339034246</c:v>
                </c:pt>
                <c:pt idx="1731">
                  <c:v>5485306.3995299581</c:v>
                </c:pt>
                <c:pt idx="1732">
                  <c:v>5488475.2651564917</c:v>
                </c:pt>
                <c:pt idx="1733">
                  <c:v>5491644.1307830261</c:v>
                </c:pt>
                <c:pt idx="1734">
                  <c:v>5494812.9964095596</c:v>
                </c:pt>
                <c:pt idx="1735">
                  <c:v>5497981.8620360931</c:v>
                </c:pt>
                <c:pt idx="1736">
                  <c:v>5501150.7276626267</c:v>
                </c:pt>
                <c:pt idx="1737">
                  <c:v>5504319.5932891611</c:v>
                </c:pt>
                <c:pt idx="1738">
                  <c:v>5507488.4589156946</c:v>
                </c:pt>
                <c:pt idx="1739">
                  <c:v>5510657.3245422281</c:v>
                </c:pt>
                <c:pt idx="1740">
                  <c:v>5513826.1901687616</c:v>
                </c:pt>
                <c:pt idx="1741">
                  <c:v>5516995.0557952961</c:v>
                </c:pt>
                <c:pt idx="1742">
                  <c:v>5520163.9214218296</c:v>
                </c:pt>
                <c:pt idx="1743">
                  <c:v>5523332.7870483631</c:v>
                </c:pt>
                <c:pt idx="1744">
                  <c:v>5526501.6526748976</c:v>
                </c:pt>
                <c:pt idx="1745">
                  <c:v>5529670.5183014311</c:v>
                </c:pt>
                <c:pt idx="1746">
                  <c:v>5532839.3839279646</c:v>
                </c:pt>
                <c:pt idx="1747">
                  <c:v>5536008.2495544981</c:v>
                </c:pt>
                <c:pt idx="1748">
                  <c:v>5539177.1151810326</c:v>
                </c:pt>
                <c:pt idx="1749">
                  <c:v>5542345.9808075661</c:v>
                </c:pt>
                <c:pt idx="1750">
                  <c:v>5545514.8464340996</c:v>
                </c:pt>
                <c:pt idx="1751">
                  <c:v>5548683.7120606331</c:v>
                </c:pt>
                <c:pt idx="1752">
                  <c:v>5551852.5776871676</c:v>
                </c:pt>
                <c:pt idx="1753">
                  <c:v>5555021.4433137011</c:v>
                </c:pt>
                <c:pt idx="1754">
                  <c:v>5558190.3089402346</c:v>
                </c:pt>
                <c:pt idx="1755">
                  <c:v>5561359.174566769</c:v>
                </c:pt>
                <c:pt idx="1756">
                  <c:v>5564528.0401933026</c:v>
                </c:pt>
                <c:pt idx="1757">
                  <c:v>5567696.9058198361</c:v>
                </c:pt>
                <c:pt idx="1758">
                  <c:v>5570865.7714463696</c:v>
                </c:pt>
                <c:pt idx="1759">
                  <c:v>5574034.637072904</c:v>
                </c:pt>
                <c:pt idx="1760">
                  <c:v>5577203.5026994376</c:v>
                </c:pt>
                <c:pt idx="1761">
                  <c:v>5580372.3683259711</c:v>
                </c:pt>
                <c:pt idx="1762">
                  <c:v>5583541.2339525055</c:v>
                </c:pt>
                <c:pt idx="1763">
                  <c:v>5586710.099579039</c:v>
                </c:pt>
                <c:pt idx="1764">
                  <c:v>5589878.9652055725</c:v>
                </c:pt>
                <c:pt idx="1765">
                  <c:v>5593047.8308321061</c:v>
                </c:pt>
                <c:pt idx="1766">
                  <c:v>5596216.6964586405</c:v>
                </c:pt>
                <c:pt idx="1767">
                  <c:v>5599385.562085174</c:v>
                </c:pt>
                <c:pt idx="1768">
                  <c:v>5602554.4277117075</c:v>
                </c:pt>
                <c:pt idx="1769">
                  <c:v>5605723.2933382411</c:v>
                </c:pt>
                <c:pt idx="1770">
                  <c:v>5608892.1589647755</c:v>
                </c:pt>
                <c:pt idx="1771">
                  <c:v>5612061.024591309</c:v>
                </c:pt>
                <c:pt idx="1772">
                  <c:v>5615229.8902178425</c:v>
                </c:pt>
                <c:pt idx="1773">
                  <c:v>5618398.755844377</c:v>
                </c:pt>
                <c:pt idx="1774">
                  <c:v>5621567.6214709105</c:v>
                </c:pt>
                <c:pt idx="1775">
                  <c:v>5624736.487097444</c:v>
                </c:pt>
                <c:pt idx="1776">
                  <c:v>5627905.3527239775</c:v>
                </c:pt>
                <c:pt idx="1777">
                  <c:v>5631074.218350512</c:v>
                </c:pt>
                <c:pt idx="1778">
                  <c:v>5634243.0839770455</c:v>
                </c:pt>
                <c:pt idx="1779">
                  <c:v>5637411.949603579</c:v>
                </c:pt>
                <c:pt idx="1780">
                  <c:v>5640580.8152301125</c:v>
                </c:pt>
                <c:pt idx="1781">
                  <c:v>5643749.680856647</c:v>
                </c:pt>
                <c:pt idx="1782">
                  <c:v>5646918.5464831805</c:v>
                </c:pt>
                <c:pt idx="1783">
                  <c:v>5650087.412109714</c:v>
                </c:pt>
                <c:pt idx="1784">
                  <c:v>5653256.2777362484</c:v>
                </c:pt>
                <c:pt idx="1785">
                  <c:v>5656425.143362782</c:v>
                </c:pt>
                <c:pt idx="1786">
                  <c:v>5659594.0089893155</c:v>
                </c:pt>
                <c:pt idx="1787">
                  <c:v>5662762.874615849</c:v>
                </c:pt>
                <c:pt idx="1788">
                  <c:v>5665931.7402423834</c:v>
                </c:pt>
                <c:pt idx="1789">
                  <c:v>5669100.605868917</c:v>
                </c:pt>
                <c:pt idx="1790">
                  <c:v>5672269.4714954505</c:v>
                </c:pt>
                <c:pt idx="1791">
                  <c:v>5675438.337121984</c:v>
                </c:pt>
                <c:pt idx="1792">
                  <c:v>5678607.2027485184</c:v>
                </c:pt>
                <c:pt idx="1793">
                  <c:v>5681776.068375052</c:v>
                </c:pt>
                <c:pt idx="1794">
                  <c:v>5684944.9340015855</c:v>
                </c:pt>
                <c:pt idx="1795">
                  <c:v>5688113.7996281199</c:v>
                </c:pt>
                <c:pt idx="1796">
                  <c:v>5691282.6652546534</c:v>
                </c:pt>
                <c:pt idx="1797">
                  <c:v>5694451.5308811869</c:v>
                </c:pt>
                <c:pt idx="1798">
                  <c:v>5697620.3965077205</c:v>
                </c:pt>
                <c:pt idx="1799">
                  <c:v>5700789.2621342549</c:v>
                </c:pt>
                <c:pt idx="1800">
                  <c:v>5703958.1277607884</c:v>
                </c:pt>
                <c:pt idx="1801">
                  <c:v>5707126.9933873219</c:v>
                </c:pt>
                <c:pt idx="1802">
                  <c:v>5710295.8590138555</c:v>
                </c:pt>
                <c:pt idx="1803">
                  <c:v>5713464.7246403899</c:v>
                </c:pt>
                <c:pt idx="1804">
                  <c:v>5716633.5902669234</c:v>
                </c:pt>
                <c:pt idx="1805">
                  <c:v>5719802.4558934569</c:v>
                </c:pt>
                <c:pt idx="1806">
                  <c:v>5722971.3215199914</c:v>
                </c:pt>
                <c:pt idx="1807">
                  <c:v>5726140.1871465249</c:v>
                </c:pt>
                <c:pt idx="1808">
                  <c:v>5729309.0527730584</c:v>
                </c:pt>
                <c:pt idx="1809">
                  <c:v>5732477.9183995919</c:v>
                </c:pt>
                <c:pt idx="1810">
                  <c:v>5735646.7840261264</c:v>
                </c:pt>
                <c:pt idx="1811">
                  <c:v>5738815.6496526599</c:v>
                </c:pt>
                <c:pt idx="1812">
                  <c:v>5741984.5152791934</c:v>
                </c:pt>
                <c:pt idx="1813">
                  <c:v>5745153.3809057279</c:v>
                </c:pt>
                <c:pt idx="1814">
                  <c:v>5748322.2465322614</c:v>
                </c:pt>
                <c:pt idx="1815">
                  <c:v>5751491.1121587949</c:v>
                </c:pt>
                <c:pt idx="1816">
                  <c:v>5754659.9777853284</c:v>
                </c:pt>
                <c:pt idx="1817">
                  <c:v>5757828.8434118629</c:v>
                </c:pt>
                <c:pt idx="1818">
                  <c:v>5760997.7090383964</c:v>
                </c:pt>
                <c:pt idx="1819">
                  <c:v>5764166.5746649299</c:v>
                </c:pt>
                <c:pt idx="1820">
                  <c:v>5767335.4402914634</c:v>
                </c:pt>
                <c:pt idx="1821">
                  <c:v>5770504.3059179978</c:v>
                </c:pt>
                <c:pt idx="1822">
                  <c:v>5773673.1715445314</c:v>
                </c:pt>
                <c:pt idx="1823">
                  <c:v>5776842.0371710649</c:v>
                </c:pt>
                <c:pt idx="1824">
                  <c:v>5780010.9027975993</c:v>
                </c:pt>
                <c:pt idx="1825">
                  <c:v>5783179.7684241328</c:v>
                </c:pt>
                <c:pt idx="1826">
                  <c:v>5786348.6340506664</c:v>
                </c:pt>
                <c:pt idx="1827">
                  <c:v>5789517.4996771999</c:v>
                </c:pt>
                <c:pt idx="1828">
                  <c:v>5792686.3653037343</c:v>
                </c:pt>
                <c:pt idx="1829">
                  <c:v>5795855.2309302678</c:v>
                </c:pt>
                <c:pt idx="1830">
                  <c:v>5799024.0965568013</c:v>
                </c:pt>
                <c:pt idx="1831">
                  <c:v>5802192.9621833349</c:v>
                </c:pt>
                <c:pt idx="1832">
                  <c:v>5805361.8278098693</c:v>
                </c:pt>
                <c:pt idx="1833">
                  <c:v>5808530.6934364028</c:v>
                </c:pt>
                <c:pt idx="1834">
                  <c:v>5811699.5590629363</c:v>
                </c:pt>
                <c:pt idx="1835">
                  <c:v>5814868.4246894708</c:v>
                </c:pt>
                <c:pt idx="1836">
                  <c:v>5818037.2903160043</c:v>
                </c:pt>
                <c:pt idx="1837">
                  <c:v>5821206.1559425378</c:v>
                </c:pt>
                <c:pt idx="1838">
                  <c:v>5824375.0215690713</c:v>
                </c:pt>
                <c:pt idx="1839">
                  <c:v>5827543.8871956058</c:v>
                </c:pt>
                <c:pt idx="1840">
                  <c:v>5830712.7528221393</c:v>
                </c:pt>
                <c:pt idx="1841">
                  <c:v>5833881.6184486728</c:v>
                </c:pt>
                <c:pt idx="1842">
                  <c:v>5837050.4840752063</c:v>
                </c:pt>
                <c:pt idx="1843">
                  <c:v>5840219.3497017408</c:v>
                </c:pt>
                <c:pt idx="1844">
                  <c:v>5843388.2153282743</c:v>
                </c:pt>
                <c:pt idx="1845">
                  <c:v>5846557.0809548078</c:v>
                </c:pt>
                <c:pt idx="1846">
                  <c:v>5849725.9465813423</c:v>
                </c:pt>
                <c:pt idx="1847">
                  <c:v>5852894.8122078758</c:v>
                </c:pt>
                <c:pt idx="1848">
                  <c:v>5856063.6778344093</c:v>
                </c:pt>
                <c:pt idx="1849">
                  <c:v>5859232.5434609428</c:v>
                </c:pt>
                <c:pt idx="1850">
                  <c:v>5862401.4090874773</c:v>
                </c:pt>
                <c:pt idx="1851">
                  <c:v>5865570.2747140108</c:v>
                </c:pt>
                <c:pt idx="1852">
                  <c:v>5868739.1403405443</c:v>
                </c:pt>
                <c:pt idx="1853">
                  <c:v>5871908.0059670778</c:v>
                </c:pt>
                <c:pt idx="1854">
                  <c:v>5875076.8715936122</c:v>
                </c:pt>
                <c:pt idx="1855">
                  <c:v>5878245.7372201458</c:v>
                </c:pt>
                <c:pt idx="1856">
                  <c:v>5881414.6028466793</c:v>
                </c:pt>
                <c:pt idx="1857">
                  <c:v>5884583.4684732137</c:v>
                </c:pt>
                <c:pt idx="1858">
                  <c:v>5887752.3340997472</c:v>
                </c:pt>
                <c:pt idx="1859">
                  <c:v>5890921.1997262808</c:v>
                </c:pt>
                <c:pt idx="1860">
                  <c:v>5894090.0653528143</c:v>
                </c:pt>
                <c:pt idx="1861">
                  <c:v>5897258.9309793487</c:v>
                </c:pt>
                <c:pt idx="1862">
                  <c:v>5900427.7966058822</c:v>
                </c:pt>
                <c:pt idx="1863">
                  <c:v>5903596.6622324158</c:v>
                </c:pt>
                <c:pt idx="1864">
                  <c:v>5906765.5278589502</c:v>
                </c:pt>
                <c:pt idx="1865">
                  <c:v>5909934.3934854837</c:v>
                </c:pt>
                <c:pt idx="1866">
                  <c:v>5913103.2591120172</c:v>
                </c:pt>
                <c:pt idx="1867">
                  <c:v>5916272.1247385507</c:v>
                </c:pt>
                <c:pt idx="1868">
                  <c:v>5919440.9903650852</c:v>
                </c:pt>
                <c:pt idx="1869">
                  <c:v>5922609.8559916187</c:v>
                </c:pt>
                <c:pt idx="1870">
                  <c:v>5925778.7216181522</c:v>
                </c:pt>
                <c:pt idx="1871">
                  <c:v>5928947.5872446857</c:v>
                </c:pt>
                <c:pt idx="1872">
                  <c:v>5932116.4528712202</c:v>
                </c:pt>
                <c:pt idx="1873">
                  <c:v>5935285.3184977537</c:v>
                </c:pt>
                <c:pt idx="1874">
                  <c:v>5938454.1841242872</c:v>
                </c:pt>
                <c:pt idx="1875">
                  <c:v>5941623.0497508217</c:v>
                </c:pt>
                <c:pt idx="1876">
                  <c:v>5944791.9153773552</c:v>
                </c:pt>
                <c:pt idx="1877">
                  <c:v>5947960.7810038887</c:v>
                </c:pt>
                <c:pt idx="1878">
                  <c:v>5951129.6466304222</c:v>
                </c:pt>
                <c:pt idx="1879">
                  <c:v>5954298.5122569567</c:v>
                </c:pt>
                <c:pt idx="1880">
                  <c:v>5957467.3778834902</c:v>
                </c:pt>
                <c:pt idx="1881">
                  <c:v>5960636.2435100237</c:v>
                </c:pt>
                <c:pt idx="1882">
                  <c:v>5963805.1091365572</c:v>
                </c:pt>
                <c:pt idx="1883">
                  <c:v>5966973.9747630917</c:v>
                </c:pt>
                <c:pt idx="1884">
                  <c:v>5970142.8403896252</c:v>
                </c:pt>
                <c:pt idx="1885">
                  <c:v>5973311.7060161587</c:v>
                </c:pt>
                <c:pt idx="1886">
                  <c:v>5976480.5716426931</c:v>
                </c:pt>
                <c:pt idx="1887">
                  <c:v>5979649.4372692266</c:v>
                </c:pt>
                <c:pt idx="1888">
                  <c:v>5982818.3028957602</c:v>
                </c:pt>
                <c:pt idx="1889">
                  <c:v>5985987.1685222937</c:v>
                </c:pt>
                <c:pt idx="1890">
                  <c:v>5989156.0341488281</c:v>
                </c:pt>
                <c:pt idx="1891">
                  <c:v>5992324.8997753616</c:v>
                </c:pt>
                <c:pt idx="1892">
                  <c:v>5995493.7654018952</c:v>
                </c:pt>
                <c:pt idx="1893">
                  <c:v>5998662.6310284287</c:v>
                </c:pt>
                <c:pt idx="1894">
                  <c:v>6001831.4966549631</c:v>
                </c:pt>
                <c:pt idx="1895">
                  <c:v>6005000.3622814966</c:v>
                </c:pt>
                <c:pt idx="1896">
                  <c:v>6008169.2279080302</c:v>
                </c:pt>
                <c:pt idx="1897">
                  <c:v>6011338.0935345646</c:v>
                </c:pt>
                <c:pt idx="1898">
                  <c:v>6014506.9591610981</c:v>
                </c:pt>
                <c:pt idx="1899">
                  <c:v>6017675.8247876316</c:v>
                </c:pt>
                <c:pt idx="1900">
                  <c:v>6020844.6904141651</c:v>
                </c:pt>
                <c:pt idx="1901">
                  <c:v>6024013.5560406996</c:v>
                </c:pt>
                <c:pt idx="1902">
                  <c:v>6027182.4216672331</c:v>
                </c:pt>
                <c:pt idx="1903">
                  <c:v>6030351.2872937666</c:v>
                </c:pt>
                <c:pt idx="1904">
                  <c:v>6033520.1529203001</c:v>
                </c:pt>
                <c:pt idx="1905">
                  <c:v>6036689.0185468346</c:v>
                </c:pt>
                <c:pt idx="1906">
                  <c:v>6039857.8841733681</c:v>
                </c:pt>
                <c:pt idx="1907">
                  <c:v>6043026.7497999016</c:v>
                </c:pt>
                <c:pt idx="1908">
                  <c:v>6046195.6154264361</c:v>
                </c:pt>
                <c:pt idx="1909">
                  <c:v>6049364.4810529696</c:v>
                </c:pt>
                <c:pt idx="1910">
                  <c:v>6052533.3466795031</c:v>
                </c:pt>
                <c:pt idx="1911">
                  <c:v>6055702.2123060366</c:v>
                </c:pt>
                <c:pt idx="1912">
                  <c:v>6058871.0779325711</c:v>
                </c:pt>
                <c:pt idx="1913">
                  <c:v>6062039.9435591046</c:v>
                </c:pt>
                <c:pt idx="1914">
                  <c:v>6065208.8091856381</c:v>
                </c:pt>
                <c:pt idx="1915">
                  <c:v>6068377.6748121725</c:v>
                </c:pt>
                <c:pt idx="1916">
                  <c:v>6071546.5404387061</c:v>
                </c:pt>
                <c:pt idx="1917">
                  <c:v>6074715.4060652396</c:v>
                </c:pt>
                <c:pt idx="1918">
                  <c:v>6077884.2716917731</c:v>
                </c:pt>
                <c:pt idx="1919">
                  <c:v>6081053.1373183075</c:v>
                </c:pt>
                <c:pt idx="1920">
                  <c:v>6084222.002944841</c:v>
                </c:pt>
                <c:pt idx="1921">
                  <c:v>6087390.8685713746</c:v>
                </c:pt>
                <c:pt idx="1922">
                  <c:v>6090559.7341979081</c:v>
                </c:pt>
                <c:pt idx="1923">
                  <c:v>6093728.5998244425</c:v>
                </c:pt>
                <c:pt idx="1924">
                  <c:v>6096897.465450976</c:v>
                </c:pt>
                <c:pt idx="1925">
                  <c:v>6100066.3310775096</c:v>
                </c:pt>
                <c:pt idx="1926">
                  <c:v>6103235.196704044</c:v>
                </c:pt>
                <c:pt idx="1927">
                  <c:v>6106404.0623305775</c:v>
                </c:pt>
                <c:pt idx="1928">
                  <c:v>6109572.927957111</c:v>
                </c:pt>
                <c:pt idx="1929">
                  <c:v>6112741.7935836446</c:v>
                </c:pt>
                <c:pt idx="1930">
                  <c:v>6115910.659210179</c:v>
                </c:pt>
                <c:pt idx="1931">
                  <c:v>6119079.5248367125</c:v>
                </c:pt>
                <c:pt idx="1932">
                  <c:v>6122248.390463246</c:v>
                </c:pt>
                <c:pt idx="1933">
                  <c:v>6125417.2560897795</c:v>
                </c:pt>
                <c:pt idx="1934">
                  <c:v>6128586.121716314</c:v>
                </c:pt>
                <c:pt idx="1935">
                  <c:v>6131754.9873428475</c:v>
                </c:pt>
                <c:pt idx="1936">
                  <c:v>6134923.852969381</c:v>
                </c:pt>
                <c:pt idx="1937">
                  <c:v>6138092.7185959155</c:v>
                </c:pt>
                <c:pt idx="1938">
                  <c:v>6141261.584222449</c:v>
                </c:pt>
                <c:pt idx="1939">
                  <c:v>6144430.4498489825</c:v>
                </c:pt>
                <c:pt idx="1940">
                  <c:v>6147599.315475516</c:v>
                </c:pt>
                <c:pt idx="1941">
                  <c:v>6150768.1811020505</c:v>
                </c:pt>
                <c:pt idx="1942">
                  <c:v>6153937.046728584</c:v>
                </c:pt>
                <c:pt idx="1943">
                  <c:v>6157105.9123551175</c:v>
                </c:pt>
                <c:pt idx="1944">
                  <c:v>6160274.777981651</c:v>
                </c:pt>
                <c:pt idx="1945">
                  <c:v>6163443.6436081855</c:v>
                </c:pt>
                <c:pt idx="1946">
                  <c:v>6166612.509234719</c:v>
                </c:pt>
                <c:pt idx="1947">
                  <c:v>6169781.3748612525</c:v>
                </c:pt>
                <c:pt idx="1948">
                  <c:v>6172950.2404877869</c:v>
                </c:pt>
                <c:pt idx="1949">
                  <c:v>6176119.1061143205</c:v>
                </c:pt>
                <c:pt idx="1950">
                  <c:v>6179287.971740854</c:v>
                </c:pt>
                <c:pt idx="1951">
                  <c:v>6182456.8373673875</c:v>
                </c:pt>
                <c:pt idx="1952">
                  <c:v>6185625.7029939219</c:v>
                </c:pt>
                <c:pt idx="1953">
                  <c:v>6188794.5686204555</c:v>
                </c:pt>
                <c:pt idx="1954">
                  <c:v>6191963.434246989</c:v>
                </c:pt>
                <c:pt idx="1955">
                  <c:v>6195132.2998735225</c:v>
                </c:pt>
                <c:pt idx="1956">
                  <c:v>6198301.1655000569</c:v>
                </c:pt>
                <c:pt idx="1957">
                  <c:v>6201470.0311265904</c:v>
                </c:pt>
                <c:pt idx="1958">
                  <c:v>6204638.896753124</c:v>
                </c:pt>
                <c:pt idx="1959">
                  <c:v>6207807.7623796584</c:v>
                </c:pt>
                <c:pt idx="1960">
                  <c:v>6210976.6280061919</c:v>
                </c:pt>
                <c:pt idx="1961">
                  <c:v>6214145.4936327254</c:v>
                </c:pt>
                <c:pt idx="1962">
                  <c:v>6217314.359259259</c:v>
                </c:pt>
                <c:pt idx="1963">
                  <c:v>6220483.2248857934</c:v>
                </c:pt>
                <c:pt idx="1964">
                  <c:v>6223652.0905123269</c:v>
                </c:pt>
                <c:pt idx="1965">
                  <c:v>6226820.9561388604</c:v>
                </c:pt>
                <c:pt idx="1966">
                  <c:v>6229989.821765394</c:v>
                </c:pt>
                <c:pt idx="1967">
                  <c:v>6233158.6873919284</c:v>
                </c:pt>
                <c:pt idx="1968">
                  <c:v>6236327.5530184619</c:v>
                </c:pt>
                <c:pt idx="1969">
                  <c:v>6239496.4186449954</c:v>
                </c:pt>
                <c:pt idx="1970">
                  <c:v>6242665.2842715299</c:v>
                </c:pt>
                <c:pt idx="1971">
                  <c:v>6245834.1498980634</c:v>
                </c:pt>
                <c:pt idx="1972">
                  <c:v>6249003.0155245969</c:v>
                </c:pt>
                <c:pt idx="1973">
                  <c:v>6252171.8811511304</c:v>
                </c:pt>
                <c:pt idx="1974">
                  <c:v>6255340.7467776649</c:v>
                </c:pt>
                <c:pt idx="1975">
                  <c:v>6258509.6124041984</c:v>
                </c:pt>
                <c:pt idx="1976">
                  <c:v>6261678.4780307319</c:v>
                </c:pt>
                <c:pt idx="1977">
                  <c:v>6264847.3436572663</c:v>
                </c:pt>
                <c:pt idx="1978">
                  <c:v>6268016.2092837999</c:v>
                </c:pt>
                <c:pt idx="1979">
                  <c:v>6271185.0749103334</c:v>
                </c:pt>
                <c:pt idx="1980">
                  <c:v>6274353.9405368669</c:v>
                </c:pt>
                <c:pt idx="1981">
                  <c:v>6277522.8061634013</c:v>
                </c:pt>
                <c:pt idx="1982">
                  <c:v>6280691.6717899349</c:v>
                </c:pt>
                <c:pt idx="1983">
                  <c:v>6283860.5374164684</c:v>
                </c:pt>
                <c:pt idx="1984">
                  <c:v>6287029.4030430019</c:v>
                </c:pt>
                <c:pt idx="1985">
                  <c:v>6290198.2686695363</c:v>
                </c:pt>
                <c:pt idx="1986">
                  <c:v>6293367.1342960699</c:v>
                </c:pt>
                <c:pt idx="1987">
                  <c:v>6296535.9999226034</c:v>
                </c:pt>
                <c:pt idx="1988">
                  <c:v>6299704.8655491378</c:v>
                </c:pt>
                <c:pt idx="1989">
                  <c:v>6302873.7311756713</c:v>
                </c:pt>
                <c:pt idx="1990">
                  <c:v>6306042.5968022048</c:v>
                </c:pt>
                <c:pt idx="1991">
                  <c:v>6309211.4624287384</c:v>
                </c:pt>
                <c:pt idx="1992">
                  <c:v>6312380.3280552728</c:v>
                </c:pt>
                <c:pt idx="1993">
                  <c:v>6315549.1936818063</c:v>
                </c:pt>
                <c:pt idx="1994">
                  <c:v>6318718.0593083398</c:v>
                </c:pt>
                <c:pt idx="1995">
                  <c:v>6321886.9249348734</c:v>
                </c:pt>
                <c:pt idx="1996">
                  <c:v>6325055.7905614078</c:v>
                </c:pt>
                <c:pt idx="1997">
                  <c:v>6328224.6561879413</c:v>
                </c:pt>
                <c:pt idx="1998">
                  <c:v>6331393.5218144748</c:v>
                </c:pt>
                <c:pt idx="1999">
                  <c:v>6334562.3874410093</c:v>
                </c:pt>
                <c:pt idx="2000">
                  <c:v>6337731.2530675428</c:v>
                </c:pt>
                <c:pt idx="2001">
                  <c:v>6340900.1186940763</c:v>
                </c:pt>
                <c:pt idx="2002">
                  <c:v>6344068.9843206098</c:v>
                </c:pt>
                <c:pt idx="2003">
                  <c:v>6347237.8499471443</c:v>
                </c:pt>
                <c:pt idx="2004">
                  <c:v>6350406.7155736778</c:v>
                </c:pt>
                <c:pt idx="2005">
                  <c:v>6353575.5812002113</c:v>
                </c:pt>
                <c:pt idx="2006">
                  <c:v>6356744.4468267448</c:v>
                </c:pt>
                <c:pt idx="2007">
                  <c:v>6359913.3124532793</c:v>
                </c:pt>
                <c:pt idx="2008">
                  <c:v>6363082.1780798128</c:v>
                </c:pt>
                <c:pt idx="2009">
                  <c:v>6366251.0437063463</c:v>
                </c:pt>
                <c:pt idx="2010">
                  <c:v>6369419.9093328808</c:v>
                </c:pt>
                <c:pt idx="2011">
                  <c:v>6372588.7749594143</c:v>
                </c:pt>
                <c:pt idx="2012">
                  <c:v>6375757.6405859478</c:v>
                </c:pt>
                <c:pt idx="2013">
                  <c:v>6378926.5062124813</c:v>
                </c:pt>
                <c:pt idx="2014">
                  <c:v>6382095.3718390157</c:v>
                </c:pt>
                <c:pt idx="2015">
                  <c:v>6385264.2374655493</c:v>
                </c:pt>
                <c:pt idx="2016">
                  <c:v>6388433.1030920828</c:v>
                </c:pt>
                <c:pt idx="2017">
                  <c:v>6391601.9687186163</c:v>
                </c:pt>
                <c:pt idx="2018">
                  <c:v>6394770.8343451507</c:v>
                </c:pt>
                <c:pt idx="2019">
                  <c:v>6397939.6999716843</c:v>
                </c:pt>
                <c:pt idx="2020">
                  <c:v>6401108.5655982178</c:v>
                </c:pt>
                <c:pt idx="2021">
                  <c:v>6404277.4312247522</c:v>
                </c:pt>
                <c:pt idx="2022">
                  <c:v>6407446.2968512857</c:v>
                </c:pt>
                <c:pt idx="2023">
                  <c:v>6410615.1624778192</c:v>
                </c:pt>
                <c:pt idx="2024">
                  <c:v>6413784.0281043528</c:v>
                </c:pt>
                <c:pt idx="2025">
                  <c:v>6416952.8937308872</c:v>
                </c:pt>
                <c:pt idx="2026">
                  <c:v>6420121.7593574207</c:v>
                </c:pt>
                <c:pt idx="2027">
                  <c:v>6423290.6249839542</c:v>
                </c:pt>
                <c:pt idx="2028">
                  <c:v>6426459.4906104887</c:v>
                </c:pt>
                <c:pt idx="2029">
                  <c:v>6429628.3562370222</c:v>
                </c:pt>
                <c:pt idx="2030">
                  <c:v>6432797.2218635557</c:v>
                </c:pt>
                <c:pt idx="2031">
                  <c:v>6435966.0874900892</c:v>
                </c:pt>
                <c:pt idx="2032">
                  <c:v>6439134.9531166237</c:v>
                </c:pt>
                <c:pt idx="2033">
                  <c:v>6442303.8187431572</c:v>
                </c:pt>
                <c:pt idx="2034">
                  <c:v>6445472.6843696907</c:v>
                </c:pt>
                <c:pt idx="2035">
                  <c:v>6448641.5499962242</c:v>
                </c:pt>
                <c:pt idx="2036">
                  <c:v>6451810.4156227587</c:v>
                </c:pt>
                <c:pt idx="2037">
                  <c:v>6454979.2812492922</c:v>
                </c:pt>
                <c:pt idx="2038">
                  <c:v>6458148.1468758257</c:v>
                </c:pt>
                <c:pt idx="2039">
                  <c:v>6461317.0125023602</c:v>
                </c:pt>
                <c:pt idx="2040">
                  <c:v>6464485.8781288937</c:v>
                </c:pt>
                <c:pt idx="2041">
                  <c:v>6467654.7437554272</c:v>
                </c:pt>
                <c:pt idx="2042">
                  <c:v>6470823.6093819607</c:v>
                </c:pt>
                <c:pt idx="2043">
                  <c:v>6473992.4750084952</c:v>
                </c:pt>
                <c:pt idx="2044">
                  <c:v>6477161.3406350287</c:v>
                </c:pt>
                <c:pt idx="2045">
                  <c:v>6480330.2062615622</c:v>
                </c:pt>
                <c:pt idx="2046">
                  <c:v>6483499.0718880957</c:v>
                </c:pt>
                <c:pt idx="2047">
                  <c:v>6486667.9375146301</c:v>
                </c:pt>
                <c:pt idx="2048">
                  <c:v>6489836.8031411637</c:v>
                </c:pt>
                <c:pt idx="2049">
                  <c:v>6493005.6687676972</c:v>
                </c:pt>
                <c:pt idx="2050">
                  <c:v>6496174.5343942316</c:v>
                </c:pt>
                <c:pt idx="2051">
                  <c:v>6499343.4000207651</c:v>
                </c:pt>
                <c:pt idx="2052">
                  <c:v>6502512.2656472987</c:v>
                </c:pt>
                <c:pt idx="2053">
                  <c:v>6505681.1312738322</c:v>
                </c:pt>
                <c:pt idx="2054">
                  <c:v>6508849.9969003666</c:v>
                </c:pt>
                <c:pt idx="2055">
                  <c:v>6512018.8625269001</c:v>
                </c:pt>
                <c:pt idx="2056">
                  <c:v>6515187.7281534337</c:v>
                </c:pt>
                <c:pt idx="2057">
                  <c:v>6518356.5937799672</c:v>
                </c:pt>
                <c:pt idx="2058">
                  <c:v>6521525.4594065016</c:v>
                </c:pt>
                <c:pt idx="2059">
                  <c:v>6524694.3250330351</c:v>
                </c:pt>
                <c:pt idx="2060">
                  <c:v>6527863.1906595686</c:v>
                </c:pt>
                <c:pt idx="2061">
                  <c:v>6531032.0562861031</c:v>
                </c:pt>
                <c:pt idx="2062">
                  <c:v>6534200.9219126366</c:v>
                </c:pt>
                <c:pt idx="2063">
                  <c:v>6537369.7875391701</c:v>
                </c:pt>
                <c:pt idx="2064">
                  <c:v>6540538.6531657036</c:v>
                </c:pt>
                <c:pt idx="2065">
                  <c:v>6543707.5187922381</c:v>
                </c:pt>
                <c:pt idx="2066">
                  <c:v>6546876.3844187716</c:v>
                </c:pt>
                <c:pt idx="2067">
                  <c:v>6550045.2500453051</c:v>
                </c:pt>
                <c:pt idx="2068">
                  <c:v>6553214.1156718386</c:v>
                </c:pt>
                <c:pt idx="2069">
                  <c:v>6556382.9812983731</c:v>
                </c:pt>
                <c:pt idx="2070">
                  <c:v>6559551.8469249066</c:v>
                </c:pt>
                <c:pt idx="2071">
                  <c:v>6562720.7125514401</c:v>
                </c:pt>
                <c:pt idx="2072">
                  <c:v>6565889.5781779746</c:v>
                </c:pt>
                <c:pt idx="2073">
                  <c:v>6569058.4438045081</c:v>
                </c:pt>
                <c:pt idx="2074">
                  <c:v>6572227.3094310416</c:v>
                </c:pt>
                <c:pt idx="2075">
                  <c:v>6575396.1750575751</c:v>
                </c:pt>
                <c:pt idx="2076">
                  <c:v>6578565.0406841096</c:v>
                </c:pt>
                <c:pt idx="2077">
                  <c:v>6581733.9063106431</c:v>
                </c:pt>
                <c:pt idx="2078">
                  <c:v>6584902.7719371766</c:v>
                </c:pt>
                <c:pt idx="2079">
                  <c:v>6588071.637563711</c:v>
                </c:pt>
                <c:pt idx="2080">
                  <c:v>6591240.5031902445</c:v>
                </c:pt>
                <c:pt idx="2081">
                  <c:v>6594409.3688167781</c:v>
                </c:pt>
                <c:pt idx="2082">
                  <c:v>6597578.2344433116</c:v>
                </c:pt>
                <c:pt idx="2083">
                  <c:v>6600747.100069846</c:v>
                </c:pt>
                <c:pt idx="2084">
                  <c:v>6603915.9656963795</c:v>
                </c:pt>
                <c:pt idx="2085">
                  <c:v>6607084.8313229131</c:v>
                </c:pt>
                <c:pt idx="2086">
                  <c:v>6610253.6969494466</c:v>
                </c:pt>
                <c:pt idx="2087">
                  <c:v>6613422.562575981</c:v>
                </c:pt>
                <c:pt idx="2088">
                  <c:v>6616591.4282025145</c:v>
                </c:pt>
                <c:pt idx="2089">
                  <c:v>6619760.2938290481</c:v>
                </c:pt>
                <c:pt idx="2090">
                  <c:v>6622929.1594555825</c:v>
                </c:pt>
                <c:pt idx="2091">
                  <c:v>6626098.025082116</c:v>
                </c:pt>
                <c:pt idx="2092">
                  <c:v>6629266.8907086495</c:v>
                </c:pt>
                <c:pt idx="2093">
                  <c:v>6632435.756335183</c:v>
                </c:pt>
                <c:pt idx="2094">
                  <c:v>6635604.6219617175</c:v>
                </c:pt>
                <c:pt idx="2095">
                  <c:v>6638773.487588251</c:v>
                </c:pt>
                <c:pt idx="2096">
                  <c:v>6641942.3532147845</c:v>
                </c:pt>
                <c:pt idx="2097">
                  <c:v>6645111.218841318</c:v>
                </c:pt>
                <c:pt idx="2098">
                  <c:v>6648280.0844678525</c:v>
                </c:pt>
                <c:pt idx="2099">
                  <c:v>6651448.950094386</c:v>
                </c:pt>
                <c:pt idx="2100">
                  <c:v>6654617.8157209195</c:v>
                </c:pt>
                <c:pt idx="2101">
                  <c:v>6657786.681347454</c:v>
                </c:pt>
                <c:pt idx="2102">
                  <c:v>6660955.5469739875</c:v>
                </c:pt>
                <c:pt idx="2103">
                  <c:v>6664124.412600521</c:v>
                </c:pt>
                <c:pt idx="2104">
                  <c:v>6667293.2782270545</c:v>
                </c:pt>
                <c:pt idx="2105">
                  <c:v>6670462.143853589</c:v>
                </c:pt>
                <c:pt idx="2106">
                  <c:v>6673631.0094801225</c:v>
                </c:pt>
                <c:pt idx="2107">
                  <c:v>6676799.875106656</c:v>
                </c:pt>
                <c:pt idx="2108">
                  <c:v>6679968.7407331895</c:v>
                </c:pt>
                <c:pt idx="2109">
                  <c:v>6683137.606359724</c:v>
                </c:pt>
                <c:pt idx="2110">
                  <c:v>6686306.4719862575</c:v>
                </c:pt>
                <c:pt idx="2111">
                  <c:v>6689475.337612791</c:v>
                </c:pt>
                <c:pt idx="2112">
                  <c:v>6692644.2032393254</c:v>
                </c:pt>
                <c:pt idx="2113">
                  <c:v>6695813.0688658589</c:v>
                </c:pt>
                <c:pt idx="2114">
                  <c:v>6698981.9344923925</c:v>
                </c:pt>
                <c:pt idx="2115">
                  <c:v>6702150.800118926</c:v>
                </c:pt>
                <c:pt idx="2116">
                  <c:v>6705319.6657454604</c:v>
                </c:pt>
                <c:pt idx="2117">
                  <c:v>6708488.5313719939</c:v>
                </c:pt>
                <c:pt idx="2118">
                  <c:v>6711657.3969985275</c:v>
                </c:pt>
                <c:pt idx="2119">
                  <c:v>6714826.262625061</c:v>
                </c:pt>
                <c:pt idx="2120">
                  <c:v>6717995.1282515954</c:v>
                </c:pt>
                <c:pt idx="2121">
                  <c:v>6721163.9938781289</c:v>
                </c:pt>
                <c:pt idx="2122">
                  <c:v>6724332.8595046625</c:v>
                </c:pt>
                <c:pt idx="2123">
                  <c:v>6727501.7251311969</c:v>
                </c:pt>
                <c:pt idx="2124">
                  <c:v>6730670.5907577304</c:v>
                </c:pt>
                <c:pt idx="2125">
                  <c:v>6733839.4563842639</c:v>
                </c:pt>
                <c:pt idx="2126">
                  <c:v>6737008.3220107974</c:v>
                </c:pt>
                <c:pt idx="2127">
                  <c:v>6740177.1876373319</c:v>
                </c:pt>
                <c:pt idx="2128">
                  <c:v>6743346.0532638654</c:v>
                </c:pt>
                <c:pt idx="2129">
                  <c:v>6746514.9188903989</c:v>
                </c:pt>
                <c:pt idx="2130">
                  <c:v>6749683.7845169334</c:v>
                </c:pt>
                <c:pt idx="2131">
                  <c:v>6752852.6501434669</c:v>
                </c:pt>
                <c:pt idx="2132">
                  <c:v>6756021.5157700004</c:v>
                </c:pt>
                <c:pt idx="2133">
                  <c:v>6759190.3813965339</c:v>
                </c:pt>
                <c:pt idx="2134">
                  <c:v>6762359.2470230684</c:v>
                </c:pt>
                <c:pt idx="2135">
                  <c:v>6765528.1126496019</c:v>
                </c:pt>
                <c:pt idx="2136">
                  <c:v>6768696.9782761354</c:v>
                </c:pt>
                <c:pt idx="2137">
                  <c:v>6771865.8439026689</c:v>
                </c:pt>
                <c:pt idx="2138">
                  <c:v>6775034.7095292034</c:v>
                </c:pt>
                <c:pt idx="2139">
                  <c:v>6778203.5751557369</c:v>
                </c:pt>
                <c:pt idx="2140">
                  <c:v>6781372.4407822704</c:v>
                </c:pt>
                <c:pt idx="2141">
                  <c:v>6784541.3064088048</c:v>
                </c:pt>
                <c:pt idx="2142">
                  <c:v>6787710.1720353384</c:v>
                </c:pt>
                <c:pt idx="2143">
                  <c:v>6790879.0376618719</c:v>
                </c:pt>
                <c:pt idx="2144">
                  <c:v>6794047.9032884054</c:v>
                </c:pt>
                <c:pt idx="2145">
                  <c:v>6797216.7689149398</c:v>
                </c:pt>
                <c:pt idx="2146">
                  <c:v>6800385.6345414734</c:v>
                </c:pt>
                <c:pt idx="2147">
                  <c:v>6803554.5001680069</c:v>
                </c:pt>
                <c:pt idx="2148">
                  <c:v>6806723.3657945404</c:v>
                </c:pt>
                <c:pt idx="2149">
                  <c:v>6809892.2314210748</c:v>
                </c:pt>
                <c:pt idx="2150">
                  <c:v>6813061.0970476083</c:v>
                </c:pt>
                <c:pt idx="2151">
                  <c:v>6816229.9626741419</c:v>
                </c:pt>
                <c:pt idx="2152">
                  <c:v>6819398.8283006763</c:v>
                </c:pt>
                <c:pt idx="2153">
                  <c:v>6822567.6939272098</c:v>
                </c:pt>
                <c:pt idx="2154">
                  <c:v>6825736.5595537433</c:v>
                </c:pt>
                <c:pt idx="2155">
                  <c:v>6828905.4251802769</c:v>
                </c:pt>
                <c:pt idx="2156">
                  <c:v>6832074.2908068113</c:v>
                </c:pt>
                <c:pt idx="2157">
                  <c:v>6835243.1564333448</c:v>
                </c:pt>
                <c:pt idx="2158">
                  <c:v>6838412.0220598783</c:v>
                </c:pt>
                <c:pt idx="2159">
                  <c:v>6841580.8876864119</c:v>
                </c:pt>
                <c:pt idx="2160">
                  <c:v>6844749.7533129463</c:v>
                </c:pt>
                <c:pt idx="2161">
                  <c:v>6847918.6189394798</c:v>
                </c:pt>
                <c:pt idx="2162">
                  <c:v>6851087.4845660133</c:v>
                </c:pt>
                <c:pt idx="2163">
                  <c:v>6854256.3501925478</c:v>
                </c:pt>
                <c:pt idx="2164">
                  <c:v>6857425.2158190813</c:v>
                </c:pt>
                <c:pt idx="2165">
                  <c:v>6860594.0814456148</c:v>
                </c:pt>
                <c:pt idx="2166">
                  <c:v>6863762.9470721483</c:v>
                </c:pt>
                <c:pt idx="2167">
                  <c:v>6866931.8126986828</c:v>
                </c:pt>
                <c:pt idx="2168">
                  <c:v>6870100.6783252163</c:v>
                </c:pt>
                <c:pt idx="2169">
                  <c:v>6873269.5439517498</c:v>
                </c:pt>
                <c:pt idx="2170">
                  <c:v>6876438.4095782833</c:v>
                </c:pt>
                <c:pt idx="2171">
                  <c:v>6879607.2752048178</c:v>
                </c:pt>
                <c:pt idx="2172">
                  <c:v>6882776.1408313513</c:v>
                </c:pt>
                <c:pt idx="2173">
                  <c:v>6885945.0064578848</c:v>
                </c:pt>
                <c:pt idx="2174">
                  <c:v>6889113.8720844192</c:v>
                </c:pt>
                <c:pt idx="2175">
                  <c:v>6892282.7377109528</c:v>
                </c:pt>
                <c:pt idx="2176">
                  <c:v>6895451.6033374863</c:v>
                </c:pt>
                <c:pt idx="2177">
                  <c:v>6898620.4689640198</c:v>
                </c:pt>
                <c:pt idx="2178">
                  <c:v>6901789.3345905542</c:v>
                </c:pt>
                <c:pt idx="2179">
                  <c:v>6904958.2002170878</c:v>
                </c:pt>
                <c:pt idx="2180">
                  <c:v>6908127.0658436213</c:v>
                </c:pt>
                <c:pt idx="2181">
                  <c:v>6911295.9314701548</c:v>
                </c:pt>
                <c:pt idx="2182">
                  <c:v>6914464.7970966892</c:v>
                </c:pt>
                <c:pt idx="2183">
                  <c:v>6917633.6627232227</c:v>
                </c:pt>
                <c:pt idx="2184">
                  <c:v>6920802.5283497563</c:v>
                </c:pt>
                <c:pt idx="2185">
                  <c:v>6923971.3939762907</c:v>
                </c:pt>
                <c:pt idx="2186">
                  <c:v>6927140.2596028242</c:v>
                </c:pt>
                <c:pt idx="2187">
                  <c:v>6930309.1252293577</c:v>
                </c:pt>
                <c:pt idx="2188">
                  <c:v>6933477.9908558913</c:v>
                </c:pt>
                <c:pt idx="2189">
                  <c:v>6936646.8564824257</c:v>
                </c:pt>
                <c:pt idx="2190">
                  <c:v>6939815.7221089592</c:v>
                </c:pt>
                <c:pt idx="2191">
                  <c:v>6942984.5877354927</c:v>
                </c:pt>
                <c:pt idx="2192">
                  <c:v>6946153.4533620272</c:v>
                </c:pt>
                <c:pt idx="2193">
                  <c:v>6949322.3189885607</c:v>
                </c:pt>
                <c:pt idx="2194">
                  <c:v>6952491.1846150942</c:v>
                </c:pt>
                <c:pt idx="2195">
                  <c:v>6955660.0502416277</c:v>
                </c:pt>
                <c:pt idx="2196">
                  <c:v>6958828.9158681622</c:v>
                </c:pt>
                <c:pt idx="2197">
                  <c:v>6961997.7814946957</c:v>
                </c:pt>
                <c:pt idx="2198">
                  <c:v>6965166.6471212292</c:v>
                </c:pt>
                <c:pt idx="2199">
                  <c:v>6968335.5127477627</c:v>
                </c:pt>
                <c:pt idx="2200">
                  <c:v>6971504.3783742972</c:v>
                </c:pt>
                <c:pt idx="2201">
                  <c:v>6974673.2440008307</c:v>
                </c:pt>
                <c:pt idx="2202">
                  <c:v>6977842.1096273642</c:v>
                </c:pt>
                <c:pt idx="2203">
                  <c:v>6981010.9752538987</c:v>
                </c:pt>
                <c:pt idx="2204">
                  <c:v>6984179.8408804322</c:v>
                </c:pt>
                <c:pt idx="2205">
                  <c:v>6987348.7065069657</c:v>
                </c:pt>
                <c:pt idx="2206">
                  <c:v>6990517.5721334992</c:v>
                </c:pt>
                <c:pt idx="2207">
                  <c:v>6993686.4377600336</c:v>
                </c:pt>
                <c:pt idx="2208">
                  <c:v>6996855.3033865672</c:v>
                </c:pt>
                <c:pt idx="2209">
                  <c:v>7000024.1690131007</c:v>
                </c:pt>
                <c:pt idx="2210">
                  <c:v>7003193.0346396342</c:v>
                </c:pt>
                <c:pt idx="2211">
                  <c:v>7006361.9002661686</c:v>
                </c:pt>
                <c:pt idx="2212">
                  <c:v>7009530.7658927022</c:v>
                </c:pt>
                <c:pt idx="2213">
                  <c:v>7012699.6315192357</c:v>
                </c:pt>
                <c:pt idx="2214">
                  <c:v>7015868.4971457701</c:v>
                </c:pt>
                <c:pt idx="2215">
                  <c:v>7019037.3627723036</c:v>
                </c:pt>
                <c:pt idx="2216">
                  <c:v>7022206.2283988371</c:v>
                </c:pt>
                <c:pt idx="2217">
                  <c:v>7025375.0940253707</c:v>
                </c:pt>
                <c:pt idx="2218">
                  <c:v>7028543.9596519051</c:v>
                </c:pt>
                <c:pt idx="2219">
                  <c:v>7031712.8252784386</c:v>
                </c:pt>
                <c:pt idx="2220">
                  <c:v>7034881.6909049721</c:v>
                </c:pt>
                <c:pt idx="2221">
                  <c:v>7038050.5565315057</c:v>
                </c:pt>
                <c:pt idx="2222">
                  <c:v>7041219.4221580401</c:v>
                </c:pt>
                <c:pt idx="2223">
                  <c:v>7044388.2877845736</c:v>
                </c:pt>
                <c:pt idx="2224">
                  <c:v>7047557.1534111071</c:v>
                </c:pt>
                <c:pt idx="2225">
                  <c:v>7050726.0190376416</c:v>
                </c:pt>
                <c:pt idx="2226">
                  <c:v>7053894.8846641751</c:v>
                </c:pt>
                <c:pt idx="2227">
                  <c:v>7057063.7502907086</c:v>
                </c:pt>
                <c:pt idx="2228">
                  <c:v>7060232.6159172421</c:v>
                </c:pt>
                <c:pt idx="2229">
                  <c:v>7063401.4815437766</c:v>
                </c:pt>
                <c:pt idx="2230">
                  <c:v>7066570.3471703101</c:v>
                </c:pt>
                <c:pt idx="2231">
                  <c:v>7069739.2127968436</c:v>
                </c:pt>
                <c:pt idx="2232">
                  <c:v>7072908.0784233771</c:v>
                </c:pt>
                <c:pt idx="2233">
                  <c:v>7076076.9440499116</c:v>
                </c:pt>
                <c:pt idx="2234">
                  <c:v>7079245.8096764451</c:v>
                </c:pt>
                <c:pt idx="2235">
                  <c:v>7082414.6753029786</c:v>
                </c:pt>
                <c:pt idx="2236">
                  <c:v>7085583.5409295131</c:v>
                </c:pt>
                <c:pt idx="2237">
                  <c:v>7088752.4065560466</c:v>
                </c:pt>
                <c:pt idx="2238">
                  <c:v>7091921.2721825801</c:v>
                </c:pt>
                <c:pt idx="2239">
                  <c:v>7095090.1378091136</c:v>
                </c:pt>
                <c:pt idx="2240">
                  <c:v>7098259.003435648</c:v>
                </c:pt>
                <c:pt idx="2241">
                  <c:v>7101427.8690621816</c:v>
                </c:pt>
                <c:pt idx="2242">
                  <c:v>7104596.7346887151</c:v>
                </c:pt>
                <c:pt idx="2243">
                  <c:v>7107765.6003152495</c:v>
                </c:pt>
                <c:pt idx="2244">
                  <c:v>7110934.465941783</c:v>
                </c:pt>
                <c:pt idx="2245">
                  <c:v>7114103.3315683166</c:v>
                </c:pt>
                <c:pt idx="2246">
                  <c:v>7117272.1971948501</c:v>
                </c:pt>
                <c:pt idx="2247">
                  <c:v>7120441.0628213845</c:v>
                </c:pt>
                <c:pt idx="2248">
                  <c:v>7123609.928447918</c:v>
                </c:pt>
                <c:pt idx="2249">
                  <c:v>7126778.7940744516</c:v>
                </c:pt>
                <c:pt idx="2250">
                  <c:v>7129947.6597009851</c:v>
                </c:pt>
                <c:pt idx="2251">
                  <c:v>7133116.5253275195</c:v>
                </c:pt>
                <c:pt idx="2252">
                  <c:v>7136285.390954053</c:v>
                </c:pt>
                <c:pt idx="2253">
                  <c:v>7139454.2565805865</c:v>
                </c:pt>
                <c:pt idx="2254">
                  <c:v>7142623.122207121</c:v>
                </c:pt>
                <c:pt idx="2255">
                  <c:v>7145791.9878336545</c:v>
                </c:pt>
                <c:pt idx="2256">
                  <c:v>7148960.853460188</c:v>
                </c:pt>
                <c:pt idx="2257">
                  <c:v>7152129.7190867215</c:v>
                </c:pt>
                <c:pt idx="2258">
                  <c:v>7155298.584713256</c:v>
                </c:pt>
                <c:pt idx="2259">
                  <c:v>7158467.4503397895</c:v>
                </c:pt>
                <c:pt idx="2260">
                  <c:v>7161636.315966323</c:v>
                </c:pt>
                <c:pt idx="2261">
                  <c:v>7164805.1815928565</c:v>
                </c:pt>
                <c:pt idx="2262">
                  <c:v>7167974.047219391</c:v>
                </c:pt>
                <c:pt idx="2263">
                  <c:v>7171142.9128459245</c:v>
                </c:pt>
                <c:pt idx="2264">
                  <c:v>7174311.778472458</c:v>
                </c:pt>
                <c:pt idx="2265">
                  <c:v>7177480.6440989925</c:v>
                </c:pt>
                <c:pt idx="2266">
                  <c:v>7180649.509725526</c:v>
                </c:pt>
                <c:pt idx="2267">
                  <c:v>7183818.3753520595</c:v>
                </c:pt>
                <c:pt idx="2268">
                  <c:v>7186987.240978593</c:v>
                </c:pt>
                <c:pt idx="2269">
                  <c:v>7190156.1066051275</c:v>
                </c:pt>
                <c:pt idx="2270">
                  <c:v>7193324.972231661</c:v>
                </c:pt>
                <c:pt idx="2271">
                  <c:v>7196493.8378581945</c:v>
                </c:pt>
                <c:pt idx="2272">
                  <c:v>7199662.703484728</c:v>
                </c:pt>
                <c:pt idx="2273">
                  <c:v>7202831.5691112624</c:v>
                </c:pt>
                <c:pt idx="2274">
                  <c:v>7206000.434737796</c:v>
                </c:pt>
                <c:pt idx="2275">
                  <c:v>7209169.3003643295</c:v>
                </c:pt>
                <c:pt idx="2276">
                  <c:v>7212338.1659908639</c:v>
                </c:pt>
                <c:pt idx="2277">
                  <c:v>7215507.0316173974</c:v>
                </c:pt>
                <c:pt idx="2278">
                  <c:v>7218675.897243931</c:v>
                </c:pt>
                <c:pt idx="2279">
                  <c:v>7221844.7628704645</c:v>
                </c:pt>
                <c:pt idx="2280">
                  <c:v>7225013.6284969989</c:v>
                </c:pt>
                <c:pt idx="2281">
                  <c:v>7228182.4941235324</c:v>
                </c:pt>
                <c:pt idx="2282">
                  <c:v>7231351.359750066</c:v>
                </c:pt>
                <c:pt idx="2283">
                  <c:v>7234520.2253765995</c:v>
                </c:pt>
                <c:pt idx="2284">
                  <c:v>7237689.0910031339</c:v>
                </c:pt>
                <c:pt idx="2285">
                  <c:v>7240857.9566296674</c:v>
                </c:pt>
                <c:pt idx="2286">
                  <c:v>7244026.8222562009</c:v>
                </c:pt>
                <c:pt idx="2287">
                  <c:v>7247195.6878827354</c:v>
                </c:pt>
                <c:pt idx="2288">
                  <c:v>7250364.5535092689</c:v>
                </c:pt>
                <c:pt idx="2289">
                  <c:v>7253533.4191358024</c:v>
                </c:pt>
                <c:pt idx="2290">
                  <c:v>7256702.2847623359</c:v>
                </c:pt>
                <c:pt idx="2291">
                  <c:v>7259871.1503888704</c:v>
                </c:pt>
                <c:pt idx="2292">
                  <c:v>7263040.0160154039</c:v>
                </c:pt>
                <c:pt idx="2293">
                  <c:v>7266208.8816419374</c:v>
                </c:pt>
                <c:pt idx="2294">
                  <c:v>7269377.7472684719</c:v>
                </c:pt>
                <c:pt idx="2295">
                  <c:v>7272546.6128950054</c:v>
                </c:pt>
                <c:pt idx="2296">
                  <c:v>7275715.4785215389</c:v>
                </c:pt>
                <c:pt idx="2297">
                  <c:v>7278884.3441480724</c:v>
                </c:pt>
                <c:pt idx="2298">
                  <c:v>7282053.2097746069</c:v>
                </c:pt>
                <c:pt idx="2299">
                  <c:v>7285222.0754011404</c:v>
                </c:pt>
                <c:pt idx="2300">
                  <c:v>7288390.9410276739</c:v>
                </c:pt>
                <c:pt idx="2301">
                  <c:v>7291559.8066542074</c:v>
                </c:pt>
                <c:pt idx="2302">
                  <c:v>7294728.6722807419</c:v>
                </c:pt>
                <c:pt idx="2303">
                  <c:v>7297897.5379072754</c:v>
                </c:pt>
                <c:pt idx="2304">
                  <c:v>7301066.4035338089</c:v>
                </c:pt>
                <c:pt idx="2305">
                  <c:v>7304235.2691603433</c:v>
                </c:pt>
                <c:pt idx="2306">
                  <c:v>7307404.1347868768</c:v>
                </c:pt>
                <c:pt idx="2307">
                  <c:v>7310573.0004134104</c:v>
                </c:pt>
                <c:pt idx="2308">
                  <c:v>7313741.8660399439</c:v>
                </c:pt>
                <c:pt idx="2309">
                  <c:v>7316910.7316664783</c:v>
                </c:pt>
                <c:pt idx="2310">
                  <c:v>7320079.5972930118</c:v>
                </c:pt>
                <c:pt idx="2311">
                  <c:v>7323248.4629195454</c:v>
                </c:pt>
                <c:pt idx="2312">
                  <c:v>7326417.3285460789</c:v>
                </c:pt>
                <c:pt idx="2313">
                  <c:v>7329586.1941726133</c:v>
                </c:pt>
                <c:pt idx="2314">
                  <c:v>7332755.0597991468</c:v>
                </c:pt>
                <c:pt idx="2315">
                  <c:v>7335923.9254256804</c:v>
                </c:pt>
                <c:pt idx="2316">
                  <c:v>7339092.7910522148</c:v>
                </c:pt>
                <c:pt idx="2317">
                  <c:v>7342261.6566787483</c:v>
                </c:pt>
                <c:pt idx="2318">
                  <c:v>7345430.5223052818</c:v>
                </c:pt>
                <c:pt idx="2319">
                  <c:v>7348599.3879318153</c:v>
                </c:pt>
                <c:pt idx="2320">
                  <c:v>7351768.2535583498</c:v>
                </c:pt>
                <c:pt idx="2321">
                  <c:v>7354937.1191848833</c:v>
                </c:pt>
                <c:pt idx="2322">
                  <c:v>7358105.9848114168</c:v>
                </c:pt>
                <c:pt idx="2323">
                  <c:v>7361274.8504379503</c:v>
                </c:pt>
                <c:pt idx="2324">
                  <c:v>7364443.7160644848</c:v>
                </c:pt>
                <c:pt idx="2325">
                  <c:v>7367612.5816910183</c:v>
                </c:pt>
                <c:pt idx="2326">
                  <c:v>7370781.4473175518</c:v>
                </c:pt>
                <c:pt idx="2327">
                  <c:v>7373950.3129440863</c:v>
                </c:pt>
                <c:pt idx="2328">
                  <c:v>7377119.1785706198</c:v>
                </c:pt>
                <c:pt idx="2329">
                  <c:v>7380288.0441971533</c:v>
                </c:pt>
                <c:pt idx="2330">
                  <c:v>7383456.9098236868</c:v>
                </c:pt>
                <c:pt idx="2331">
                  <c:v>7386625.7754502213</c:v>
                </c:pt>
                <c:pt idx="2332">
                  <c:v>7389794.6410767548</c:v>
                </c:pt>
                <c:pt idx="2333">
                  <c:v>7392963.5067032883</c:v>
                </c:pt>
                <c:pt idx="2334">
                  <c:v>7396132.3723298218</c:v>
                </c:pt>
                <c:pt idx="2335">
                  <c:v>7399301.2379563563</c:v>
                </c:pt>
                <c:pt idx="2336">
                  <c:v>7402470.1035828898</c:v>
                </c:pt>
                <c:pt idx="2337">
                  <c:v>7405638.9692094233</c:v>
                </c:pt>
                <c:pt idx="2338">
                  <c:v>7408807.8348359577</c:v>
                </c:pt>
                <c:pt idx="2339">
                  <c:v>7411976.7004624913</c:v>
                </c:pt>
                <c:pt idx="2340">
                  <c:v>7415145.5660890248</c:v>
                </c:pt>
                <c:pt idx="2341">
                  <c:v>7418314.4317155583</c:v>
                </c:pt>
                <c:pt idx="2342">
                  <c:v>7421483.2973420927</c:v>
                </c:pt>
                <c:pt idx="2343">
                  <c:v>7424652.1629686262</c:v>
                </c:pt>
                <c:pt idx="2344">
                  <c:v>7427821.0285951598</c:v>
                </c:pt>
                <c:pt idx="2345">
                  <c:v>7430989.8942216942</c:v>
                </c:pt>
                <c:pt idx="2346">
                  <c:v>7434158.7598482277</c:v>
                </c:pt>
                <c:pt idx="2347">
                  <c:v>7437327.6254747612</c:v>
                </c:pt>
                <c:pt idx="2348">
                  <c:v>7440496.4911012948</c:v>
                </c:pt>
                <c:pt idx="2349">
                  <c:v>7443665.3567278292</c:v>
                </c:pt>
                <c:pt idx="2350">
                  <c:v>7446834.2223543627</c:v>
                </c:pt>
                <c:pt idx="2351">
                  <c:v>7450003.0879808962</c:v>
                </c:pt>
                <c:pt idx="2352">
                  <c:v>7453171.9536074298</c:v>
                </c:pt>
                <c:pt idx="2353">
                  <c:v>7456340.8192339642</c:v>
                </c:pt>
                <c:pt idx="2354">
                  <c:v>7459509.6848604977</c:v>
                </c:pt>
                <c:pt idx="2355">
                  <c:v>7462678.5504870312</c:v>
                </c:pt>
                <c:pt idx="2356">
                  <c:v>7465847.4161135657</c:v>
                </c:pt>
                <c:pt idx="2357">
                  <c:v>7469016.2817400992</c:v>
                </c:pt>
                <c:pt idx="2358">
                  <c:v>7472185.1473666327</c:v>
                </c:pt>
                <c:pt idx="2359">
                  <c:v>7475354.0129931662</c:v>
                </c:pt>
                <c:pt idx="2360">
                  <c:v>7478522.8786197007</c:v>
                </c:pt>
                <c:pt idx="2361">
                  <c:v>7481691.7442462342</c:v>
                </c:pt>
                <c:pt idx="2362">
                  <c:v>7484860.6098727677</c:v>
                </c:pt>
                <c:pt idx="2363">
                  <c:v>7488029.4754993012</c:v>
                </c:pt>
                <c:pt idx="2364">
                  <c:v>7491198.3411258357</c:v>
                </c:pt>
                <c:pt idx="2365">
                  <c:v>7494367.2067523692</c:v>
                </c:pt>
                <c:pt idx="2366">
                  <c:v>7497536.0723789027</c:v>
                </c:pt>
                <c:pt idx="2367">
                  <c:v>7500704.9380054371</c:v>
                </c:pt>
                <c:pt idx="2368">
                  <c:v>7503873.8036319707</c:v>
                </c:pt>
                <c:pt idx="2369">
                  <c:v>7507042.6692585042</c:v>
                </c:pt>
                <c:pt idx="2370">
                  <c:v>7510211.5348850377</c:v>
                </c:pt>
                <c:pt idx="2371">
                  <c:v>7513380.4005115721</c:v>
                </c:pt>
                <c:pt idx="2372">
                  <c:v>7516549.2661381057</c:v>
                </c:pt>
                <c:pt idx="2373">
                  <c:v>7519718.1317646392</c:v>
                </c:pt>
                <c:pt idx="2374">
                  <c:v>7522886.9973911727</c:v>
                </c:pt>
                <c:pt idx="2375">
                  <c:v>7526055.8630177071</c:v>
                </c:pt>
                <c:pt idx="2376">
                  <c:v>7529224.7286442406</c:v>
                </c:pt>
                <c:pt idx="2377">
                  <c:v>7532393.5942707742</c:v>
                </c:pt>
                <c:pt idx="2378">
                  <c:v>7535562.4598973086</c:v>
                </c:pt>
                <c:pt idx="2379">
                  <c:v>7538731.3255238421</c:v>
                </c:pt>
                <c:pt idx="2380">
                  <c:v>7541900.1911503756</c:v>
                </c:pt>
                <c:pt idx="2381">
                  <c:v>7545069.0567769092</c:v>
                </c:pt>
                <c:pt idx="2382">
                  <c:v>7548237.9224034436</c:v>
                </c:pt>
                <c:pt idx="2383">
                  <c:v>7551406.7880299771</c:v>
                </c:pt>
                <c:pt idx="2384">
                  <c:v>7554575.6536565106</c:v>
                </c:pt>
                <c:pt idx="2385">
                  <c:v>7557744.5192830442</c:v>
                </c:pt>
                <c:pt idx="2386">
                  <c:v>7560913.3849095786</c:v>
                </c:pt>
                <c:pt idx="2387">
                  <c:v>7564082.2505361121</c:v>
                </c:pt>
                <c:pt idx="2388">
                  <c:v>7567251.1161626456</c:v>
                </c:pt>
                <c:pt idx="2389">
                  <c:v>7570419.9817891801</c:v>
                </c:pt>
                <c:pt idx="2390">
                  <c:v>7573588.8474157136</c:v>
                </c:pt>
                <c:pt idx="2391">
                  <c:v>7576757.7130422471</c:v>
                </c:pt>
                <c:pt idx="2392">
                  <c:v>7579926.5786687806</c:v>
                </c:pt>
                <c:pt idx="2393">
                  <c:v>7583095.4442953151</c:v>
                </c:pt>
                <c:pt idx="2394">
                  <c:v>7586264.3099218486</c:v>
                </c:pt>
                <c:pt idx="2395">
                  <c:v>7589433.1755483821</c:v>
                </c:pt>
                <c:pt idx="2396">
                  <c:v>7592602.0411749156</c:v>
                </c:pt>
                <c:pt idx="2397">
                  <c:v>7595770.9068014501</c:v>
                </c:pt>
                <c:pt idx="2398">
                  <c:v>7598939.7724279836</c:v>
                </c:pt>
                <c:pt idx="2399">
                  <c:v>7602108.6380545171</c:v>
                </c:pt>
                <c:pt idx="2400">
                  <c:v>7605277.5036810515</c:v>
                </c:pt>
                <c:pt idx="2401">
                  <c:v>7608446.3693075851</c:v>
                </c:pt>
                <c:pt idx="2402">
                  <c:v>7611615.2349341186</c:v>
                </c:pt>
                <c:pt idx="2403">
                  <c:v>7614784.1005606521</c:v>
                </c:pt>
                <c:pt idx="2404">
                  <c:v>7617952.9661871865</c:v>
                </c:pt>
                <c:pt idx="2405">
                  <c:v>7621121.8318137201</c:v>
                </c:pt>
                <c:pt idx="2406">
                  <c:v>7624290.6974402536</c:v>
                </c:pt>
                <c:pt idx="2407">
                  <c:v>7627459.563066788</c:v>
                </c:pt>
                <c:pt idx="2408">
                  <c:v>7630628.4286933215</c:v>
                </c:pt>
                <c:pt idx="2409">
                  <c:v>7633797.294319855</c:v>
                </c:pt>
                <c:pt idx="2410">
                  <c:v>7636966.1599463886</c:v>
                </c:pt>
                <c:pt idx="2411">
                  <c:v>7640135.025572923</c:v>
                </c:pt>
                <c:pt idx="2412">
                  <c:v>7643303.8911994565</c:v>
                </c:pt>
                <c:pt idx="2413">
                  <c:v>7646472.75682599</c:v>
                </c:pt>
                <c:pt idx="2414">
                  <c:v>7649641.6224525236</c:v>
                </c:pt>
                <c:pt idx="2415">
                  <c:v>7652810.488079058</c:v>
                </c:pt>
                <c:pt idx="2416">
                  <c:v>7655979.3537055915</c:v>
                </c:pt>
                <c:pt idx="2417">
                  <c:v>7659148.219332125</c:v>
                </c:pt>
                <c:pt idx="2418">
                  <c:v>7662317.0849586595</c:v>
                </c:pt>
                <c:pt idx="2419">
                  <c:v>7665485.950585193</c:v>
                </c:pt>
                <c:pt idx="2420">
                  <c:v>7668654.8162117265</c:v>
                </c:pt>
                <c:pt idx="2421">
                  <c:v>7671823.68183826</c:v>
                </c:pt>
                <c:pt idx="2422">
                  <c:v>7674992.5474647945</c:v>
                </c:pt>
                <c:pt idx="2423">
                  <c:v>7678161.413091328</c:v>
                </c:pt>
                <c:pt idx="2424">
                  <c:v>7681330.2787178615</c:v>
                </c:pt>
                <c:pt idx="2425">
                  <c:v>7684499.144344395</c:v>
                </c:pt>
                <c:pt idx="2426">
                  <c:v>7687668.0099709295</c:v>
                </c:pt>
                <c:pt idx="2427">
                  <c:v>7690836.875597463</c:v>
                </c:pt>
                <c:pt idx="2428">
                  <c:v>7694005.7412239965</c:v>
                </c:pt>
                <c:pt idx="2429">
                  <c:v>7697174.606850531</c:v>
                </c:pt>
                <c:pt idx="2430">
                  <c:v>7700343.4724770645</c:v>
                </c:pt>
                <c:pt idx="2431">
                  <c:v>7703512.338103598</c:v>
                </c:pt>
                <c:pt idx="2432">
                  <c:v>7706681.2037301315</c:v>
                </c:pt>
                <c:pt idx="2433">
                  <c:v>7709850.0693566659</c:v>
                </c:pt>
                <c:pt idx="2434">
                  <c:v>7713018.9349831995</c:v>
                </c:pt>
                <c:pt idx="2435">
                  <c:v>7716187.800609733</c:v>
                </c:pt>
                <c:pt idx="2436">
                  <c:v>7719356.6662362665</c:v>
                </c:pt>
                <c:pt idx="2437">
                  <c:v>7722525.5318628009</c:v>
                </c:pt>
                <c:pt idx="2438">
                  <c:v>7725694.3974893345</c:v>
                </c:pt>
                <c:pt idx="2439">
                  <c:v>7728863.263115868</c:v>
                </c:pt>
                <c:pt idx="2440">
                  <c:v>7732032.1287424024</c:v>
                </c:pt>
                <c:pt idx="2441">
                  <c:v>7735200.9943689359</c:v>
                </c:pt>
                <c:pt idx="2442">
                  <c:v>7738369.8599954695</c:v>
                </c:pt>
                <c:pt idx="2443">
                  <c:v>7741538.725622003</c:v>
                </c:pt>
                <c:pt idx="2444">
                  <c:v>7744707.5912485374</c:v>
                </c:pt>
                <c:pt idx="2445">
                  <c:v>7747876.4568750709</c:v>
                </c:pt>
                <c:pt idx="2446">
                  <c:v>7751045.3225016044</c:v>
                </c:pt>
                <c:pt idx="2447">
                  <c:v>7754214.188128138</c:v>
                </c:pt>
                <c:pt idx="2448">
                  <c:v>7757383.0537546724</c:v>
                </c:pt>
                <c:pt idx="2449">
                  <c:v>7760551.9193812059</c:v>
                </c:pt>
                <c:pt idx="2450">
                  <c:v>7763720.7850077394</c:v>
                </c:pt>
                <c:pt idx="2451">
                  <c:v>7766889.6506342739</c:v>
                </c:pt>
                <c:pt idx="2452">
                  <c:v>7770058.5162608074</c:v>
                </c:pt>
                <c:pt idx="2453">
                  <c:v>7773227.3818873409</c:v>
                </c:pt>
                <c:pt idx="2454">
                  <c:v>7776396.2475138744</c:v>
                </c:pt>
                <c:pt idx="2455">
                  <c:v>7779565.1131404089</c:v>
                </c:pt>
                <c:pt idx="2456">
                  <c:v>7782733.9787669424</c:v>
                </c:pt>
                <c:pt idx="2457">
                  <c:v>7785902.8443934759</c:v>
                </c:pt>
                <c:pt idx="2458">
                  <c:v>7789071.7100200104</c:v>
                </c:pt>
                <c:pt idx="2459">
                  <c:v>7792240.5756465439</c:v>
                </c:pt>
                <c:pt idx="2460">
                  <c:v>7795409.4412730774</c:v>
                </c:pt>
                <c:pt idx="2461">
                  <c:v>7798578.3068996109</c:v>
                </c:pt>
                <c:pt idx="2462">
                  <c:v>7801747.1725261454</c:v>
                </c:pt>
                <c:pt idx="2463">
                  <c:v>7804916.0381526789</c:v>
                </c:pt>
                <c:pt idx="2464">
                  <c:v>7808084.9037792124</c:v>
                </c:pt>
                <c:pt idx="2465">
                  <c:v>7811253.7694057459</c:v>
                </c:pt>
                <c:pt idx="2466">
                  <c:v>7814422.6350322803</c:v>
                </c:pt>
                <c:pt idx="2467">
                  <c:v>7817591.5006588139</c:v>
                </c:pt>
                <c:pt idx="2468">
                  <c:v>7820760.3662853474</c:v>
                </c:pt>
                <c:pt idx="2469">
                  <c:v>7823929.2319118818</c:v>
                </c:pt>
                <c:pt idx="2470">
                  <c:v>7827098.0975384153</c:v>
                </c:pt>
                <c:pt idx="2471">
                  <c:v>7830266.9631649489</c:v>
                </c:pt>
                <c:pt idx="2472">
                  <c:v>7833435.8287914824</c:v>
                </c:pt>
                <c:pt idx="2473">
                  <c:v>7836604.6944180168</c:v>
                </c:pt>
                <c:pt idx="2474">
                  <c:v>7839773.5600445503</c:v>
                </c:pt>
                <c:pt idx="2475">
                  <c:v>7842942.4256710839</c:v>
                </c:pt>
                <c:pt idx="2476">
                  <c:v>7846111.2912976174</c:v>
                </c:pt>
                <c:pt idx="2477">
                  <c:v>7849280.1569241518</c:v>
                </c:pt>
                <c:pt idx="2478">
                  <c:v>7852449.0225506853</c:v>
                </c:pt>
                <c:pt idx="2479">
                  <c:v>7855617.8881772188</c:v>
                </c:pt>
                <c:pt idx="2480">
                  <c:v>7858786.7538037533</c:v>
                </c:pt>
                <c:pt idx="2481">
                  <c:v>7861955.6194302868</c:v>
                </c:pt>
                <c:pt idx="2482">
                  <c:v>7865124.4850568203</c:v>
                </c:pt>
                <c:pt idx="2483">
                  <c:v>7868293.3506833538</c:v>
                </c:pt>
                <c:pt idx="2484">
                  <c:v>7871462.2163098883</c:v>
                </c:pt>
                <c:pt idx="2485">
                  <c:v>7874631.0819364218</c:v>
                </c:pt>
                <c:pt idx="2486">
                  <c:v>7877799.9475629553</c:v>
                </c:pt>
                <c:pt idx="2487">
                  <c:v>7880968.8131894888</c:v>
                </c:pt>
                <c:pt idx="2488">
                  <c:v>7884137.6788160233</c:v>
                </c:pt>
                <c:pt idx="2489">
                  <c:v>7887306.5444425568</c:v>
                </c:pt>
                <c:pt idx="2490">
                  <c:v>7890475.4100690903</c:v>
                </c:pt>
                <c:pt idx="2491">
                  <c:v>7893644.2756956248</c:v>
                </c:pt>
                <c:pt idx="2492">
                  <c:v>7896813.1413221583</c:v>
                </c:pt>
                <c:pt idx="2493">
                  <c:v>7899982.0069486918</c:v>
                </c:pt>
                <c:pt idx="2494">
                  <c:v>7903150.8725752253</c:v>
                </c:pt>
                <c:pt idx="2495">
                  <c:v>7906319.7382017598</c:v>
                </c:pt>
                <c:pt idx="2496">
                  <c:v>7909488.6038282933</c:v>
                </c:pt>
                <c:pt idx="2497">
                  <c:v>7912657.4694548268</c:v>
                </c:pt>
                <c:pt idx="2498">
                  <c:v>7915826.3350813603</c:v>
                </c:pt>
                <c:pt idx="2499">
                  <c:v>7918995.2007078947</c:v>
                </c:pt>
                <c:pt idx="2500">
                  <c:v>7922164.0663344283</c:v>
                </c:pt>
                <c:pt idx="2501">
                  <c:v>7925332.9319609618</c:v>
                </c:pt>
                <c:pt idx="2502">
                  <c:v>7928501.7975874962</c:v>
                </c:pt>
                <c:pt idx="2503">
                  <c:v>7931670.6632140297</c:v>
                </c:pt>
                <c:pt idx="2504">
                  <c:v>7934839.5288405633</c:v>
                </c:pt>
                <c:pt idx="2505">
                  <c:v>7938008.3944670968</c:v>
                </c:pt>
                <c:pt idx="2506">
                  <c:v>7941177.2600936312</c:v>
                </c:pt>
                <c:pt idx="2507">
                  <c:v>7944346.1257201647</c:v>
                </c:pt>
                <c:pt idx="2508">
                  <c:v>7947514.9913466983</c:v>
                </c:pt>
                <c:pt idx="2509">
                  <c:v>7950683.8569732327</c:v>
                </c:pt>
                <c:pt idx="2510">
                  <c:v>7953852.7225997662</c:v>
                </c:pt>
                <c:pt idx="2511">
                  <c:v>7957021.5882262997</c:v>
                </c:pt>
                <c:pt idx="2512">
                  <c:v>7960190.4538528332</c:v>
                </c:pt>
                <c:pt idx="2513">
                  <c:v>7963359.3194793677</c:v>
                </c:pt>
                <c:pt idx="2514">
                  <c:v>7966528.1851059012</c:v>
                </c:pt>
                <c:pt idx="2515">
                  <c:v>7969697.0507324347</c:v>
                </c:pt>
                <c:pt idx="2516">
                  <c:v>7972865.9163589682</c:v>
                </c:pt>
                <c:pt idx="2517">
                  <c:v>7976034.7819855027</c:v>
                </c:pt>
                <c:pt idx="2518">
                  <c:v>7979203.6476120362</c:v>
                </c:pt>
                <c:pt idx="2519">
                  <c:v>7982372.5132385697</c:v>
                </c:pt>
                <c:pt idx="2520">
                  <c:v>7985541.3788651042</c:v>
                </c:pt>
                <c:pt idx="2521">
                  <c:v>7988710.2444916377</c:v>
                </c:pt>
                <c:pt idx="2522">
                  <c:v>7991879.1101181712</c:v>
                </c:pt>
                <c:pt idx="2523">
                  <c:v>7995047.9757447047</c:v>
                </c:pt>
                <c:pt idx="2524">
                  <c:v>7998216.8413712392</c:v>
                </c:pt>
                <c:pt idx="2525">
                  <c:v>8001385.7069977727</c:v>
                </c:pt>
                <c:pt idx="2526">
                  <c:v>8004554.5726243062</c:v>
                </c:pt>
                <c:pt idx="2527">
                  <c:v>8007723.4382508397</c:v>
                </c:pt>
                <c:pt idx="2528">
                  <c:v>8010892.3038773742</c:v>
                </c:pt>
                <c:pt idx="2529">
                  <c:v>8014061.1695039077</c:v>
                </c:pt>
                <c:pt idx="2530">
                  <c:v>8017230.0351304412</c:v>
                </c:pt>
                <c:pt idx="2531">
                  <c:v>8020398.9007569756</c:v>
                </c:pt>
                <c:pt idx="2532">
                  <c:v>8023567.7663835092</c:v>
                </c:pt>
                <c:pt idx="2533">
                  <c:v>8026736.6320100427</c:v>
                </c:pt>
                <c:pt idx="2534">
                  <c:v>8029905.4976365762</c:v>
                </c:pt>
                <c:pt idx="2535">
                  <c:v>8033074.3632631106</c:v>
                </c:pt>
                <c:pt idx="2536">
                  <c:v>8036243.2288896441</c:v>
                </c:pt>
                <c:pt idx="2537">
                  <c:v>8039412.0945161777</c:v>
                </c:pt>
                <c:pt idx="2538">
                  <c:v>8042580.9601427112</c:v>
                </c:pt>
                <c:pt idx="2539">
                  <c:v>8045749.8257692456</c:v>
                </c:pt>
                <c:pt idx="2540">
                  <c:v>8048918.6913957791</c:v>
                </c:pt>
                <c:pt idx="2541">
                  <c:v>8052087.5570223127</c:v>
                </c:pt>
                <c:pt idx="2542">
                  <c:v>8055256.4226488471</c:v>
                </c:pt>
                <c:pt idx="2543">
                  <c:v>8058425.2882753806</c:v>
                </c:pt>
                <c:pt idx="2544">
                  <c:v>8061594.1539019141</c:v>
                </c:pt>
                <c:pt idx="2545">
                  <c:v>8064763.0195284477</c:v>
                </c:pt>
                <c:pt idx="2546">
                  <c:v>8067931.8851549821</c:v>
                </c:pt>
                <c:pt idx="2547">
                  <c:v>8071100.7507815156</c:v>
                </c:pt>
                <c:pt idx="2548">
                  <c:v>8074269.6164080491</c:v>
                </c:pt>
                <c:pt idx="2549">
                  <c:v>8077438.4820345826</c:v>
                </c:pt>
                <c:pt idx="2550">
                  <c:v>8080607.3476611171</c:v>
                </c:pt>
                <c:pt idx="2551">
                  <c:v>8083776.2132876506</c:v>
                </c:pt>
                <c:pt idx="2552">
                  <c:v>8086945.0789141841</c:v>
                </c:pt>
                <c:pt idx="2553">
                  <c:v>8090113.9445407186</c:v>
                </c:pt>
                <c:pt idx="2554">
                  <c:v>8093282.8101672521</c:v>
                </c:pt>
                <c:pt idx="2555">
                  <c:v>8096451.6757937856</c:v>
                </c:pt>
                <c:pt idx="2556">
                  <c:v>8099620.5414203191</c:v>
                </c:pt>
                <c:pt idx="2557">
                  <c:v>8102789.4070468536</c:v>
                </c:pt>
                <c:pt idx="2558">
                  <c:v>8105958.2726733871</c:v>
                </c:pt>
                <c:pt idx="2559">
                  <c:v>8109127.1382999206</c:v>
                </c:pt>
                <c:pt idx="2560">
                  <c:v>8112296.0039264541</c:v>
                </c:pt>
                <c:pt idx="2561">
                  <c:v>8115464.8695529886</c:v>
                </c:pt>
                <c:pt idx="2562">
                  <c:v>8118633.7351795221</c:v>
                </c:pt>
                <c:pt idx="2563">
                  <c:v>8121802.6008060556</c:v>
                </c:pt>
                <c:pt idx="2564">
                  <c:v>8124971.46643259</c:v>
                </c:pt>
                <c:pt idx="2565">
                  <c:v>8128140.3320591236</c:v>
                </c:pt>
                <c:pt idx="2566">
                  <c:v>8131309.1976856571</c:v>
                </c:pt>
                <c:pt idx="2567">
                  <c:v>8134478.0633121906</c:v>
                </c:pt>
                <c:pt idx="2568">
                  <c:v>8137646.928938725</c:v>
                </c:pt>
                <c:pt idx="2569">
                  <c:v>8140815.7945652585</c:v>
                </c:pt>
                <c:pt idx="2570">
                  <c:v>8143984.6601917921</c:v>
                </c:pt>
                <c:pt idx="2571">
                  <c:v>8147153.5258183265</c:v>
                </c:pt>
                <c:pt idx="2572">
                  <c:v>8150322.39144486</c:v>
                </c:pt>
                <c:pt idx="2573">
                  <c:v>8153491.2570713935</c:v>
                </c:pt>
                <c:pt idx="2574">
                  <c:v>8156660.1226979271</c:v>
                </c:pt>
                <c:pt idx="2575">
                  <c:v>8159828.9883244615</c:v>
                </c:pt>
                <c:pt idx="2576">
                  <c:v>8162997.853950995</c:v>
                </c:pt>
                <c:pt idx="2577">
                  <c:v>8166166.7195775285</c:v>
                </c:pt>
                <c:pt idx="2578">
                  <c:v>8169335.5852040621</c:v>
                </c:pt>
                <c:pt idx="2579">
                  <c:v>8172504.4508305965</c:v>
                </c:pt>
                <c:pt idx="2580">
                  <c:v>8175673.31645713</c:v>
                </c:pt>
                <c:pt idx="2581">
                  <c:v>8178842.1820836635</c:v>
                </c:pt>
                <c:pt idx="2582">
                  <c:v>8182011.047710198</c:v>
                </c:pt>
                <c:pt idx="2583">
                  <c:v>8185179.9133367315</c:v>
                </c:pt>
                <c:pt idx="2584">
                  <c:v>8188348.778963265</c:v>
                </c:pt>
                <c:pt idx="2585">
                  <c:v>8191517.6445897985</c:v>
                </c:pt>
                <c:pt idx="2586">
                  <c:v>8194686.510216333</c:v>
                </c:pt>
                <c:pt idx="2587">
                  <c:v>8197855.3758428665</c:v>
                </c:pt>
                <c:pt idx="2588">
                  <c:v>8201024.2414694</c:v>
                </c:pt>
                <c:pt idx="2589">
                  <c:v>8204193.1070959335</c:v>
                </c:pt>
                <c:pt idx="2590">
                  <c:v>8207361.972722468</c:v>
                </c:pt>
                <c:pt idx="2591">
                  <c:v>8210530.8383490015</c:v>
                </c:pt>
                <c:pt idx="2592">
                  <c:v>8213699.703975535</c:v>
                </c:pt>
                <c:pt idx="2593">
                  <c:v>8216868.5696020694</c:v>
                </c:pt>
                <c:pt idx="2594">
                  <c:v>8220037.435228603</c:v>
                </c:pt>
                <c:pt idx="2595">
                  <c:v>8223206.3008551365</c:v>
                </c:pt>
                <c:pt idx="2596">
                  <c:v>8226375.16648167</c:v>
                </c:pt>
                <c:pt idx="2597">
                  <c:v>8229544.0321082044</c:v>
                </c:pt>
                <c:pt idx="2598">
                  <c:v>8232712.897734738</c:v>
                </c:pt>
                <c:pt idx="2599">
                  <c:v>8235881.7633612715</c:v>
                </c:pt>
                <c:pt idx="2600">
                  <c:v>8239050.628987805</c:v>
                </c:pt>
                <c:pt idx="2601">
                  <c:v>8242219.4946143394</c:v>
                </c:pt>
                <c:pt idx="2602">
                  <c:v>8245388.3602408729</c:v>
                </c:pt>
                <c:pt idx="2603">
                  <c:v>8248557.2258674065</c:v>
                </c:pt>
                <c:pt idx="2604">
                  <c:v>8251726.0914939409</c:v>
                </c:pt>
                <c:pt idx="2605">
                  <c:v>8254894.9571204744</c:v>
                </c:pt>
                <c:pt idx="2606">
                  <c:v>8258063.8227470079</c:v>
                </c:pt>
                <c:pt idx="2607">
                  <c:v>8261232.6883735415</c:v>
                </c:pt>
                <c:pt idx="2608">
                  <c:v>8264401.5540000759</c:v>
                </c:pt>
                <c:pt idx="2609">
                  <c:v>8267570.4196266094</c:v>
                </c:pt>
                <c:pt idx="2610">
                  <c:v>8270739.2852531429</c:v>
                </c:pt>
                <c:pt idx="2611">
                  <c:v>8273908.1508796765</c:v>
                </c:pt>
                <c:pt idx="2612">
                  <c:v>8277077.0165062109</c:v>
                </c:pt>
                <c:pt idx="2613">
                  <c:v>8280245.8821327444</c:v>
                </c:pt>
                <c:pt idx="2614">
                  <c:v>8283414.7477592779</c:v>
                </c:pt>
                <c:pt idx="2615">
                  <c:v>8286583.6133858124</c:v>
                </c:pt>
                <c:pt idx="2616">
                  <c:v>8289752.4790123459</c:v>
                </c:pt>
                <c:pt idx="2617">
                  <c:v>8292921.3446388794</c:v>
                </c:pt>
                <c:pt idx="2618">
                  <c:v>8296090.2102654129</c:v>
                </c:pt>
                <c:pt idx="2619">
                  <c:v>8299259.0758919474</c:v>
                </c:pt>
                <c:pt idx="2620">
                  <c:v>8302427.9415184809</c:v>
                </c:pt>
                <c:pt idx="2621">
                  <c:v>8305596.8071450144</c:v>
                </c:pt>
                <c:pt idx="2622">
                  <c:v>8308765.6727715489</c:v>
                </c:pt>
                <c:pt idx="2623">
                  <c:v>8311934.5383980824</c:v>
                </c:pt>
                <c:pt idx="2624">
                  <c:v>8315103.4040246159</c:v>
                </c:pt>
                <c:pt idx="2625">
                  <c:v>8318272.2696511494</c:v>
                </c:pt>
                <c:pt idx="2626">
                  <c:v>8321441.1352776838</c:v>
                </c:pt>
                <c:pt idx="2627">
                  <c:v>8324610.0009042174</c:v>
                </c:pt>
                <c:pt idx="2628">
                  <c:v>8327778.8665307509</c:v>
                </c:pt>
                <c:pt idx="2629">
                  <c:v>8330947.7321572844</c:v>
                </c:pt>
                <c:pt idx="2630">
                  <c:v>8334116.5977838188</c:v>
                </c:pt>
                <c:pt idx="2631">
                  <c:v>8337285.4634103524</c:v>
                </c:pt>
                <c:pt idx="2632">
                  <c:v>8340454.3290368859</c:v>
                </c:pt>
                <c:pt idx="2633">
                  <c:v>8343623.1946634203</c:v>
                </c:pt>
                <c:pt idx="2634">
                  <c:v>8346792.0602899538</c:v>
                </c:pt>
                <c:pt idx="2635">
                  <c:v>8349960.9259164874</c:v>
                </c:pt>
                <c:pt idx="2636">
                  <c:v>8353129.7915430209</c:v>
                </c:pt>
                <c:pt idx="2637">
                  <c:v>8356298.6571695553</c:v>
                </c:pt>
                <c:pt idx="2638">
                  <c:v>8359467.5227960888</c:v>
                </c:pt>
                <c:pt idx="2639">
                  <c:v>8362636.3884226223</c:v>
                </c:pt>
                <c:pt idx="2640">
                  <c:v>8365805.2540491559</c:v>
                </c:pt>
                <c:pt idx="2641">
                  <c:v>8368974.1196756903</c:v>
                </c:pt>
                <c:pt idx="2642">
                  <c:v>8372142.9853022238</c:v>
                </c:pt>
                <c:pt idx="2643">
                  <c:v>8375311.8509287573</c:v>
                </c:pt>
                <c:pt idx="2644">
                  <c:v>8378480.7165552918</c:v>
                </c:pt>
                <c:pt idx="2645">
                  <c:v>8381649.5821818253</c:v>
                </c:pt>
                <c:pt idx="2646">
                  <c:v>8384818.4478083588</c:v>
                </c:pt>
                <c:pt idx="2647">
                  <c:v>8387987.3134348923</c:v>
                </c:pt>
                <c:pt idx="2648">
                  <c:v>8391156.1790614258</c:v>
                </c:pt>
                <c:pt idx="2649">
                  <c:v>8394325.0446879603</c:v>
                </c:pt>
                <c:pt idx="2650">
                  <c:v>8397493.9103144947</c:v>
                </c:pt>
                <c:pt idx="2651">
                  <c:v>8400662.7759410273</c:v>
                </c:pt>
                <c:pt idx="2652">
                  <c:v>8403831.6415675618</c:v>
                </c:pt>
                <c:pt idx="2653">
                  <c:v>8407000.5071940962</c:v>
                </c:pt>
                <c:pt idx="2654">
                  <c:v>8410169.3728206288</c:v>
                </c:pt>
                <c:pt idx="2655">
                  <c:v>8413338.2384471633</c:v>
                </c:pt>
                <c:pt idx="2656">
                  <c:v>8416507.1040736958</c:v>
                </c:pt>
                <c:pt idx="2657">
                  <c:v>8419675.9697002303</c:v>
                </c:pt>
                <c:pt idx="2658">
                  <c:v>8422844.8353267647</c:v>
                </c:pt>
                <c:pt idx="2659">
                  <c:v>8426013.7009532973</c:v>
                </c:pt>
                <c:pt idx="2660">
                  <c:v>8429182.5665798318</c:v>
                </c:pt>
                <c:pt idx="2661">
                  <c:v>8432351.4322063662</c:v>
                </c:pt>
                <c:pt idx="2662">
                  <c:v>8435520.2978328988</c:v>
                </c:pt>
                <c:pt idx="2663">
                  <c:v>8438689.1634594332</c:v>
                </c:pt>
                <c:pt idx="2664">
                  <c:v>8441858.0290859677</c:v>
                </c:pt>
                <c:pt idx="2665">
                  <c:v>8445026.8947125003</c:v>
                </c:pt>
                <c:pt idx="2666">
                  <c:v>8448195.7603390347</c:v>
                </c:pt>
                <c:pt idx="2667">
                  <c:v>8451364.6259655673</c:v>
                </c:pt>
                <c:pt idx="2668">
                  <c:v>8454533.4915921018</c:v>
                </c:pt>
                <c:pt idx="2669">
                  <c:v>8457702.3572186362</c:v>
                </c:pt>
                <c:pt idx="2670">
                  <c:v>8460871.2228451688</c:v>
                </c:pt>
                <c:pt idx="2671">
                  <c:v>8464040.0884717032</c:v>
                </c:pt>
                <c:pt idx="2672">
                  <c:v>8467208.9540982377</c:v>
                </c:pt>
                <c:pt idx="2673">
                  <c:v>8470377.8197247703</c:v>
                </c:pt>
                <c:pt idx="2674">
                  <c:v>8473546.6853513047</c:v>
                </c:pt>
                <c:pt idx="2675">
                  <c:v>8476715.5509778392</c:v>
                </c:pt>
                <c:pt idx="2676">
                  <c:v>8479884.4166043717</c:v>
                </c:pt>
                <c:pt idx="2677">
                  <c:v>8483053.2822309062</c:v>
                </c:pt>
                <c:pt idx="2678">
                  <c:v>8486222.1478574388</c:v>
                </c:pt>
                <c:pt idx="2679">
                  <c:v>8489391.0134839732</c:v>
                </c:pt>
                <c:pt idx="2680">
                  <c:v>8492559.8791105077</c:v>
                </c:pt>
                <c:pt idx="2681">
                  <c:v>8495728.7447370403</c:v>
                </c:pt>
                <c:pt idx="2682">
                  <c:v>8498897.6103635747</c:v>
                </c:pt>
                <c:pt idx="2683">
                  <c:v>8502066.4759901091</c:v>
                </c:pt>
                <c:pt idx="2684">
                  <c:v>8505235.3416166417</c:v>
                </c:pt>
                <c:pt idx="2685">
                  <c:v>8508404.2072431762</c:v>
                </c:pt>
                <c:pt idx="2686">
                  <c:v>8511573.0728697106</c:v>
                </c:pt>
                <c:pt idx="2687">
                  <c:v>8514741.9384962432</c:v>
                </c:pt>
                <c:pt idx="2688">
                  <c:v>8517910.8041227777</c:v>
                </c:pt>
                <c:pt idx="2689">
                  <c:v>8521079.6697493102</c:v>
                </c:pt>
                <c:pt idx="2690">
                  <c:v>8524248.5353758447</c:v>
                </c:pt>
                <c:pt idx="2691">
                  <c:v>8527417.4010023791</c:v>
                </c:pt>
                <c:pt idx="2692">
                  <c:v>8530586.2666289117</c:v>
                </c:pt>
                <c:pt idx="2693">
                  <c:v>8533755.1322554462</c:v>
                </c:pt>
                <c:pt idx="2694">
                  <c:v>8536923.9978819806</c:v>
                </c:pt>
                <c:pt idx="2695">
                  <c:v>8540092.8635085132</c:v>
                </c:pt>
                <c:pt idx="2696">
                  <c:v>8543261.7291350476</c:v>
                </c:pt>
                <c:pt idx="2697">
                  <c:v>8546430.5947615821</c:v>
                </c:pt>
                <c:pt idx="2698">
                  <c:v>8549599.4603881147</c:v>
                </c:pt>
                <c:pt idx="2699">
                  <c:v>8552768.3260146491</c:v>
                </c:pt>
                <c:pt idx="2700">
                  <c:v>8555937.1916411817</c:v>
                </c:pt>
                <c:pt idx="2701">
                  <c:v>8559106.0572677162</c:v>
                </c:pt>
                <c:pt idx="2702">
                  <c:v>8562274.9228942506</c:v>
                </c:pt>
                <c:pt idx="2703">
                  <c:v>8565443.7885207832</c:v>
                </c:pt>
                <c:pt idx="2704">
                  <c:v>8568612.6541473176</c:v>
                </c:pt>
                <c:pt idx="2705">
                  <c:v>8571781.5197738521</c:v>
                </c:pt>
                <c:pt idx="2706">
                  <c:v>8574950.3854003847</c:v>
                </c:pt>
                <c:pt idx="2707">
                  <c:v>8578119.2510269191</c:v>
                </c:pt>
                <c:pt idx="2708">
                  <c:v>8581288.1166534536</c:v>
                </c:pt>
                <c:pt idx="2709">
                  <c:v>8584456.9822799861</c:v>
                </c:pt>
                <c:pt idx="2710">
                  <c:v>8587625.8479065206</c:v>
                </c:pt>
                <c:pt idx="2711">
                  <c:v>8590794.7135330532</c:v>
                </c:pt>
                <c:pt idx="2712">
                  <c:v>8593963.5791595876</c:v>
                </c:pt>
                <c:pt idx="2713">
                  <c:v>8597132.4447861221</c:v>
                </c:pt>
                <c:pt idx="2714">
                  <c:v>8600301.3104126547</c:v>
                </c:pt>
                <c:pt idx="2715">
                  <c:v>8603470.1760391891</c:v>
                </c:pt>
                <c:pt idx="2716">
                  <c:v>8606639.0416657235</c:v>
                </c:pt>
                <c:pt idx="2717">
                  <c:v>8609807.9072922561</c:v>
                </c:pt>
                <c:pt idx="2718">
                  <c:v>8612976.7729187906</c:v>
                </c:pt>
                <c:pt idx="2719">
                  <c:v>8616145.638545325</c:v>
                </c:pt>
                <c:pt idx="2720">
                  <c:v>8619314.5041718576</c:v>
                </c:pt>
                <c:pt idx="2721">
                  <c:v>8622483.3697983921</c:v>
                </c:pt>
                <c:pt idx="2722">
                  <c:v>8625652.2354249246</c:v>
                </c:pt>
                <c:pt idx="2723">
                  <c:v>8628821.1010514591</c:v>
                </c:pt>
                <c:pt idx="2724">
                  <c:v>8631989.9666779935</c:v>
                </c:pt>
                <c:pt idx="2725">
                  <c:v>8635158.8323045261</c:v>
                </c:pt>
                <c:pt idx="2726">
                  <c:v>8638327.6979310606</c:v>
                </c:pt>
                <c:pt idx="2727">
                  <c:v>8641496.563557595</c:v>
                </c:pt>
                <c:pt idx="2728">
                  <c:v>8644665.4291841276</c:v>
                </c:pt>
                <c:pt idx="2729">
                  <c:v>8647834.294810662</c:v>
                </c:pt>
                <c:pt idx="2730">
                  <c:v>8651003.1604371965</c:v>
                </c:pt>
                <c:pt idx="2731">
                  <c:v>8654172.0260637291</c:v>
                </c:pt>
                <c:pt idx="2732">
                  <c:v>8657340.8916902635</c:v>
                </c:pt>
                <c:pt idx="2733">
                  <c:v>8660509.7573167961</c:v>
                </c:pt>
                <c:pt idx="2734">
                  <c:v>8663678.6229433306</c:v>
                </c:pt>
                <c:pt idx="2735">
                  <c:v>8666847.488569865</c:v>
                </c:pt>
                <c:pt idx="2736">
                  <c:v>8670016.3541963976</c:v>
                </c:pt>
                <c:pt idx="2737">
                  <c:v>8673185.219822932</c:v>
                </c:pt>
                <c:pt idx="2738">
                  <c:v>8676354.0854494665</c:v>
                </c:pt>
                <c:pt idx="2739">
                  <c:v>8679522.9510759991</c:v>
                </c:pt>
                <c:pt idx="2740">
                  <c:v>8682691.8167025335</c:v>
                </c:pt>
                <c:pt idx="2741">
                  <c:v>8685860.682329068</c:v>
                </c:pt>
                <c:pt idx="2742">
                  <c:v>8689029.5479556005</c:v>
                </c:pt>
                <c:pt idx="2743">
                  <c:v>8692198.413582135</c:v>
                </c:pt>
                <c:pt idx="2744">
                  <c:v>8695367.2792086676</c:v>
                </c:pt>
                <c:pt idx="2745">
                  <c:v>8698536.144835202</c:v>
                </c:pt>
                <c:pt idx="2746">
                  <c:v>8701705.0104617365</c:v>
                </c:pt>
                <c:pt idx="2747">
                  <c:v>8704873.8760882691</c:v>
                </c:pt>
                <c:pt idx="2748">
                  <c:v>8708042.7417148035</c:v>
                </c:pt>
                <c:pt idx="2749">
                  <c:v>8711211.6073413379</c:v>
                </c:pt>
                <c:pt idx="2750">
                  <c:v>8714380.4729678705</c:v>
                </c:pt>
                <c:pt idx="2751">
                  <c:v>8717549.338594405</c:v>
                </c:pt>
                <c:pt idx="2752">
                  <c:v>8720718.2042209394</c:v>
                </c:pt>
                <c:pt idx="2753">
                  <c:v>8723887.069847472</c:v>
                </c:pt>
                <c:pt idx="2754">
                  <c:v>8727055.9354740065</c:v>
                </c:pt>
                <c:pt idx="2755">
                  <c:v>8730224.8011005409</c:v>
                </c:pt>
                <c:pt idx="2756">
                  <c:v>8733393.6667270735</c:v>
                </c:pt>
                <c:pt idx="2757">
                  <c:v>8736562.5323536079</c:v>
                </c:pt>
                <c:pt idx="2758">
                  <c:v>8739731.3979801405</c:v>
                </c:pt>
                <c:pt idx="2759">
                  <c:v>8742900.263606675</c:v>
                </c:pt>
                <c:pt idx="2760">
                  <c:v>8746069.1292332094</c:v>
                </c:pt>
                <c:pt idx="2761">
                  <c:v>8749237.994859742</c:v>
                </c:pt>
                <c:pt idx="2762">
                  <c:v>8752406.8604862764</c:v>
                </c:pt>
                <c:pt idx="2763">
                  <c:v>8755575.7261128109</c:v>
                </c:pt>
                <c:pt idx="2764">
                  <c:v>8758744.5917393435</c:v>
                </c:pt>
                <c:pt idx="2765">
                  <c:v>8761913.4573658779</c:v>
                </c:pt>
                <c:pt idx="2766">
                  <c:v>8765082.3229924124</c:v>
                </c:pt>
                <c:pt idx="2767">
                  <c:v>8768251.188618945</c:v>
                </c:pt>
                <c:pt idx="2768">
                  <c:v>8771420.0542454794</c:v>
                </c:pt>
                <c:pt idx="2769">
                  <c:v>8774588.919872012</c:v>
                </c:pt>
                <c:pt idx="2770">
                  <c:v>8777757.7854985464</c:v>
                </c:pt>
                <c:pt idx="2771">
                  <c:v>8780926.6511250809</c:v>
                </c:pt>
                <c:pt idx="2772">
                  <c:v>8784095.5167516135</c:v>
                </c:pt>
                <c:pt idx="2773">
                  <c:v>8787264.3823781479</c:v>
                </c:pt>
                <c:pt idx="2774">
                  <c:v>8790433.2480046824</c:v>
                </c:pt>
                <c:pt idx="2775">
                  <c:v>8793602.1136312149</c:v>
                </c:pt>
                <c:pt idx="2776">
                  <c:v>8796770.9792577494</c:v>
                </c:pt>
                <c:pt idx="2777">
                  <c:v>8799939.8448842838</c:v>
                </c:pt>
                <c:pt idx="2778">
                  <c:v>8803108.7105108164</c:v>
                </c:pt>
                <c:pt idx="2779">
                  <c:v>8806277.5761373509</c:v>
                </c:pt>
                <c:pt idx="2780">
                  <c:v>8809446.4417638835</c:v>
                </c:pt>
                <c:pt idx="2781">
                  <c:v>8812615.3073904179</c:v>
                </c:pt>
                <c:pt idx="2782">
                  <c:v>8815784.1730169524</c:v>
                </c:pt>
                <c:pt idx="2783">
                  <c:v>8818953.0386434849</c:v>
                </c:pt>
                <c:pt idx="2784">
                  <c:v>8822121.9042700194</c:v>
                </c:pt>
                <c:pt idx="2785">
                  <c:v>8825290.7698965538</c:v>
                </c:pt>
                <c:pt idx="2786">
                  <c:v>8828459.6355230864</c:v>
                </c:pt>
                <c:pt idx="2787">
                  <c:v>8831628.5011496209</c:v>
                </c:pt>
                <c:pt idx="2788">
                  <c:v>8834797.3667761553</c:v>
                </c:pt>
                <c:pt idx="2789">
                  <c:v>8837966.2324026879</c:v>
                </c:pt>
                <c:pt idx="2790">
                  <c:v>8841135.0980292223</c:v>
                </c:pt>
                <c:pt idx="2791">
                  <c:v>8844303.9636557549</c:v>
                </c:pt>
                <c:pt idx="2792">
                  <c:v>8847472.8292822894</c:v>
                </c:pt>
                <c:pt idx="2793">
                  <c:v>8850641.6949088238</c:v>
                </c:pt>
                <c:pt idx="2794">
                  <c:v>8853810.5605353564</c:v>
                </c:pt>
                <c:pt idx="2795">
                  <c:v>8856979.4261618908</c:v>
                </c:pt>
                <c:pt idx="2796">
                  <c:v>8860148.2917884253</c:v>
                </c:pt>
                <c:pt idx="2797">
                  <c:v>8863317.1574149579</c:v>
                </c:pt>
                <c:pt idx="2798">
                  <c:v>8866486.0230414923</c:v>
                </c:pt>
                <c:pt idx="2799">
                  <c:v>8869654.8886680268</c:v>
                </c:pt>
                <c:pt idx="2800">
                  <c:v>8872823.7542945594</c:v>
                </c:pt>
                <c:pt idx="2801">
                  <c:v>8875992.6199210938</c:v>
                </c:pt>
                <c:pt idx="2802">
                  <c:v>8879161.4855476264</c:v>
                </c:pt>
                <c:pt idx="2803">
                  <c:v>8882330.3511741608</c:v>
                </c:pt>
                <c:pt idx="2804">
                  <c:v>8885499.2168006953</c:v>
                </c:pt>
                <c:pt idx="2805">
                  <c:v>8888668.0824272279</c:v>
                </c:pt>
                <c:pt idx="2806">
                  <c:v>8891836.9480537623</c:v>
                </c:pt>
                <c:pt idx="2807">
                  <c:v>8895005.8136802968</c:v>
                </c:pt>
                <c:pt idx="2808">
                  <c:v>8898174.6793068293</c:v>
                </c:pt>
                <c:pt idx="2809">
                  <c:v>8901343.5449333638</c:v>
                </c:pt>
                <c:pt idx="2810">
                  <c:v>8904512.4105598982</c:v>
                </c:pt>
                <c:pt idx="2811">
                  <c:v>8907681.2761864308</c:v>
                </c:pt>
                <c:pt idx="2812">
                  <c:v>8910850.1418129653</c:v>
                </c:pt>
                <c:pt idx="2813">
                  <c:v>8914019.0074394979</c:v>
                </c:pt>
                <c:pt idx="2814">
                  <c:v>8917187.8730660323</c:v>
                </c:pt>
                <c:pt idx="2815">
                  <c:v>8920356.7386925668</c:v>
                </c:pt>
                <c:pt idx="2816">
                  <c:v>8923525.6043190993</c:v>
                </c:pt>
                <c:pt idx="2817">
                  <c:v>8926694.4699456338</c:v>
                </c:pt>
                <c:pt idx="2818">
                  <c:v>8929863.3355721682</c:v>
                </c:pt>
                <c:pt idx="2819">
                  <c:v>8933032.2011987008</c:v>
                </c:pt>
                <c:pt idx="2820">
                  <c:v>8936201.0668252353</c:v>
                </c:pt>
                <c:pt idx="2821">
                  <c:v>8939369.9324517697</c:v>
                </c:pt>
                <c:pt idx="2822">
                  <c:v>8942538.7980783023</c:v>
                </c:pt>
                <c:pt idx="2823">
                  <c:v>8945707.6637048367</c:v>
                </c:pt>
                <c:pt idx="2824">
                  <c:v>8948876.5293313693</c:v>
                </c:pt>
                <c:pt idx="2825">
                  <c:v>8952045.3949579038</c:v>
                </c:pt>
                <c:pt idx="2826">
                  <c:v>8955214.2605844382</c:v>
                </c:pt>
                <c:pt idx="2827">
                  <c:v>8958383.1262109708</c:v>
                </c:pt>
                <c:pt idx="2828">
                  <c:v>8961551.9918375053</c:v>
                </c:pt>
                <c:pt idx="2829">
                  <c:v>8964720.8574640397</c:v>
                </c:pt>
                <c:pt idx="2830">
                  <c:v>8967889.7230905723</c:v>
                </c:pt>
                <c:pt idx="2831">
                  <c:v>8971058.5887171067</c:v>
                </c:pt>
                <c:pt idx="2832">
                  <c:v>8974227.4543436412</c:v>
                </c:pt>
                <c:pt idx="2833">
                  <c:v>8977396.3199701738</c:v>
                </c:pt>
                <c:pt idx="2834">
                  <c:v>8980565.1855967082</c:v>
                </c:pt>
                <c:pt idx="2835">
                  <c:v>8983734.0512232408</c:v>
                </c:pt>
                <c:pt idx="2836">
                  <c:v>8986902.9168497752</c:v>
                </c:pt>
                <c:pt idx="2837">
                  <c:v>8990071.7824763097</c:v>
                </c:pt>
                <c:pt idx="2838">
                  <c:v>8993240.6481028423</c:v>
                </c:pt>
                <c:pt idx="2839">
                  <c:v>8996409.5137293767</c:v>
                </c:pt>
                <c:pt idx="2840">
                  <c:v>8999578.3793559112</c:v>
                </c:pt>
                <c:pt idx="2841">
                  <c:v>9002747.2449824437</c:v>
                </c:pt>
                <c:pt idx="2842">
                  <c:v>9005916.1106089782</c:v>
                </c:pt>
                <c:pt idx="2843">
                  <c:v>9009084.9762355126</c:v>
                </c:pt>
                <c:pt idx="2844">
                  <c:v>9012253.8418620452</c:v>
                </c:pt>
                <c:pt idx="2845">
                  <c:v>9015422.7074885797</c:v>
                </c:pt>
                <c:pt idx="2846">
                  <c:v>9018591.5731151123</c:v>
                </c:pt>
                <c:pt idx="2847">
                  <c:v>9021760.4387416467</c:v>
                </c:pt>
                <c:pt idx="2848">
                  <c:v>9024929.3043681812</c:v>
                </c:pt>
                <c:pt idx="2849">
                  <c:v>9028098.1699947137</c:v>
                </c:pt>
                <c:pt idx="2850">
                  <c:v>9031267.0356212482</c:v>
                </c:pt>
                <c:pt idx="2851">
                  <c:v>9034435.9012477826</c:v>
                </c:pt>
                <c:pt idx="2852">
                  <c:v>9037604.7668743152</c:v>
                </c:pt>
                <c:pt idx="2853">
                  <c:v>9040773.6325008497</c:v>
                </c:pt>
                <c:pt idx="2854">
                  <c:v>9043942.4981273841</c:v>
                </c:pt>
                <c:pt idx="2855">
                  <c:v>9047111.3637539167</c:v>
                </c:pt>
                <c:pt idx="2856">
                  <c:v>9050280.2293804511</c:v>
                </c:pt>
                <c:pt idx="2857">
                  <c:v>9053449.0950069856</c:v>
                </c:pt>
                <c:pt idx="2858">
                  <c:v>9056617.9606335182</c:v>
                </c:pt>
                <c:pt idx="2859">
                  <c:v>9059786.8262600526</c:v>
                </c:pt>
                <c:pt idx="2860">
                  <c:v>9062955.6918865852</c:v>
                </c:pt>
                <c:pt idx="2861">
                  <c:v>9066124.5575131197</c:v>
                </c:pt>
                <c:pt idx="2862">
                  <c:v>9069293.4231396541</c:v>
                </c:pt>
                <c:pt idx="2863">
                  <c:v>9072462.2887661867</c:v>
                </c:pt>
                <c:pt idx="2864">
                  <c:v>9075631.1543927211</c:v>
                </c:pt>
                <c:pt idx="2865">
                  <c:v>9078800.0200192556</c:v>
                </c:pt>
                <c:pt idx="2866">
                  <c:v>9081968.8856457882</c:v>
                </c:pt>
                <c:pt idx="2867">
                  <c:v>9085137.7512723226</c:v>
                </c:pt>
                <c:pt idx="2868">
                  <c:v>9088306.6168988571</c:v>
                </c:pt>
                <c:pt idx="2869">
                  <c:v>9091475.4825253896</c:v>
                </c:pt>
                <c:pt idx="2870">
                  <c:v>9094644.3481519241</c:v>
                </c:pt>
                <c:pt idx="2871">
                  <c:v>9097813.2137784567</c:v>
                </c:pt>
                <c:pt idx="2872">
                  <c:v>9100982.0794049911</c:v>
                </c:pt>
                <c:pt idx="2873">
                  <c:v>9104150.9450315256</c:v>
                </c:pt>
                <c:pt idx="2874">
                  <c:v>9107319.8106580582</c:v>
                </c:pt>
                <c:pt idx="2875">
                  <c:v>9110488.6762845926</c:v>
                </c:pt>
                <c:pt idx="2876">
                  <c:v>9113657.541911127</c:v>
                </c:pt>
                <c:pt idx="2877">
                  <c:v>9116826.4075376596</c:v>
                </c:pt>
                <c:pt idx="2878">
                  <c:v>9119995.2731641941</c:v>
                </c:pt>
                <c:pt idx="2879">
                  <c:v>9123164.1387907285</c:v>
                </c:pt>
                <c:pt idx="2880">
                  <c:v>9126333.0044172611</c:v>
                </c:pt>
                <c:pt idx="2881">
                  <c:v>9129501.8700437956</c:v>
                </c:pt>
                <c:pt idx="2882">
                  <c:v>9132670.7356703281</c:v>
                </c:pt>
                <c:pt idx="2883">
                  <c:v>9135839.6012968626</c:v>
                </c:pt>
                <c:pt idx="2884">
                  <c:v>9139008.466923397</c:v>
                </c:pt>
                <c:pt idx="2885">
                  <c:v>9142177.3325499296</c:v>
                </c:pt>
                <c:pt idx="2886">
                  <c:v>9145346.1981764641</c:v>
                </c:pt>
                <c:pt idx="2887">
                  <c:v>9148515.0638029985</c:v>
                </c:pt>
                <c:pt idx="2888">
                  <c:v>9151683.9294295311</c:v>
                </c:pt>
                <c:pt idx="2889">
                  <c:v>9154852.7950560655</c:v>
                </c:pt>
                <c:pt idx="2890">
                  <c:v>9158021.6606826</c:v>
                </c:pt>
                <c:pt idx="2891">
                  <c:v>9161190.5263091326</c:v>
                </c:pt>
                <c:pt idx="2892">
                  <c:v>9164359.391935667</c:v>
                </c:pt>
                <c:pt idx="2893">
                  <c:v>9167528.2575621996</c:v>
                </c:pt>
                <c:pt idx="2894">
                  <c:v>9170697.1231887341</c:v>
                </c:pt>
                <c:pt idx="2895">
                  <c:v>9173865.9888152685</c:v>
                </c:pt>
                <c:pt idx="2896">
                  <c:v>9177034.8544418011</c:v>
                </c:pt>
                <c:pt idx="2897">
                  <c:v>9180203.7200683355</c:v>
                </c:pt>
                <c:pt idx="2898">
                  <c:v>9183372.58569487</c:v>
                </c:pt>
                <c:pt idx="2899">
                  <c:v>9186541.4513214026</c:v>
                </c:pt>
                <c:pt idx="2900">
                  <c:v>9189710.316947937</c:v>
                </c:pt>
                <c:pt idx="2901">
                  <c:v>9192879.1825744715</c:v>
                </c:pt>
                <c:pt idx="2902">
                  <c:v>9196048.048201004</c:v>
                </c:pt>
                <c:pt idx="2903">
                  <c:v>9199216.9138275385</c:v>
                </c:pt>
                <c:pt idx="2904">
                  <c:v>9202385.7794540711</c:v>
                </c:pt>
                <c:pt idx="2905">
                  <c:v>9205554.6450806055</c:v>
                </c:pt>
                <c:pt idx="2906">
                  <c:v>9208723.51070714</c:v>
                </c:pt>
                <c:pt idx="2907">
                  <c:v>9211892.3763336726</c:v>
                </c:pt>
                <c:pt idx="2908">
                  <c:v>9215061.241960207</c:v>
                </c:pt>
                <c:pt idx="2909">
                  <c:v>9218230.1075867414</c:v>
                </c:pt>
                <c:pt idx="2910">
                  <c:v>9221398.973213274</c:v>
                </c:pt>
                <c:pt idx="2911">
                  <c:v>9224567.8388398085</c:v>
                </c:pt>
                <c:pt idx="2912">
                  <c:v>9227736.7044663429</c:v>
                </c:pt>
                <c:pt idx="2913">
                  <c:v>9230905.5700928755</c:v>
                </c:pt>
                <c:pt idx="2914">
                  <c:v>9234074.43571941</c:v>
                </c:pt>
                <c:pt idx="2915">
                  <c:v>9237243.3013459425</c:v>
                </c:pt>
                <c:pt idx="2916">
                  <c:v>9240412.166972477</c:v>
                </c:pt>
                <c:pt idx="2917">
                  <c:v>9243581.0325990114</c:v>
                </c:pt>
                <c:pt idx="2918">
                  <c:v>9246749.898225544</c:v>
                </c:pt>
                <c:pt idx="2919">
                  <c:v>9249918.7638520785</c:v>
                </c:pt>
                <c:pt idx="2920">
                  <c:v>9253087.6294786129</c:v>
                </c:pt>
                <c:pt idx="2921">
                  <c:v>9256256.4951051455</c:v>
                </c:pt>
                <c:pt idx="2922">
                  <c:v>9259425.3607316799</c:v>
                </c:pt>
                <c:pt idx="2923">
                  <c:v>9262594.2263582144</c:v>
                </c:pt>
                <c:pt idx="2924">
                  <c:v>9265763.091984747</c:v>
                </c:pt>
                <c:pt idx="2925">
                  <c:v>9268931.9576112814</c:v>
                </c:pt>
                <c:pt idx="2926">
                  <c:v>9272100.823237814</c:v>
                </c:pt>
                <c:pt idx="2927">
                  <c:v>9275269.6888643485</c:v>
                </c:pt>
                <c:pt idx="2928">
                  <c:v>9278438.5544908829</c:v>
                </c:pt>
                <c:pt idx="2929">
                  <c:v>9281607.4201174155</c:v>
                </c:pt>
                <c:pt idx="2930">
                  <c:v>9284776.2857439499</c:v>
                </c:pt>
                <c:pt idx="2931">
                  <c:v>9287945.1513704844</c:v>
                </c:pt>
                <c:pt idx="2932">
                  <c:v>9291114.016997017</c:v>
                </c:pt>
                <c:pt idx="2933">
                  <c:v>9294282.8826235514</c:v>
                </c:pt>
                <c:pt idx="2934">
                  <c:v>9297451.7482500859</c:v>
                </c:pt>
                <c:pt idx="2935">
                  <c:v>9300620.6138766184</c:v>
                </c:pt>
                <c:pt idx="2936">
                  <c:v>9303789.4795031529</c:v>
                </c:pt>
                <c:pt idx="2937">
                  <c:v>9306958.3451296855</c:v>
                </c:pt>
                <c:pt idx="2938">
                  <c:v>9310127.2107562199</c:v>
                </c:pt>
                <c:pt idx="2939">
                  <c:v>9313296.0763827544</c:v>
                </c:pt>
                <c:pt idx="2940">
                  <c:v>9316464.942009287</c:v>
                </c:pt>
                <c:pt idx="2941">
                  <c:v>9319633.8076358214</c:v>
                </c:pt>
                <c:pt idx="2942">
                  <c:v>9322802.6732623558</c:v>
                </c:pt>
                <c:pt idx="2943">
                  <c:v>9325971.5388888884</c:v>
                </c:pt>
                <c:pt idx="2944">
                  <c:v>9329140.4045154229</c:v>
                </c:pt>
                <c:pt idx="2945">
                  <c:v>9332309.2701419573</c:v>
                </c:pt>
                <c:pt idx="2946">
                  <c:v>9335478.1357684899</c:v>
                </c:pt>
                <c:pt idx="2947">
                  <c:v>9338647.0013950244</c:v>
                </c:pt>
                <c:pt idx="2948">
                  <c:v>9341815.8670215569</c:v>
                </c:pt>
                <c:pt idx="2949">
                  <c:v>9344984.7326480914</c:v>
                </c:pt>
                <c:pt idx="2950">
                  <c:v>9348153.5982746258</c:v>
                </c:pt>
                <c:pt idx="2951">
                  <c:v>9351322.4639011584</c:v>
                </c:pt>
                <c:pt idx="2952">
                  <c:v>9354491.3295276929</c:v>
                </c:pt>
                <c:pt idx="2953">
                  <c:v>9357660.1951542273</c:v>
                </c:pt>
                <c:pt idx="2954">
                  <c:v>9360829.0607807599</c:v>
                </c:pt>
                <c:pt idx="2955">
                  <c:v>9363997.9264072943</c:v>
                </c:pt>
                <c:pt idx="2956">
                  <c:v>9367166.7920338288</c:v>
                </c:pt>
                <c:pt idx="2957">
                  <c:v>9370335.6576603614</c:v>
                </c:pt>
                <c:pt idx="2958">
                  <c:v>9373504.5232868958</c:v>
                </c:pt>
                <c:pt idx="2959">
                  <c:v>9376673.3889134284</c:v>
                </c:pt>
                <c:pt idx="2960">
                  <c:v>9379842.2545399629</c:v>
                </c:pt>
                <c:pt idx="2961">
                  <c:v>9383011.1201664973</c:v>
                </c:pt>
                <c:pt idx="2962">
                  <c:v>9386179.9857930299</c:v>
                </c:pt>
                <c:pt idx="2963">
                  <c:v>9389348.8514195643</c:v>
                </c:pt>
                <c:pt idx="2964">
                  <c:v>9392517.7170460988</c:v>
                </c:pt>
                <c:pt idx="2965">
                  <c:v>9395686.5826726314</c:v>
                </c:pt>
                <c:pt idx="2966">
                  <c:v>9398855.4482991658</c:v>
                </c:pt>
                <c:pt idx="2967">
                  <c:v>9402024.3139257003</c:v>
                </c:pt>
                <c:pt idx="2968">
                  <c:v>9405193.1795522328</c:v>
                </c:pt>
                <c:pt idx="2969">
                  <c:v>9408362.0451787673</c:v>
                </c:pt>
                <c:pt idx="2970">
                  <c:v>9411530.9108053017</c:v>
                </c:pt>
                <c:pt idx="2971">
                  <c:v>9414699.7764318343</c:v>
                </c:pt>
                <c:pt idx="2972">
                  <c:v>9417868.6420583688</c:v>
                </c:pt>
                <c:pt idx="2973">
                  <c:v>9421037.5076849014</c:v>
                </c:pt>
                <c:pt idx="2974">
                  <c:v>9424206.3733114358</c:v>
                </c:pt>
                <c:pt idx="2975">
                  <c:v>9427375.2389379703</c:v>
                </c:pt>
                <c:pt idx="2976">
                  <c:v>9430544.1045645028</c:v>
                </c:pt>
                <c:pt idx="2977">
                  <c:v>9433712.9701910373</c:v>
                </c:pt>
                <c:pt idx="2978">
                  <c:v>9436881.8358175717</c:v>
                </c:pt>
                <c:pt idx="2979">
                  <c:v>9440050.7014441043</c:v>
                </c:pt>
                <c:pt idx="2980">
                  <c:v>9443219.5670706388</c:v>
                </c:pt>
                <c:pt idx="2981">
                  <c:v>9446388.4326971732</c:v>
                </c:pt>
                <c:pt idx="2982">
                  <c:v>9449557.2983237058</c:v>
                </c:pt>
                <c:pt idx="2983">
                  <c:v>9452726.1639502402</c:v>
                </c:pt>
                <c:pt idx="2984">
                  <c:v>9455895.0295767728</c:v>
                </c:pt>
                <c:pt idx="2985">
                  <c:v>9459063.8952033073</c:v>
                </c:pt>
                <c:pt idx="2986">
                  <c:v>9462232.7608298417</c:v>
                </c:pt>
                <c:pt idx="2987">
                  <c:v>9465401.6264563743</c:v>
                </c:pt>
                <c:pt idx="2988">
                  <c:v>9468570.4920829087</c:v>
                </c:pt>
                <c:pt idx="2989">
                  <c:v>9471739.3577094432</c:v>
                </c:pt>
                <c:pt idx="2990">
                  <c:v>9474908.2233359758</c:v>
                </c:pt>
                <c:pt idx="2991">
                  <c:v>9478077.0889625102</c:v>
                </c:pt>
                <c:pt idx="2992">
                  <c:v>9481245.9545890447</c:v>
                </c:pt>
                <c:pt idx="2993">
                  <c:v>9484414.8202155773</c:v>
                </c:pt>
                <c:pt idx="2994">
                  <c:v>9487583.6858421117</c:v>
                </c:pt>
                <c:pt idx="2995">
                  <c:v>9490752.5514686443</c:v>
                </c:pt>
                <c:pt idx="2996">
                  <c:v>9493921.4170951787</c:v>
                </c:pt>
                <c:pt idx="2997">
                  <c:v>9497090.2827217132</c:v>
                </c:pt>
                <c:pt idx="2998">
                  <c:v>9500259.1483482458</c:v>
                </c:pt>
                <c:pt idx="2999">
                  <c:v>9503428.0139747802</c:v>
                </c:pt>
                <c:pt idx="3000">
                  <c:v>9506596.8796013147</c:v>
                </c:pt>
                <c:pt idx="3001">
                  <c:v>9509765.7452278472</c:v>
                </c:pt>
                <c:pt idx="3002">
                  <c:v>9512934.6108543817</c:v>
                </c:pt>
                <c:pt idx="3003">
                  <c:v>9516103.4764809161</c:v>
                </c:pt>
                <c:pt idx="3004">
                  <c:v>9519272.3421074487</c:v>
                </c:pt>
                <c:pt idx="3005">
                  <c:v>9522441.2077339832</c:v>
                </c:pt>
                <c:pt idx="3006">
                  <c:v>9525610.0733605158</c:v>
                </c:pt>
                <c:pt idx="3007">
                  <c:v>9528778.9389870502</c:v>
                </c:pt>
                <c:pt idx="3008">
                  <c:v>9531947.8046135847</c:v>
                </c:pt>
                <c:pt idx="3009">
                  <c:v>9535116.6702401172</c:v>
                </c:pt>
                <c:pt idx="3010">
                  <c:v>9538285.5358666517</c:v>
                </c:pt>
                <c:pt idx="3011">
                  <c:v>9541454.4014931861</c:v>
                </c:pt>
                <c:pt idx="3012">
                  <c:v>9544623.2671197187</c:v>
                </c:pt>
                <c:pt idx="3013">
                  <c:v>9547792.1327462532</c:v>
                </c:pt>
                <c:pt idx="3014">
                  <c:v>9550960.9983727876</c:v>
                </c:pt>
                <c:pt idx="3015">
                  <c:v>9554129.8639993202</c:v>
                </c:pt>
                <c:pt idx="3016">
                  <c:v>9557298.7296258546</c:v>
                </c:pt>
                <c:pt idx="3017">
                  <c:v>9560467.5952523872</c:v>
                </c:pt>
                <c:pt idx="3018">
                  <c:v>9563636.4608789217</c:v>
                </c:pt>
                <c:pt idx="3019">
                  <c:v>9566805.3265054561</c:v>
                </c:pt>
                <c:pt idx="3020">
                  <c:v>9569974.1921319887</c:v>
                </c:pt>
                <c:pt idx="3021">
                  <c:v>9573143.0577585232</c:v>
                </c:pt>
                <c:pt idx="3022">
                  <c:v>9576311.9233850576</c:v>
                </c:pt>
                <c:pt idx="3023">
                  <c:v>9579480.7890115902</c:v>
                </c:pt>
                <c:pt idx="3024">
                  <c:v>9582649.6546381246</c:v>
                </c:pt>
                <c:pt idx="3025">
                  <c:v>9585818.5202646591</c:v>
                </c:pt>
                <c:pt idx="3026">
                  <c:v>9588987.3858911917</c:v>
                </c:pt>
                <c:pt idx="3027">
                  <c:v>9592156.2515177261</c:v>
                </c:pt>
                <c:pt idx="3028">
                  <c:v>9595325.1171442587</c:v>
                </c:pt>
                <c:pt idx="3029">
                  <c:v>9598493.9827707931</c:v>
                </c:pt>
                <c:pt idx="3030">
                  <c:v>9601662.8483973276</c:v>
                </c:pt>
                <c:pt idx="3031">
                  <c:v>9604831.7140238602</c:v>
                </c:pt>
                <c:pt idx="3032">
                  <c:v>9608000.5796503946</c:v>
                </c:pt>
                <c:pt idx="3033">
                  <c:v>9611169.4452769291</c:v>
                </c:pt>
                <c:pt idx="3034">
                  <c:v>9614338.3109034617</c:v>
                </c:pt>
                <c:pt idx="3035">
                  <c:v>9617507.1765299961</c:v>
                </c:pt>
                <c:pt idx="3036">
                  <c:v>9620676.0421565305</c:v>
                </c:pt>
                <c:pt idx="3037">
                  <c:v>9623844.9077830631</c:v>
                </c:pt>
                <c:pt idx="3038">
                  <c:v>9627013.7734095976</c:v>
                </c:pt>
                <c:pt idx="3039">
                  <c:v>9630182.6390361302</c:v>
                </c:pt>
                <c:pt idx="3040">
                  <c:v>9633351.5046626646</c:v>
                </c:pt>
                <c:pt idx="3041">
                  <c:v>9636520.3702891991</c:v>
                </c:pt>
                <c:pt idx="3042">
                  <c:v>9639689.2359157316</c:v>
                </c:pt>
                <c:pt idx="3043">
                  <c:v>9642858.1015422661</c:v>
                </c:pt>
                <c:pt idx="3044">
                  <c:v>9646026.9671688005</c:v>
                </c:pt>
                <c:pt idx="3045">
                  <c:v>9649195.8327953331</c:v>
                </c:pt>
                <c:pt idx="3046">
                  <c:v>9652364.6984218676</c:v>
                </c:pt>
                <c:pt idx="3047">
                  <c:v>9655533.564048402</c:v>
                </c:pt>
                <c:pt idx="3048">
                  <c:v>9658702.4296749346</c:v>
                </c:pt>
                <c:pt idx="3049">
                  <c:v>9661871.295301469</c:v>
                </c:pt>
                <c:pt idx="3050">
                  <c:v>9665040.1609280016</c:v>
                </c:pt>
                <c:pt idx="3051">
                  <c:v>9668209.0265545361</c:v>
                </c:pt>
                <c:pt idx="3052">
                  <c:v>9671377.8921810705</c:v>
                </c:pt>
                <c:pt idx="3053">
                  <c:v>9674546.7578076031</c:v>
                </c:pt>
                <c:pt idx="3054">
                  <c:v>9677715.6234341376</c:v>
                </c:pt>
                <c:pt idx="3055">
                  <c:v>9680884.489060672</c:v>
                </c:pt>
                <c:pt idx="3056">
                  <c:v>9684053.3546872046</c:v>
                </c:pt>
                <c:pt idx="3057">
                  <c:v>9687222.220313739</c:v>
                </c:pt>
                <c:pt idx="3058">
                  <c:v>9690391.0859402735</c:v>
                </c:pt>
                <c:pt idx="3059">
                  <c:v>9693559.9515668061</c:v>
                </c:pt>
                <c:pt idx="3060">
                  <c:v>9696728.8171933405</c:v>
                </c:pt>
                <c:pt idx="3061">
                  <c:v>9699897.6828198731</c:v>
                </c:pt>
                <c:pt idx="3062">
                  <c:v>9703066.5484464075</c:v>
                </c:pt>
                <c:pt idx="3063">
                  <c:v>9706235.414072942</c:v>
                </c:pt>
                <c:pt idx="3064">
                  <c:v>9709404.2796994746</c:v>
                </c:pt>
                <c:pt idx="3065">
                  <c:v>9712573.145326009</c:v>
                </c:pt>
                <c:pt idx="3066">
                  <c:v>9715742.0109525435</c:v>
                </c:pt>
                <c:pt idx="3067">
                  <c:v>9718910.8765790761</c:v>
                </c:pt>
                <c:pt idx="3068">
                  <c:v>9722079.7422056105</c:v>
                </c:pt>
                <c:pt idx="3069">
                  <c:v>9725248.6078321449</c:v>
                </c:pt>
                <c:pt idx="3070">
                  <c:v>9728417.4734586775</c:v>
                </c:pt>
                <c:pt idx="3071">
                  <c:v>9731586.339085212</c:v>
                </c:pt>
                <c:pt idx="3072">
                  <c:v>9734755.2047117464</c:v>
                </c:pt>
                <c:pt idx="3073">
                  <c:v>9737924.070338279</c:v>
                </c:pt>
                <c:pt idx="3074">
                  <c:v>9741092.9359648135</c:v>
                </c:pt>
                <c:pt idx="3075">
                  <c:v>9744261.801591346</c:v>
                </c:pt>
                <c:pt idx="3076">
                  <c:v>9747430.6672178805</c:v>
                </c:pt>
                <c:pt idx="3077">
                  <c:v>9750599.5328444149</c:v>
                </c:pt>
                <c:pt idx="3078">
                  <c:v>9753768.3984709475</c:v>
                </c:pt>
                <c:pt idx="3079">
                  <c:v>9756937.264097482</c:v>
                </c:pt>
                <c:pt idx="3080">
                  <c:v>9760106.1297240164</c:v>
                </c:pt>
                <c:pt idx="3081">
                  <c:v>9763274.995350549</c:v>
                </c:pt>
                <c:pt idx="3082">
                  <c:v>9766443.8609770834</c:v>
                </c:pt>
                <c:pt idx="3083">
                  <c:v>9769612.7266036179</c:v>
                </c:pt>
                <c:pt idx="3084">
                  <c:v>9772781.5922301505</c:v>
                </c:pt>
                <c:pt idx="3085">
                  <c:v>9775950.4578566849</c:v>
                </c:pt>
                <c:pt idx="3086">
                  <c:v>9779119.3234832175</c:v>
                </c:pt>
                <c:pt idx="3087">
                  <c:v>9782288.189109752</c:v>
                </c:pt>
                <c:pt idx="3088">
                  <c:v>9785457.0547362864</c:v>
                </c:pt>
                <c:pt idx="3089">
                  <c:v>9788625.920362819</c:v>
                </c:pt>
                <c:pt idx="3090">
                  <c:v>9791794.7859893534</c:v>
                </c:pt>
                <c:pt idx="3091">
                  <c:v>9794963.6516158879</c:v>
                </c:pt>
                <c:pt idx="3092">
                  <c:v>9798132.5172424205</c:v>
                </c:pt>
                <c:pt idx="3093">
                  <c:v>9801301.3828689549</c:v>
                </c:pt>
                <c:pt idx="3094">
                  <c:v>9804470.2484954894</c:v>
                </c:pt>
                <c:pt idx="3095">
                  <c:v>9807639.1141220219</c:v>
                </c:pt>
                <c:pt idx="3096">
                  <c:v>9810807.9797485564</c:v>
                </c:pt>
                <c:pt idx="3097">
                  <c:v>9813976.845375089</c:v>
                </c:pt>
                <c:pt idx="3098">
                  <c:v>9817145.7110016234</c:v>
                </c:pt>
                <c:pt idx="3099">
                  <c:v>9820314.5766281579</c:v>
                </c:pt>
                <c:pt idx="3100">
                  <c:v>9823483.4422546905</c:v>
                </c:pt>
                <c:pt idx="3101">
                  <c:v>9826652.3078812249</c:v>
                </c:pt>
                <c:pt idx="3102">
                  <c:v>9829821.1735077593</c:v>
                </c:pt>
                <c:pt idx="3103">
                  <c:v>9832990.0391342919</c:v>
                </c:pt>
                <c:pt idx="3104">
                  <c:v>9836158.9047608264</c:v>
                </c:pt>
                <c:pt idx="3105">
                  <c:v>9839327.7703873608</c:v>
                </c:pt>
                <c:pt idx="3106">
                  <c:v>9842496.6360138934</c:v>
                </c:pt>
                <c:pt idx="3107">
                  <c:v>9845665.5016404279</c:v>
                </c:pt>
                <c:pt idx="3108">
                  <c:v>9848834.3672669604</c:v>
                </c:pt>
                <c:pt idx="3109">
                  <c:v>9852003.2328934949</c:v>
                </c:pt>
                <c:pt idx="3110">
                  <c:v>9855172.0985200293</c:v>
                </c:pt>
                <c:pt idx="3111">
                  <c:v>9858340.9641465619</c:v>
                </c:pt>
                <c:pt idx="3112">
                  <c:v>9861509.8297730964</c:v>
                </c:pt>
                <c:pt idx="3113">
                  <c:v>9864678.6953996308</c:v>
                </c:pt>
                <c:pt idx="3114">
                  <c:v>9867847.5610261634</c:v>
                </c:pt>
                <c:pt idx="3115">
                  <c:v>9871016.4266526978</c:v>
                </c:pt>
                <c:pt idx="3116">
                  <c:v>9874185.2922792323</c:v>
                </c:pt>
                <c:pt idx="3117">
                  <c:v>9877354.1579057649</c:v>
                </c:pt>
                <c:pt idx="3118">
                  <c:v>9880523.0235322993</c:v>
                </c:pt>
                <c:pt idx="3119">
                  <c:v>9883691.8891588319</c:v>
                </c:pt>
                <c:pt idx="3120">
                  <c:v>9886860.7547853664</c:v>
                </c:pt>
                <c:pt idx="3121">
                  <c:v>9890029.6204119008</c:v>
                </c:pt>
                <c:pt idx="3122">
                  <c:v>9893198.4860384334</c:v>
                </c:pt>
                <c:pt idx="3123">
                  <c:v>9896367.3516649678</c:v>
                </c:pt>
                <c:pt idx="3124">
                  <c:v>9899536.2172915023</c:v>
                </c:pt>
                <c:pt idx="3125">
                  <c:v>9902705.0829180349</c:v>
                </c:pt>
                <c:pt idx="3126">
                  <c:v>9905873.9485445693</c:v>
                </c:pt>
                <c:pt idx="3127">
                  <c:v>9909042.8141711038</c:v>
                </c:pt>
                <c:pt idx="3128">
                  <c:v>9912211.6797976363</c:v>
                </c:pt>
                <c:pt idx="3129">
                  <c:v>9915380.5454241708</c:v>
                </c:pt>
                <c:pt idx="3130">
                  <c:v>9918549.4110507034</c:v>
                </c:pt>
                <c:pt idx="3131">
                  <c:v>9921718.2766772378</c:v>
                </c:pt>
                <c:pt idx="3132">
                  <c:v>9924887.1423037723</c:v>
                </c:pt>
                <c:pt idx="3133">
                  <c:v>9928056.0079303049</c:v>
                </c:pt>
                <c:pt idx="3134">
                  <c:v>9931224.8735568393</c:v>
                </c:pt>
                <c:pt idx="3135">
                  <c:v>9934393.7391833737</c:v>
                </c:pt>
                <c:pt idx="3136">
                  <c:v>9937562.6048099063</c:v>
                </c:pt>
                <c:pt idx="3137">
                  <c:v>9940731.4704364408</c:v>
                </c:pt>
                <c:pt idx="3138">
                  <c:v>9943900.3360629752</c:v>
                </c:pt>
                <c:pt idx="3139">
                  <c:v>9947069.2016895078</c:v>
                </c:pt>
                <c:pt idx="3140">
                  <c:v>9950238.0673160423</c:v>
                </c:pt>
                <c:pt idx="3141">
                  <c:v>9953406.9329425748</c:v>
                </c:pt>
                <c:pt idx="3142">
                  <c:v>9956575.7985691093</c:v>
                </c:pt>
                <c:pt idx="3143">
                  <c:v>9959744.6641956437</c:v>
                </c:pt>
                <c:pt idx="3144">
                  <c:v>9962913.5298221763</c:v>
                </c:pt>
                <c:pt idx="3145">
                  <c:v>9966082.3954487108</c:v>
                </c:pt>
                <c:pt idx="3146">
                  <c:v>9969251.2610752452</c:v>
                </c:pt>
                <c:pt idx="3147">
                  <c:v>9972420.1267017778</c:v>
                </c:pt>
                <c:pt idx="3148">
                  <c:v>9975588.9923283122</c:v>
                </c:pt>
                <c:pt idx="3149">
                  <c:v>9978757.8579548467</c:v>
                </c:pt>
                <c:pt idx="3150">
                  <c:v>9981926.7235813793</c:v>
                </c:pt>
                <c:pt idx="3151">
                  <c:v>9985095.5892079137</c:v>
                </c:pt>
                <c:pt idx="3152">
                  <c:v>9988264.4548344463</c:v>
                </c:pt>
                <c:pt idx="3153">
                  <c:v>9991433.3204609808</c:v>
                </c:pt>
                <c:pt idx="3154">
                  <c:v>9994602.1860875152</c:v>
                </c:pt>
                <c:pt idx="3155">
                  <c:v>9997771.0517140478</c:v>
                </c:pt>
                <c:pt idx="3156">
                  <c:v>10000939.917340582</c:v>
                </c:pt>
                <c:pt idx="3157">
                  <c:v>10004108.782967117</c:v>
                </c:pt>
                <c:pt idx="3158">
                  <c:v>10007277.648593649</c:v>
                </c:pt>
                <c:pt idx="3159">
                  <c:v>10010446.514220184</c:v>
                </c:pt>
                <c:pt idx="3160">
                  <c:v>10013615.379846718</c:v>
                </c:pt>
                <c:pt idx="3161">
                  <c:v>10016784.245473251</c:v>
                </c:pt>
                <c:pt idx="3162">
                  <c:v>10019953.111099785</c:v>
                </c:pt>
                <c:pt idx="3163">
                  <c:v>10023121.976726318</c:v>
                </c:pt>
                <c:pt idx="3164">
                  <c:v>10026290.842352852</c:v>
                </c:pt>
                <c:pt idx="3165">
                  <c:v>10029459.707979387</c:v>
                </c:pt>
                <c:pt idx="3166">
                  <c:v>10032628.573605919</c:v>
                </c:pt>
                <c:pt idx="3167">
                  <c:v>10035797.439232454</c:v>
                </c:pt>
                <c:pt idx="3168">
                  <c:v>10038966.304858988</c:v>
                </c:pt>
                <c:pt idx="3169">
                  <c:v>10042135.170485521</c:v>
                </c:pt>
                <c:pt idx="3170">
                  <c:v>10045304.036112055</c:v>
                </c:pt>
                <c:pt idx="3171">
                  <c:v>10048472.90173859</c:v>
                </c:pt>
                <c:pt idx="3172">
                  <c:v>10051641.767365122</c:v>
                </c:pt>
                <c:pt idx="3173">
                  <c:v>10054810.632991657</c:v>
                </c:pt>
                <c:pt idx="3174">
                  <c:v>10057979.498618189</c:v>
                </c:pt>
                <c:pt idx="3175">
                  <c:v>10061148.364244724</c:v>
                </c:pt>
                <c:pt idx="3176">
                  <c:v>10064317.229871258</c:v>
                </c:pt>
                <c:pt idx="3177">
                  <c:v>10067486.095497791</c:v>
                </c:pt>
                <c:pt idx="3178">
                  <c:v>10070654.961124325</c:v>
                </c:pt>
                <c:pt idx="3179">
                  <c:v>10073823.82675086</c:v>
                </c:pt>
                <c:pt idx="3180">
                  <c:v>10076992.692377392</c:v>
                </c:pt>
                <c:pt idx="3181">
                  <c:v>10080161.558003927</c:v>
                </c:pt>
                <c:pt idx="3182">
                  <c:v>10083330.423630461</c:v>
                </c:pt>
                <c:pt idx="3183">
                  <c:v>10086499.289256994</c:v>
                </c:pt>
                <c:pt idx="3184">
                  <c:v>10089668.154883528</c:v>
                </c:pt>
                <c:pt idx="3185">
                  <c:v>10092837.020510063</c:v>
                </c:pt>
                <c:pt idx="3186">
                  <c:v>10096005.886136595</c:v>
                </c:pt>
                <c:pt idx="3187">
                  <c:v>10099174.75176313</c:v>
                </c:pt>
                <c:pt idx="3188">
                  <c:v>10102343.617389662</c:v>
                </c:pt>
                <c:pt idx="3189">
                  <c:v>10105512.483016197</c:v>
                </c:pt>
                <c:pt idx="3190">
                  <c:v>10108681.348642731</c:v>
                </c:pt>
                <c:pt idx="3191">
                  <c:v>10111850.214269264</c:v>
                </c:pt>
                <c:pt idx="3192">
                  <c:v>10115019.079895798</c:v>
                </c:pt>
                <c:pt idx="3193">
                  <c:v>10118187.945522333</c:v>
                </c:pt>
                <c:pt idx="3194">
                  <c:v>10121356.811148865</c:v>
                </c:pt>
                <c:pt idx="3195">
                  <c:v>10124525.6767754</c:v>
                </c:pt>
                <c:pt idx="3196">
                  <c:v>10127694.542401934</c:v>
                </c:pt>
                <c:pt idx="3197">
                  <c:v>10130863.408028467</c:v>
                </c:pt>
                <c:pt idx="3198">
                  <c:v>10134032.273655001</c:v>
                </c:pt>
                <c:pt idx="3199">
                  <c:v>10137201.139281534</c:v>
                </c:pt>
                <c:pt idx="3200">
                  <c:v>10140370.004908068</c:v>
                </c:pt>
                <c:pt idx="3201">
                  <c:v>10143538.870534603</c:v>
                </c:pt>
                <c:pt idx="3202">
                  <c:v>10146707.736161135</c:v>
                </c:pt>
                <c:pt idx="3203">
                  <c:v>10149876.60178767</c:v>
                </c:pt>
                <c:pt idx="3204">
                  <c:v>10153045.467414204</c:v>
                </c:pt>
                <c:pt idx="3205">
                  <c:v>10156214.333040737</c:v>
                </c:pt>
                <c:pt idx="3206">
                  <c:v>10159383.198667271</c:v>
                </c:pt>
                <c:pt idx="3207">
                  <c:v>10162552.064293806</c:v>
                </c:pt>
                <c:pt idx="3208">
                  <c:v>10165720.929920338</c:v>
                </c:pt>
                <c:pt idx="3209">
                  <c:v>10168889.795546873</c:v>
                </c:pt>
                <c:pt idx="3210">
                  <c:v>10172058.661173405</c:v>
                </c:pt>
                <c:pt idx="3211">
                  <c:v>10175227.52679994</c:v>
                </c:pt>
                <c:pt idx="3212">
                  <c:v>10178396.392426474</c:v>
                </c:pt>
                <c:pt idx="3213">
                  <c:v>10181565.258053007</c:v>
                </c:pt>
                <c:pt idx="3214">
                  <c:v>10184734.123679541</c:v>
                </c:pt>
                <c:pt idx="3215">
                  <c:v>10187902.989306075</c:v>
                </c:pt>
                <c:pt idx="3216">
                  <c:v>10191071.854932608</c:v>
                </c:pt>
                <c:pt idx="3217">
                  <c:v>10194240.720559143</c:v>
                </c:pt>
                <c:pt idx="3218">
                  <c:v>10197409.586185677</c:v>
                </c:pt>
                <c:pt idx="3219">
                  <c:v>10200578.45181221</c:v>
                </c:pt>
                <c:pt idx="3220">
                  <c:v>10203747.317438744</c:v>
                </c:pt>
                <c:pt idx="3221">
                  <c:v>10206916.183065277</c:v>
                </c:pt>
                <c:pt idx="3222">
                  <c:v>10210085.048691811</c:v>
                </c:pt>
                <c:pt idx="3223">
                  <c:v>10213253.914318345</c:v>
                </c:pt>
                <c:pt idx="3224">
                  <c:v>10216422.779944878</c:v>
                </c:pt>
                <c:pt idx="3225">
                  <c:v>10219591.645571413</c:v>
                </c:pt>
                <c:pt idx="3226">
                  <c:v>10222760.511197947</c:v>
                </c:pt>
                <c:pt idx="3227">
                  <c:v>10225929.37682448</c:v>
                </c:pt>
                <c:pt idx="3228">
                  <c:v>10229098.242451014</c:v>
                </c:pt>
                <c:pt idx="3229">
                  <c:v>10232267.108077548</c:v>
                </c:pt>
                <c:pt idx="3230">
                  <c:v>10235435.973704081</c:v>
                </c:pt>
                <c:pt idx="3231">
                  <c:v>10238604.839330615</c:v>
                </c:pt>
                <c:pt idx="3232">
                  <c:v>10241773.704957148</c:v>
                </c:pt>
                <c:pt idx="3233">
                  <c:v>10244942.570583683</c:v>
                </c:pt>
                <c:pt idx="3234">
                  <c:v>10248111.436210217</c:v>
                </c:pt>
                <c:pt idx="3235">
                  <c:v>10251280.30183675</c:v>
                </c:pt>
                <c:pt idx="3236">
                  <c:v>10254449.167463284</c:v>
                </c:pt>
                <c:pt idx="3237">
                  <c:v>10257618.033089818</c:v>
                </c:pt>
                <c:pt idx="3238">
                  <c:v>10260786.898716351</c:v>
                </c:pt>
                <c:pt idx="3239">
                  <c:v>10263955.764342885</c:v>
                </c:pt>
                <c:pt idx="3240">
                  <c:v>10267124.62996942</c:v>
                </c:pt>
                <c:pt idx="3241">
                  <c:v>10270293.495595952</c:v>
                </c:pt>
                <c:pt idx="3242">
                  <c:v>10273462.361222487</c:v>
                </c:pt>
                <c:pt idx="3243">
                  <c:v>10276631.22684902</c:v>
                </c:pt>
                <c:pt idx="3244">
                  <c:v>10279800.092475554</c:v>
                </c:pt>
                <c:pt idx="3245">
                  <c:v>10282968.958102088</c:v>
                </c:pt>
                <c:pt idx="3246">
                  <c:v>10286137.823728621</c:v>
                </c:pt>
                <c:pt idx="3247">
                  <c:v>10289306.689355155</c:v>
                </c:pt>
                <c:pt idx="3248">
                  <c:v>10292475.55498169</c:v>
                </c:pt>
                <c:pt idx="3249">
                  <c:v>10295644.420608222</c:v>
                </c:pt>
                <c:pt idx="3250">
                  <c:v>10298813.286234757</c:v>
                </c:pt>
                <c:pt idx="3251">
                  <c:v>10301982.151861291</c:v>
                </c:pt>
                <c:pt idx="3252">
                  <c:v>10305151.017487824</c:v>
                </c:pt>
                <c:pt idx="3253">
                  <c:v>10308319.883114358</c:v>
                </c:pt>
                <c:pt idx="3254">
                  <c:v>10311488.748740891</c:v>
                </c:pt>
                <c:pt idx="3255">
                  <c:v>10314657.614367425</c:v>
                </c:pt>
                <c:pt idx="3256">
                  <c:v>10317826.47999396</c:v>
                </c:pt>
                <c:pt idx="3257">
                  <c:v>10320995.345620492</c:v>
                </c:pt>
                <c:pt idx="3258">
                  <c:v>10324164.211247027</c:v>
                </c:pt>
                <c:pt idx="3259">
                  <c:v>10327333.076873561</c:v>
                </c:pt>
                <c:pt idx="3260">
                  <c:v>10330501.942500094</c:v>
                </c:pt>
                <c:pt idx="3261">
                  <c:v>10333670.808126628</c:v>
                </c:pt>
                <c:pt idx="3262">
                  <c:v>10336839.673753163</c:v>
                </c:pt>
                <c:pt idx="3263">
                  <c:v>10340008.539379695</c:v>
                </c:pt>
                <c:pt idx="3264">
                  <c:v>10343177.40500623</c:v>
                </c:pt>
                <c:pt idx="3265">
                  <c:v>10346346.270632762</c:v>
                </c:pt>
                <c:pt idx="3266">
                  <c:v>10349515.136259297</c:v>
                </c:pt>
                <c:pt idx="3267">
                  <c:v>10352684.001885831</c:v>
                </c:pt>
                <c:pt idx="3268">
                  <c:v>10355852.867512364</c:v>
                </c:pt>
                <c:pt idx="3269">
                  <c:v>10359021.733138898</c:v>
                </c:pt>
                <c:pt idx="3270">
                  <c:v>10362190.598765433</c:v>
                </c:pt>
                <c:pt idx="3271">
                  <c:v>10365359.464391965</c:v>
                </c:pt>
                <c:pt idx="3272">
                  <c:v>10368528.3300185</c:v>
                </c:pt>
                <c:pt idx="3273">
                  <c:v>10371697.195645034</c:v>
                </c:pt>
                <c:pt idx="3274">
                  <c:v>10374866.061271567</c:v>
                </c:pt>
                <c:pt idx="3275">
                  <c:v>10378034.926898101</c:v>
                </c:pt>
                <c:pt idx="3276">
                  <c:v>10381203.792524634</c:v>
                </c:pt>
                <c:pt idx="3277">
                  <c:v>10384372.658151168</c:v>
                </c:pt>
                <c:pt idx="3278">
                  <c:v>10387541.523777703</c:v>
                </c:pt>
                <c:pt idx="3279">
                  <c:v>10390710.389404235</c:v>
                </c:pt>
                <c:pt idx="3280">
                  <c:v>10393879.25503077</c:v>
                </c:pt>
                <c:pt idx="3281">
                  <c:v>10397048.120657304</c:v>
                </c:pt>
                <c:pt idx="3282">
                  <c:v>10400216.986283837</c:v>
                </c:pt>
                <c:pt idx="3283">
                  <c:v>10403385.851910371</c:v>
                </c:pt>
                <c:pt idx="3284">
                  <c:v>10406554.717536906</c:v>
                </c:pt>
                <c:pt idx="3285">
                  <c:v>10409723.583163438</c:v>
                </c:pt>
                <c:pt idx="3286">
                  <c:v>10412892.448789973</c:v>
                </c:pt>
                <c:pt idx="3287">
                  <c:v>10416061.314416505</c:v>
                </c:pt>
                <c:pt idx="3288">
                  <c:v>10419230.18004304</c:v>
                </c:pt>
                <c:pt idx="3289">
                  <c:v>10422399.045669574</c:v>
                </c:pt>
                <c:pt idx="3290">
                  <c:v>10425567.911296107</c:v>
                </c:pt>
                <c:pt idx="3291">
                  <c:v>10428736.776922641</c:v>
                </c:pt>
                <c:pt idx="3292">
                  <c:v>10431905.642549176</c:v>
                </c:pt>
                <c:pt idx="3293">
                  <c:v>10435074.508175708</c:v>
                </c:pt>
                <c:pt idx="3294">
                  <c:v>10438243.373802243</c:v>
                </c:pt>
                <c:pt idx="3295">
                  <c:v>10441412.239428777</c:v>
                </c:pt>
                <c:pt idx="3296">
                  <c:v>10444581.10505531</c:v>
                </c:pt>
                <c:pt idx="3297">
                  <c:v>10447749.970681844</c:v>
                </c:pt>
                <c:pt idx="3298">
                  <c:v>10450918.836308379</c:v>
                </c:pt>
                <c:pt idx="3299">
                  <c:v>10454087.701934911</c:v>
                </c:pt>
                <c:pt idx="3300">
                  <c:v>10457256.567561446</c:v>
                </c:pt>
                <c:pt idx="3301">
                  <c:v>10460425.433187978</c:v>
                </c:pt>
                <c:pt idx="3302">
                  <c:v>10463594.298814513</c:v>
                </c:pt>
                <c:pt idx="3303">
                  <c:v>10466763.164441047</c:v>
                </c:pt>
                <c:pt idx="3304">
                  <c:v>10469932.03006758</c:v>
                </c:pt>
                <c:pt idx="3305">
                  <c:v>10473100.895694114</c:v>
                </c:pt>
                <c:pt idx="3306">
                  <c:v>10476269.761320649</c:v>
                </c:pt>
                <c:pt idx="3307">
                  <c:v>10479438.626947181</c:v>
                </c:pt>
                <c:pt idx="3308">
                  <c:v>10482607.492573716</c:v>
                </c:pt>
                <c:pt idx="3309">
                  <c:v>10485776.35820025</c:v>
                </c:pt>
                <c:pt idx="3310">
                  <c:v>10488945.223826783</c:v>
                </c:pt>
                <c:pt idx="3311">
                  <c:v>10492114.089453317</c:v>
                </c:pt>
                <c:pt idx="3312">
                  <c:v>10495282.95507985</c:v>
                </c:pt>
                <c:pt idx="3313">
                  <c:v>10498451.820706384</c:v>
                </c:pt>
                <c:pt idx="3314">
                  <c:v>10501620.686332919</c:v>
                </c:pt>
                <c:pt idx="3315">
                  <c:v>10504789.551959451</c:v>
                </c:pt>
                <c:pt idx="3316">
                  <c:v>10507958.417585986</c:v>
                </c:pt>
                <c:pt idx="3317">
                  <c:v>10511127.28321252</c:v>
                </c:pt>
                <c:pt idx="3318">
                  <c:v>10514296.148839053</c:v>
                </c:pt>
                <c:pt idx="3319">
                  <c:v>10517465.014465587</c:v>
                </c:pt>
                <c:pt idx="3320">
                  <c:v>10520633.880092122</c:v>
                </c:pt>
                <c:pt idx="3321">
                  <c:v>10523802.745718654</c:v>
                </c:pt>
                <c:pt idx="3322">
                  <c:v>10526971.611345189</c:v>
                </c:pt>
                <c:pt idx="3323">
                  <c:v>10530140.476971721</c:v>
                </c:pt>
                <c:pt idx="3324">
                  <c:v>10533309.342598256</c:v>
                </c:pt>
                <c:pt idx="3325">
                  <c:v>10536478.20822479</c:v>
                </c:pt>
                <c:pt idx="3326">
                  <c:v>10539647.073851323</c:v>
                </c:pt>
                <c:pt idx="3327">
                  <c:v>10542815.939477857</c:v>
                </c:pt>
                <c:pt idx="3328">
                  <c:v>10545984.805104392</c:v>
                </c:pt>
                <c:pt idx="3329">
                  <c:v>10549153.670730924</c:v>
                </c:pt>
                <c:pt idx="3330">
                  <c:v>10552322.536357459</c:v>
                </c:pt>
                <c:pt idx="3331">
                  <c:v>10555491.401983993</c:v>
                </c:pt>
                <c:pt idx="3332">
                  <c:v>10558660.267610526</c:v>
                </c:pt>
                <c:pt idx="3333">
                  <c:v>10561829.13323706</c:v>
                </c:pt>
                <c:pt idx="3334">
                  <c:v>10564997.998863593</c:v>
                </c:pt>
                <c:pt idx="3335">
                  <c:v>10568166.864490127</c:v>
                </c:pt>
                <c:pt idx="3336">
                  <c:v>10571335.730116662</c:v>
                </c:pt>
                <c:pt idx="3337">
                  <c:v>10574504.595743194</c:v>
                </c:pt>
                <c:pt idx="3338">
                  <c:v>10577673.461369729</c:v>
                </c:pt>
                <c:pt idx="3339">
                  <c:v>10580842.326996263</c:v>
                </c:pt>
                <c:pt idx="3340">
                  <c:v>10584011.192622796</c:v>
                </c:pt>
                <c:pt idx="3341">
                  <c:v>10587180.05824933</c:v>
                </c:pt>
                <c:pt idx="3342">
                  <c:v>10590348.923875865</c:v>
                </c:pt>
                <c:pt idx="3343">
                  <c:v>10593517.789502397</c:v>
                </c:pt>
                <c:pt idx="3344">
                  <c:v>10596686.655128932</c:v>
                </c:pt>
                <c:pt idx="3345">
                  <c:v>10599855.520755464</c:v>
                </c:pt>
                <c:pt idx="3346">
                  <c:v>10603024.386381999</c:v>
                </c:pt>
                <c:pt idx="3347">
                  <c:v>10606193.252008533</c:v>
                </c:pt>
                <c:pt idx="3348">
                  <c:v>10609362.117635066</c:v>
                </c:pt>
                <c:pt idx="3349">
                  <c:v>10612530.9832616</c:v>
                </c:pt>
                <c:pt idx="3350">
                  <c:v>10615699.848888135</c:v>
                </c:pt>
                <c:pt idx="3351">
                  <c:v>10618868.714514667</c:v>
                </c:pt>
                <c:pt idx="3352">
                  <c:v>10622037.580141202</c:v>
                </c:pt>
                <c:pt idx="3353">
                  <c:v>10625206.445767736</c:v>
                </c:pt>
                <c:pt idx="3354">
                  <c:v>10628375.311394269</c:v>
                </c:pt>
                <c:pt idx="3355">
                  <c:v>10631544.177020803</c:v>
                </c:pt>
                <c:pt idx="3356">
                  <c:v>10634713.042647336</c:v>
                </c:pt>
                <c:pt idx="3357">
                  <c:v>10637881.90827387</c:v>
                </c:pt>
                <c:pt idx="3358">
                  <c:v>10641050.773900405</c:v>
                </c:pt>
                <c:pt idx="3359">
                  <c:v>10644219.639526937</c:v>
                </c:pt>
                <c:pt idx="3360">
                  <c:v>10647388.505153472</c:v>
                </c:pt>
                <c:pt idx="3361">
                  <c:v>10650557.370780006</c:v>
                </c:pt>
                <c:pt idx="3362">
                  <c:v>10653726.236406539</c:v>
                </c:pt>
                <c:pt idx="3363">
                  <c:v>10656895.102033073</c:v>
                </c:pt>
                <c:pt idx="3364">
                  <c:v>10660063.967659608</c:v>
                </c:pt>
                <c:pt idx="3365">
                  <c:v>10663232.83328614</c:v>
                </c:pt>
                <c:pt idx="3366">
                  <c:v>10666401.698912675</c:v>
                </c:pt>
                <c:pt idx="3367">
                  <c:v>10669570.564539207</c:v>
                </c:pt>
                <c:pt idx="3368">
                  <c:v>10672739.430165742</c:v>
                </c:pt>
                <c:pt idx="3369">
                  <c:v>10675908.295792276</c:v>
                </c:pt>
                <c:pt idx="3370">
                  <c:v>10679077.161418809</c:v>
                </c:pt>
                <c:pt idx="3371">
                  <c:v>10682246.027045343</c:v>
                </c:pt>
                <c:pt idx="3372">
                  <c:v>10685414.892671878</c:v>
                </c:pt>
                <c:pt idx="3373">
                  <c:v>10688583.75829841</c:v>
                </c:pt>
                <c:pt idx="3374">
                  <c:v>10691752.623924945</c:v>
                </c:pt>
                <c:pt idx="3375">
                  <c:v>10694921.489551479</c:v>
                </c:pt>
                <c:pt idx="3376">
                  <c:v>10698090.355178012</c:v>
                </c:pt>
                <c:pt idx="3377">
                  <c:v>10701259.220804546</c:v>
                </c:pt>
                <c:pt idx="3378">
                  <c:v>10704428.086431079</c:v>
                </c:pt>
                <c:pt idx="3379">
                  <c:v>10707596.952057613</c:v>
                </c:pt>
                <c:pt idx="3380">
                  <c:v>10710765.817684148</c:v>
                </c:pt>
                <c:pt idx="3381">
                  <c:v>10713934.68331068</c:v>
                </c:pt>
                <c:pt idx="3382">
                  <c:v>10717103.548937215</c:v>
                </c:pt>
                <c:pt idx="3383">
                  <c:v>10720272.414563749</c:v>
                </c:pt>
                <c:pt idx="3384">
                  <c:v>10723441.280190282</c:v>
                </c:pt>
                <c:pt idx="3385">
                  <c:v>10726610.145816816</c:v>
                </c:pt>
                <c:pt idx="3386">
                  <c:v>10729779.01144335</c:v>
                </c:pt>
                <c:pt idx="3387">
                  <c:v>10732947.877069883</c:v>
                </c:pt>
                <c:pt idx="3388">
                  <c:v>10736116.742696417</c:v>
                </c:pt>
                <c:pt idx="3389">
                  <c:v>10739285.60832295</c:v>
                </c:pt>
                <c:pt idx="3390">
                  <c:v>10742454.473949485</c:v>
                </c:pt>
                <c:pt idx="3391">
                  <c:v>10745623.339576019</c:v>
                </c:pt>
                <c:pt idx="3392">
                  <c:v>10748792.205202552</c:v>
                </c:pt>
                <c:pt idx="3393">
                  <c:v>10751961.070829086</c:v>
                </c:pt>
                <c:pt idx="3394">
                  <c:v>10755129.93645562</c:v>
                </c:pt>
                <c:pt idx="3395">
                  <c:v>10758298.802082153</c:v>
                </c:pt>
                <c:pt idx="3396">
                  <c:v>10761467.667708687</c:v>
                </c:pt>
                <c:pt idx="3397">
                  <c:v>10764636.533335222</c:v>
                </c:pt>
                <c:pt idx="3398">
                  <c:v>10767805.398961755</c:v>
                </c:pt>
                <c:pt idx="3399">
                  <c:v>10770974.264588289</c:v>
                </c:pt>
                <c:pt idx="3400">
                  <c:v>10774143.130214823</c:v>
                </c:pt>
                <c:pt idx="3401">
                  <c:v>10777311.995841356</c:v>
                </c:pt>
                <c:pt idx="3402">
                  <c:v>10780480.86146789</c:v>
                </c:pt>
                <c:pt idx="3403">
                  <c:v>10783649.727094423</c:v>
                </c:pt>
                <c:pt idx="3404">
                  <c:v>10786818.592720957</c:v>
                </c:pt>
                <c:pt idx="3405">
                  <c:v>10789987.458347492</c:v>
                </c:pt>
                <c:pt idx="3406">
                  <c:v>10793156.323974025</c:v>
                </c:pt>
                <c:pt idx="3407">
                  <c:v>10796325.189600559</c:v>
                </c:pt>
                <c:pt idx="3408">
                  <c:v>10799494.055227093</c:v>
                </c:pt>
                <c:pt idx="3409">
                  <c:v>10802662.920853626</c:v>
                </c:pt>
                <c:pt idx="3410">
                  <c:v>10805831.78648016</c:v>
                </c:pt>
                <c:pt idx="3411">
                  <c:v>10809000.652106695</c:v>
                </c:pt>
                <c:pt idx="3412">
                  <c:v>10812169.517733227</c:v>
                </c:pt>
                <c:pt idx="3413">
                  <c:v>10815338.383359762</c:v>
                </c:pt>
                <c:pt idx="3414">
                  <c:v>10818507.248986294</c:v>
                </c:pt>
                <c:pt idx="3415">
                  <c:v>10821676.114612829</c:v>
                </c:pt>
                <c:pt idx="3416">
                  <c:v>10824844.980239363</c:v>
                </c:pt>
                <c:pt idx="3417">
                  <c:v>10828013.845865896</c:v>
                </c:pt>
                <c:pt idx="3418">
                  <c:v>10831182.71149243</c:v>
                </c:pt>
                <c:pt idx="3419">
                  <c:v>10834351.577118965</c:v>
                </c:pt>
                <c:pt idx="3420">
                  <c:v>10837520.442745497</c:v>
                </c:pt>
                <c:pt idx="3421">
                  <c:v>10840689.308372032</c:v>
                </c:pt>
                <c:pt idx="3422">
                  <c:v>10843858.173998566</c:v>
                </c:pt>
                <c:pt idx="3423">
                  <c:v>10847027.039625099</c:v>
                </c:pt>
                <c:pt idx="3424">
                  <c:v>10850195.905251633</c:v>
                </c:pt>
                <c:pt idx="3425">
                  <c:v>10853364.770878166</c:v>
                </c:pt>
                <c:pt idx="3426">
                  <c:v>10856533.6365047</c:v>
                </c:pt>
                <c:pt idx="3427">
                  <c:v>10859702.502131235</c:v>
                </c:pt>
                <c:pt idx="3428">
                  <c:v>10862871.367757767</c:v>
                </c:pt>
                <c:pt idx="3429">
                  <c:v>10866040.233384302</c:v>
                </c:pt>
                <c:pt idx="3430">
                  <c:v>10869209.099010836</c:v>
                </c:pt>
                <c:pt idx="3431">
                  <c:v>10872377.964637369</c:v>
                </c:pt>
                <c:pt idx="3432">
                  <c:v>10875546.830263903</c:v>
                </c:pt>
                <c:pt idx="3433">
                  <c:v>10878715.695890438</c:v>
                </c:pt>
                <c:pt idx="3434">
                  <c:v>10881884.56151697</c:v>
                </c:pt>
                <c:pt idx="3435">
                  <c:v>10885053.427143505</c:v>
                </c:pt>
                <c:pt idx="3436">
                  <c:v>10888222.292770037</c:v>
                </c:pt>
                <c:pt idx="3437">
                  <c:v>10891391.158396572</c:v>
                </c:pt>
                <c:pt idx="3438">
                  <c:v>10894560.024023106</c:v>
                </c:pt>
                <c:pt idx="3439">
                  <c:v>10897728.889649639</c:v>
                </c:pt>
                <c:pt idx="3440">
                  <c:v>10900897.755276173</c:v>
                </c:pt>
                <c:pt idx="3441">
                  <c:v>10904066.620902708</c:v>
                </c:pt>
                <c:pt idx="3442">
                  <c:v>10907235.48652924</c:v>
                </c:pt>
                <c:pt idx="3443">
                  <c:v>10910404.352155775</c:v>
                </c:pt>
                <c:pt idx="3444">
                  <c:v>10913573.217782309</c:v>
                </c:pt>
                <c:pt idx="3445">
                  <c:v>10916742.083408842</c:v>
                </c:pt>
                <c:pt idx="3446">
                  <c:v>10919910.949035376</c:v>
                </c:pt>
                <c:pt idx="3447">
                  <c:v>10923079.814661909</c:v>
                </c:pt>
                <c:pt idx="3448">
                  <c:v>10926248.680288443</c:v>
                </c:pt>
                <c:pt idx="3449">
                  <c:v>10929417.545914978</c:v>
                </c:pt>
                <c:pt idx="3450">
                  <c:v>10932586.41154151</c:v>
                </c:pt>
                <c:pt idx="3451">
                  <c:v>10935755.277168045</c:v>
                </c:pt>
                <c:pt idx="3452">
                  <c:v>10938924.142794579</c:v>
                </c:pt>
                <c:pt idx="3453">
                  <c:v>10942093.008421112</c:v>
                </c:pt>
                <c:pt idx="3454">
                  <c:v>10945261.874047646</c:v>
                </c:pt>
                <c:pt idx="3455">
                  <c:v>10948430.739674181</c:v>
                </c:pt>
                <c:pt idx="3456">
                  <c:v>10951599.605300713</c:v>
                </c:pt>
                <c:pt idx="3457">
                  <c:v>10954768.470927248</c:v>
                </c:pt>
                <c:pt idx="3458">
                  <c:v>10957937.33655378</c:v>
                </c:pt>
                <c:pt idx="3459">
                  <c:v>10961106.202180315</c:v>
                </c:pt>
                <c:pt idx="3460">
                  <c:v>10964275.067806849</c:v>
                </c:pt>
                <c:pt idx="3461">
                  <c:v>10967443.933433382</c:v>
                </c:pt>
                <c:pt idx="3462">
                  <c:v>10970612.799059916</c:v>
                </c:pt>
                <c:pt idx="3463">
                  <c:v>10973781.664686451</c:v>
                </c:pt>
                <c:pt idx="3464">
                  <c:v>10976950.530312983</c:v>
                </c:pt>
                <c:pt idx="3465">
                  <c:v>10980119.395939518</c:v>
                </c:pt>
                <c:pt idx="3466">
                  <c:v>10983288.261566052</c:v>
                </c:pt>
                <c:pt idx="3467">
                  <c:v>10986457.127192585</c:v>
                </c:pt>
                <c:pt idx="3468">
                  <c:v>10989625.992819119</c:v>
                </c:pt>
                <c:pt idx="3469">
                  <c:v>10992794.858445652</c:v>
                </c:pt>
                <c:pt idx="3470">
                  <c:v>10995963.724072186</c:v>
                </c:pt>
                <c:pt idx="3471">
                  <c:v>10999132.589698721</c:v>
                </c:pt>
                <c:pt idx="3472">
                  <c:v>11002301.455325253</c:v>
                </c:pt>
                <c:pt idx="3473">
                  <c:v>11005470.320951788</c:v>
                </c:pt>
                <c:pt idx="3474">
                  <c:v>11008639.186578322</c:v>
                </c:pt>
                <c:pt idx="3475">
                  <c:v>11011808.052204855</c:v>
                </c:pt>
                <c:pt idx="3476">
                  <c:v>11014976.917831389</c:v>
                </c:pt>
                <c:pt idx="3477">
                  <c:v>11018145.783457924</c:v>
                </c:pt>
                <c:pt idx="3478">
                  <c:v>11021314.649084456</c:v>
                </c:pt>
                <c:pt idx="3479">
                  <c:v>11024483.514710991</c:v>
                </c:pt>
                <c:pt idx="3480">
                  <c:v>11027652.380337523</c:v>
                </c:pt>
                <c:pt idx="3481">
                  <c:v>11030821.245964058</c:v>
                </c:pt>
                <c:pt idx="3482">
                  <c:v>11033990.111590592</c:v>
                </c:pt>
                <c:pt idx="3483">
                  <c:v>11037158.977217125</c:v>
                </c:pt>
                <c:pt idx="3484">
                  <c:v>11040327.842843659</c:v>
                </c:pt>
                <c:pt idx="3485">
                  <c:v>11043496.708470194</c:v>
                </c:pt>
                <c:pt idx="3486">
                  <c:v>11046665.574096726</c:v>
                </c:pt>
                <c:pt idx="3487">
                  <c:v>11049834.439723261</c:v>
                </c:pt>
                <c:pt idx="3488">
                  <c:v>11053003.305349795</c:v>
                </c:pt>
                <c:pt idx="3489">
                  <c:v>11056172.170976328</c:v>
                </c:pt>
                <c:pt idx="3490">
                  <c:v>11059341.036602862</c:v>
                </c:pt>
                <c:pt idx="3491">
                  <c:v>11062509.902229395</c:v>
                </c:pt>
                <c:pt idx="3492">
                  <c:v>11065678.767855929</c:v>
                </c:pt>
                <c:pt idx="3493">
                  <c:v>11068847.633482464</c:v>
                </c:pt>
                <c:pt idx="3494">
                  <c:v>11072016.499108996</c:v>
                </c:pt>
                <c:pt idx="3495">
                  <c:v>11075185.364735531</c:v>
                </c:pt>
                <c:pt idx="3496">
                  <c:v>11078354.230362065</c:v>
                </c:pt>
                <c:pt idx="3497">
                  <c:v>11081523.095988598</c:v>
                </c:pt>
                <c:pt idx="3498">
                  <c:v>11084691.961615132</c:v>
                </c:pt>
                <c:pt idx="3499">
                  <c:v>11087860.827241667</c:v>
                </c:pt>
                <c:pt idx="3500">
                  <c:v>11091029.692868199</c:v>
                </c:pt>
                <c:pt idx="3501">
                  <c:v>11094198.558494734</c:v>
                </c:pt>
                <c:pt idx="3502">
                  <c:v>11097367.424121266</c:v>
                </c:pt>
                <c:pt idx="3503">
                  <c:v>11100536.289747801</c:v>
                </c:pt>
                <c:pt idx="3504">
                  <c:v>11103705.155374335</c:v>
                </c:pt>
                <c:pt idx="3505">
                  <c:v>11106874.021000868</c:v>
                </c:pt>
                <c:pt idx="3506">
                  <c:v>11110042.886627402</c:v>
                </c:pt>
                <c:pt idx="3507">
                  <c:v>11113211.752253937</c:v>
                </c:pt>
                <c:pt idx="3508">
                  <c:v>11116380.617880469</c:v>
                </c:pt>
                <c:pt idx="3509">
                  <c:v>11119549.483507004</c:v>
                </c:pt>
                <c:pt idx="3510">
                  <c:v>11122718.349133538</c:v>
                </c:pt>
                <c:pt idx="3511">
                  <c:v>11125887.214760071</c:v>
                </c:pt>
                <c:pt idx="3512">
                  <c:v>11129056.080386605</c:v>
                </c:pt>
                <c:pt idx="3513">
                  <c:v>11132224.94601314</c:v>
                </c:pt>
                <c:pt idx="3514">
                  <c:v>11135393.811639672</c:v>
                </c:pt>
                <c:pt idx="3515">
                  <c:v>11138562.677266207</c:v>
                </c:pt>
                <c:pt idx="3516">
                  <c:v>11141731.542892739</c:v>
                </c:pt>
                <c:pt idx="3517">
                  <c:v>11144900.408519274</c:v>
                </c:pt>
                <c:pt idx="3518">
                  <c:v>11148069.274145808</c:v>
                </c:pt>
                <c:pt idx="3519">
                  <c:v>11151238.139772341</c:v>
                </c:pt>
                <c:pt idx="3520">
                  <c:v>11154407.005398875</c:v>
                </c:pt>
                <c:pt idx="3521">
                  <c:v>11157575.87102541</c:v>
                </c:pt>
                <c:pt idx="3522">
                  <c:v>11160744.736651942</c:v>
                </c:pt>
                <c:pt idx="3523">
                  <c:v>11163913.602278477</c:v>
                </c:pt>
                <c:pt idx="3524">
                  <c:v>11167082.467905011</c:v>
                </c:pt>
                <c:pt idx="3525">
                  <c:v>11170251.333531544</c:v>
                </c:pt>
                <c:pt idx="3526">
                  <c:v>11173420.199158078</c:v>
                </c:pt>
                <c:pt idx="3527">
                  <c:v>11176589.064784611</c:v>
                </c:pt>
                <c:pt idx="3528">
                  <c:v>11179757.930411145</c:v>
                </c:pt>
                <c:pt idx="3529">
                  <c:v>11182926.79603768</c:v>
                </c:pt>
                <c:pt idx="3530">
                  <c:v>11186095.661664212</c:v>
                </c:pt>
                <c:pt idx="3531">
                  <c:v>11189264.527290747</c:v>
                </c:pt>
                <c:pt idx="3532">
                  <c:v>11192433.392917281</c:v>
                </c:pt>
                <c:pt idx="3533">
                  <c:v>11195602.258543814</c:v>
                </c:pt>
                <c:pt idx="3534">
                  <c:v>11198771.124170348</c:v>
                </c:pt>
                <c:pt idx="3535">
                  <c:v>11201939.989796882</c:v>
                </c:pt>
                <c:pt idx="3536">
                  <c:v>11205108.855423415</c:v>
                </c:pt>
                <c:pt idx="3537">
                  <c:v>11208277.72104995</c:v>
                </c:pt>
                <c:pt idx="3538">
                  <c:v>11211446.586676482</c:v>
                </c:pt>
                <c:pt idx="3539">
                  <c:v>11214615.452303017</c:v>
                </c:pt>
                <c:pt idx="3540">
                  <c:v>11217784.317929551</c:v>
                </c:pt>
                <c:pt idx="3541">
                  <c:v>11220953.183556084</c:v>
                </c:pt>
                <c:pt idx="3542">
                  <c:v>11224122.049182618</c:v>
                </c:pt>
                <c:pt idx="3543">
                  <c:v>11227290.914809152</c:v>
                </c:pt>
                <c:pt idx="3544">
                  <c:v>11230459.780435685</c:v>
                </c:pt>
                <c:pt idx="3545">
                  <c:v>11233628.64606222</c:v>
                </c:pt>
                <c:pt idx="3546">
                  <c:v>11236797.511688754</c:v>
                </c:pt>
                <c:pt idx="3547">
                  <c:v>11239966.377315287</c:v>
                </c:pt>
                <c:pt idx="3548">
                  <c:v>11243135.242941821</c:v>
                </c:pt>
                <c:pt idx="3549">
                  <c:v>11246304.108568354</c:v>
                </c:pt>
                <c:pt idx="3550">
                  <c:v>11249472.974194888</c:v>
                </c:pt>
                <c:pt idx="3551">
                  <c:v>11252641.839821422</c:v>
                </c:pt>
                <c:pt idx="3552">
                  <c:v>11255810.705447955</c:v>
                </c:pt>
                <c:pt idx="3553">
                  <c:v>11258979.57107449</c:v>
                </c:pt>
                <c:pt idx="3554">
                  <c:v>11262148.436701024</c:v>
                </c:pt>
                <c:pt idx="3555">
                  <c:v>11265317.302327557</c:v>
                </c:pt>
                <c:pt idx="3556">
                  <c:v>11268486.167954091</c:v>
                </c:pt>
                <c:pt idx="3557">
                  <c:v>11271655.033580625</c:v>
                </c:pt>
                <c:pt idx="3558">
                  <c:v>11274823.899207158</c:v>
                </c:pt>
                <c:pt idx="3559">
                  <c:v>11277992.764833692</c:v>
                </c:pt>
                <c:pt idx="3560">
                  <c:v>11281161.630460225</c:v>
                </c:pt>
                <c:pt idx="3561">
                  <c:v>11284330.496086759</c:v>
                </c:pt>
                <c:pt idx="3562">
                  <c:v>11287499.361713294</c:v>
                </c:pt>
                <c:pt idx="3563">
                  <c:v>11290668.227339827</c:v>
                </c:pt>
                <c:pt idx="3564">
                  <c:v>11293837.092966361</c:v>
                </c:pt>
                <c:pt idx="3565">
                  <c:v>11297005.958592895</c:v>
                </c:pt>
                <c:pt idx="3566">
                  <c:v>11300174.824219428</c:v>
                </c:pt>
                <c:pt idx="3567">
                  <c:v>11303343.689845962</c:v>
                </c:pt>
                <c:pt idx="3568">
                  <c:v>11306512.555472497</c:v>
                </c:pt>
                <c:pt idx="3569">
                  <c:v>11309681.421099029</c:v>
                </c:pt>
                <c:pt idx="3570">
                  <c:v>11312850.286725564</c:v>
                </c:pt>
                <c:pt idx="3571">
                  <c:v>11316019.152352097</c:v>
                </c:pt>
                <c:pt idx="3572">
                  <c:v>11319188.017978631</c:v>
                </c:pt>
                <c:pt idx="3573">
                  <c:v>11322356.883605165</c:v>
                </c:pt>
                <c:pt idx="3574">
                  <c:v>11325525.749231698</c:v>
                </c:pt>
                <c:pt idx="3575">
                  <c:v>11328694.614858232</c:v>
                </c:pt>
                <c:pt idx="3576">
                  <c:v>11331863.480484767</c:v>
                </c:pt>
                <c:pt idx="3577">
                  <c:v>11335032.346111299</c:v>
                </c:pt>
                <c:pt idx="3578">
                  <c:v>11338201.211737834</c:v>
                </c:pt>
                <c:pt idx="3579">
                  <c:v>11341370.077364368</c:v>
                </c:pt>
                <c:pt idx="3580">
                  <c:v>11344538.942990901</c:v>
                </c:pt>
                <c:pt idx="3581">
                  <c:v>11347707.808617435</c:v>
                </c:pt>
                <c:pt idx="3582">
                  <c:v>11350876.674243968</c:v>
                </c:pt>
                <c:pt idx="3583">
                  <c:v>11354045.539870502</c:v>
                </c:pt>
                <c:pt idx="3584">
                  <c:v>11357214.405497037</c:v>
                </c:pt>
                <c:pt idx="3585">
                  <c:v>11360383.271123569</c:v>
                </c:pt>
                <c:pt idx="3586">
                  <c:v>11363552.136750104</c:v>
                </c:pt>
                <c:pt idx="3587">
                  <c:v>11366721.002376638</c:v>
                </c:pt>
                <c:pt idx="3588">
                  <c:v>11369889.868003171</c:v>
                </c:pt>
                <c:pt idx="3589">
                  <c:v>11373058.733629705</c:v>
                </c:pt>
                <c:pt idx="3590">
                  <c:v>11376227.59925624</c:v>
                </c:pt>
                <c:pt idx="3591">
                  <c:v>11379396.464882772</c:v>
                </c:pt>
                <c:pt idx="3592">
                  <c:v>11382565.330509307</c:v>
                </c:pt>
                <c:pt idx="3593">
                  <c:v>11385734.196135839</c:v>
                </c:pt>
                <c:pt idx="3594">
                  <c:v>11388903.061762374</c:v>
                </c:pt>
                <c:pt idx="3595">
                  <c:v>11392071.927388908</c:v>
                </c:pt>
                <c:pt idx="3596">
                  <c:v>11395240.793015441</c:v>
                </c:pt>
                <c:pt idx="3597">
                  <c:v>11398409.658641975</c:v>
                </c:pt>
                <c:pt idx="3598">
                  <c:v>11401578.52426851</c:v>
                </c:pt>
                <c:pt idx="3599">
                  <c:v>11404747.389895042</c:v>
                </c:pt>
                <c:pt idx="3600">
                  <c:v>11407916.255521577</c:v>
                </c:pt>
                <c:pt idx="3601">
                  <c:v>11411085.121148111</c:v>
                </c:pt>
                <c:pt idx="3602">
                  <c:v>11414253.986774644</c:v>
                </c:pt>
                <c:pt idx="3603">
                  <c:v>11417422.852401178</c:v>
                </c:pt>
                <c:pt idx="3604">
                  <c:v>11420591.718027711</c:v>
                </c:pt>
                <c:pt idx="3605">
                  <c:v>11423760.583654245</c:v>
                </c:pt>
                <c:pt idx="3606">
                  <c:v>11426929.44928078</c:v>
                </c:pt>
                <c:pt idx="3607">
                  <c:v>11430098.314907312</c:v>
                </c:pt>
                <c:pt idx="3608">
                  <c:v>11433267.180533847</c:v>
                </c:pt>
                <c:pt idx="3609">
                  <c:v>11436436.046160381</c:v>
                </c:pt>
                <c:pt idx="3610">
                  <c:v>11439604.911786914</c:v>
                </c:pt>
                <c:pt idx="3611">
                  <c:v>11442773.777413448</c:v>
                </c:pt>
                <c:pt idx="3612">
                  <c:v>11445942.643039983</c:v>
                </c:pt>
                <c:pt idx="3613">
                  <c:v>11449111.508666515</c:v>
                </c:pt>
                <c:pt idx="3614">
                  <c:v>11452280.37429305</c:v>
                </c:pt>
                <c:pt idx="3615">
                  <c:v>11455449.239919584</c:v>
                </c:pt>
                <c:pt idx="3616">
                  <c:v>11458618.105546117</c:v>
                </c:pt>
                <c:pt idx="3617">
                  <c:v>11461786.971172651</c:v>
                </c:pt>
                <c:pt idx="3618">
                  <c:v>11464955.836799184</c:v>
                </c:pt>
                <c:pt idx="3619">
                  <c:v>11468124.702425718</c:v>
                </c:pt>
                <c:pt idx="3620">
                  <c:v>11471293.568052253</c:v>
                </c:pt>
                <c:pt idx="3621">
                  <c:v>11474462.433678785</c:v>
                </c:pt>
                <c:pt idx="3622">
                  <c:v>11477631.29930532</c:v>
                </c:pt>
                <c:pt idx="3623">
                  <c:v>11480800.164931854</c:v>
                </c:pt>
                <c:pt idx="3624">
                  <c:v>11483969.030558387</c:v>
                </c:pt>
                <c:pt idx="3625">
                  <c:v>11487137.896184921</c:v>
                </c:pt>
                <c:pt idx="3626">
                  <c:v>11490306.761811456</c:v>
                </c:pt>
                <c:pt idx="3627">
                  <c:v>11493475.627437988</c:v>
                </c:pt>
                <c:pt idx="3628">
                  <c:v>11496644.493064523</c:v>
                </c:pt>
                <c:pt idx="3629">
                  <c:v>11499813.358691055</c:v>
                </c:pt>
                <c:pt idx="3630">
                  <c:v>11502982.22431759</c:v>
                </c:pt>
                <c:pt idx="3631">
                  <c:v>11506151.089944124</c:v>
                </c:pt>
                <c:pt idx="3632">
                  <c:v>11509319.955570657</c:v>
                </c:pt>
                <c:pt idx="3633">
                  <c:v>11512488.821197191</c:v>
                </c:pt>
                <c:pt idx="3634">
                  <c:v>11515657.686823726</c:v>
                </c:pt>
                <c:pt idx="3635">
                  <c:v>11518826.552450258</c:v>
                </c:pt>
                <c:pt idx="3636">
                  <c:v>11521995.418076793</c:v>
                </c:pt>
                <c:pt idx="3637">
                  <c:v>11525164.283703327</c:v>
                </c:pt>
                <c:pt idx="3638">
                  <c:v>11528333.14932986</c:v>
                </c:pt>
                <c:pt idx="3639">
                  <c:v>11531502.014956394</c:v>
                </c:pt>
                <c:pt idx="3640">
                  <c:v>11534670.880582927</c:v>
                </c:pt>
                <c:pt idx="3641">
                  <c:v>11537839.746209461</c:v>
                </c:pt>
                <c:pt idx="3642">
                  <c:v>11541008.611835996</c:v>
                </c:pt>
                <c:pt idx="3643">
                  <c:v>11544177.477462528</c:v>
                </c:pt>
                <c:pt idx="3644">
                  <c:v>11547346.343089063</c:v>
                </c:pt>
                <c:pt idx="3645">
                  <c:v>11550515.208715597</c:v>
                </c:pt>
                <c:pt idx="3646">
                  <c:v>11553684.07434213</c:v>
                </c:pt>
                <c:pt idx="3647">
                  <c:v>11556852.939968664</c:v>
                </c:pt>
                <c:pt idx="3648">
                  <c:v>11560021.805595199</c:v>
                </c:pt>
                <c:pt idx="3649">
                  <c:v>11563190.671221731</c:v>
                </c:pt>
                <c:pt idx="3650">
                  <c:v>11566359.536848266</c:v>
                </c:pt>
                <c:pt idx="3651">
                  <c:v>11569528.402474798</c:v>
                </c:pt>
                <c:pt idx="3652">
                  <c:v>11572697.268101333</c:v>
                </c:pt>
                <c:pt idx="3653">
                  <c:v>11575866.133727867</c:v>
                </c:pt>
                <c:pt idx="3654">
                  <c:v>11579034.9993544</c:v>
                </c:pt>
                <c:pt idx="3655">
                  <c:v>11582203.864980934</c:v>
                </c:pt>
                <c:pt idx="3656">
                  <c:v>11585372.730607469</c:v>
                </c:pt>
                <c:pt idx="3657">
                  <c:v>11588541.596234001</c:v>
                </c:pt>
                <c:pt idx="3658">
                  <c:v>11591710.461860536</c:v>
                </c:pt>
                <c:pt idx="3659">
                  <c:v>11594879.32748707</c:v>
                </c:pt>
                <c:pt idx="3660">
                  <c:v>11598048.193113603</c:v>
                </c:pt>
                <c:pt idx="3661">
                  <c:v>11601217.058740137</c:v>
                </c:pt>
                <c:pt idx="3662">
                  <c:v>11604385.92436667</c:v>
                </c:pt>
                <c:pt idx="3663">
                  <c:v>11607554.789993204</c:v>
                </c:pt>
                <c:pt idx="3664">
                  <c:v>11610723.655619739</c:v>
                </c:pt>
                <c:pt idx="3665">
                  <c:v>11613892.521246271</c:v>
                </c:pt>
                <c:pt idx="3666">
                  <c:v>11617061.386872806</c:v>
                </c:pt>
                <c:pt idx="3667">
                  <c:v>11620230.25249934</c:v>
                </c:pt>
                <c:pt idx="3668">
                  <c:v>11623399.118125873</c:v>
                </c:pt>
                <c:pt idx="3669">
                  <c:v>11626567.983752407</c:v>
                </c:pt>
                <c:pt idx="3670">
                  <c:v>11629736.849378942</c:v>
                </c:pt>
                <c:pt idx="3671">
                  <c:v>11632905.715005474</c:v>
                </c:pt>
                <c:pt idx="3672">
                  <c:v>11636074.580632009</c:v>
                </c:pt>
                <c:pt idx="3673">
                  <c:v>11639243.446258541</c:v>
                </c:pt>
                <c:pt idx="3674">
                  <c:v>11642412.311885076</c:v>
                </c:pt>
                <c:pt idx="3675">
                  <c:v>11645581.17751161</c:v>
                </c:pt>
                <c:pt idx="3676">
                  <c:v>11648750.043138143</c:v>
                </c:pt>
                <c:pt idx="3677">
                  <c:v>11651918.908764677</c:v>
                </c:pt>
                <c:pt idx="3678">
                  <c:v>11655087.774391212</c:v>
                </c:pt>
                <c:pt idx="3679">
                  <c:v>11658256.640017744</c:v>
                </c:pt>
                <c:pt idx="3680">
                  <c:v>11661425.505644279</c:v>
                </c:pt>
                <c:pt idx="3681">
                  <c:v>11664594.371270813</c:v>
                </c:pt>
                <c:pt idx="3682">
                  <c:v>11667763.236897346</c:v>
                </c:pt>
                <c:pt idx="3683">
                  <c:v>11670932.10252388</c:v>
                </c:pt>
                <c:pt idx="3684">
                  <c:v>11674100.968150413</c:v>
                </c:pt>
                <c:pt idx="3685">
                  <c:v>11677269.833776947</c:v>
                </c:pt>
                <c:pt idx="3686">
                  <c:v>11680438.699403482</c:v>
                </c:pt>
                <c:pt idx="3687">
                  <c:v>11683607.565030014</c:v>
                </c:pt>
                <c:pt idx="3688">
                  <c:v>11686776.430656549</c:v>
                </c:pt>
                <c:pt idx="3689">
                  <c:v>11689945.296283083</c:v>
                </c:pt>
                <c:pt idx="3690">
                  <c:v>11693114.161909616</c:v>
                </c:pt>
                <c:pt idx="3691">
                  <c:v>11696283.02753615</c:v>
                </c:pt>
                <c:pt idx="3692">
                  <c:v>11699451.893162685</c:v>
                </c:pt>
                <c:pt idx="3693">
                  <c:v>11702620.758789217</c:v>
                </c:pt>
                <c:pt idx="3694">
                  <c:v>11705789.624415752</c:v>
                </c:pt>
                <c:pt idx="3695">
                  <c:v>11708958.490042284</c:v>
                </c:pt>
                <c:pt idx="3696">
                  <c:v>11712127.355668819</c:v>
                </c:pt>
                <c:pt idx="3697">
                  <c:v>11715296.221295353</c:v>
                </c:pt>
                <c:pt idx="3698">
                  <c:v>11718465.086921886</c:v>
                </c:pt>
                <c:pt idx="3699">
                  <c:v>11721633.95254842</c:v>
                </c:pt>
                <c:pt idx="3700">
                  <c:v>11724802.818174955</c:v>
                </c:pt>
                <c:pt idx="3701">
                  <c:v>11727971.683801487</c:v>
                </c:pt>
                <c:pt idx="3702">
                  <c:v>11731140.549428022</c:v>
                </c:pt>
                <c:pt idx="3703">
                  <c:v>11734309.415054556</c:v>
                </c:pt>
                <c:pt idx="3704">
                  <c:v>11737478.280681089</c:v>
                </c:pt>
                <c:pt idx="3705">
                  <c:v>11740647.146307623</c:v>
                </c:pt>
                <c:pt idx="3706">
                  <c:v>11743816.011934156</c:v>
                </c:pt>
                <c:pt idx="3707">
                  <c:v>11746984.87756069</c:v>
                </c:pt>
                <c:pt idx="3708">
                  <c:v>11750153.743187224</c:v>
                </c:pt>
                <c:pt idx="3709">
                  <c:v>11753322.608813757</c:v>
                </c:pt>
                <c:pt idx="3710">
                  <c:v>11756491.474440292</c:v>
                </c:pt>
                <c:pt idx="3711">
                  <c:v>11759660.340066826</c:v>
                </c:pt>
                <c:pt idx="3712">
                  <c:v>11762829.205693359</c:v>
                </c:pt>
                <c:pt idx="3713">
                  <c:v>11765998.071319893</c:v>
                </c:pt>
                <c:pt idx="3714">
                  <c:v>11769166.936946427</c:v>
                </c:pt>
                <c:pt idx="3715">
                  <c:v>11772335.80257296</c:v>
                </c:pt>
                <c:pt idx="3716">
                  <c:v>11775504.668199494</c:v>
                </c:pt>
                <c:pt idx="3717">
                  <c:v>11778673.533826027</c:v>
                </c:pt>
                <c:pt idx="3718">
                  <c:v>11781842.399452562</c:v>
                </c:pt>
                <c:pt idx="3719">
                  <c:v>11785011.265079096</c:v>
                </c:pt>
                <c:pt idx="3720">
                  <c:v>11788180.130705629</c:v>
                </c:pt>
                <c:pt idx="3721">
                  <c:v>11791348.996332163</c:v>
                </c:pt>
                <c:pt idx="3722">
                  <c:v>11794517.861958697</c:v>
                </c:pt>
                <c:pt idx="3723">
                  <c:v>11797686.72758523</c:v>
                </c:pt>
                <c:pt idx="3724">
                  <c:v>11800855.593211764</c:v>
                </c:pt>
                <c:pt idx="3725">
                  <c:v>11804024.458838299</c:v>
                </c:pt>
                <c:pt idx="3726">
                  <c:v>11807193.324464832</c:v>
                </c:pt>
                <c:pt idx="3727">
                  <c:v>11810362.190091366</c:v>
                </c:pt>
                <c:pt idx="3728">
                  <c:v>11813531.0557179</c:v>
                </c:pt>
                <c:pt idx="3729">
                  <c:v>11816699.921344433</c:v>
                </c:pt>
                <c:pt idx="3730">
                  <c:v>11819868.786970967</c:v>
                </c:pt>
                <c:pt idx="3731">
                  <c:v>11823037.6525975</c:v>
                </c:pt>
                <c:pt idx="3732">
                  <c:v>11826206.518224034</c:v>
                </c:pt>
                <c:pt idx="3733">
                  <c:v>11829375.383850569</c:v>
                </c:pt>
                <c:pt idx="3734">
                  <c:v>11832544.249477101</c:v>
                </c:pt>
                <c:pt idx="3735">
                  <c:v>11835713.115103636</c:v>
                </c:pt>
                <c:pt idx="3736">
                  <c:v>11838881.98073017</c:v>
                </c:pt>
                <c:pt idx="3737">
                  <c:v>11842050.846356703</c:v>
                </c:pt>
                <c:pt idx="3738">
                  <c:v>11845219.711983237</c:v>
                </c:pt>
                <c:pt idx="3739">
                  <c:v>11848388.577609772</c:v>
                </c:pt>
                <c:pt idx="3740">
                  <c:v>11851557.443236304</c:v>
                </c:pt>
                <c:pt idx="3741">
                  <c:v>11854726.308862839</c:v>
                </c:pt>
                <c:pt idx="3742">
                  <c:v>11857895.174489371</c:v>
                </c:pt>
                <c:pt idx="3743">
                  <c:v>11861064.040115906</c:v>
                </c:pt>
                <c:pt idx="3744">
                  <c:v>11864232.90574244</c:v>
                </c:pt>
                <c:pt idx="3745">
                  <c:v>11867401.771368973</c:v>
                </c:pt>
                <c:pt idx="3746">
                  <c:v>11870570.636995507</c:v>
                </c:pt>
                <c:pt idx="3747">
                  <c:v>11873739.502622042</c:v>
                </c:pt>
                <c:pt idx="3748">
                  <c:v>11876908.368248574</c:v>
                </c:pt>
                <c:pt idx="3749">
                  <c:v>11880077.233875109</c:v>
                </c:pt>
                <c:pt idx="3750">
                  <c:v>11883246.099501643</c:v>
                </c:pt>
                <c:pt idx="3751">
                  <c:v>11886414.965128176</c:v>
                </c:pt>
                <c:pt idx="3752">
                  <c:v>11889583.83075471</c:v>
                </c:pt>
                <c:pt idx="3753">
                  <c:v>11892752.696381243</c:v>
                </c:pt>
                <c:pt idx="3754">
                  <c:v>11895921.562007777</c:v>
                </c:pt>
                <c:pt idx="3755">
                  <c:v>11899090.427634312</c:v>
                </c:pt>
                <c:pt idx="3756">
                  <c:v>11902259.293260844</c:v>
                </c:pt>
                <c:pt idx="3757">
                  <c:v>11905428.158887379</c:v>
                </c:pt>
                <c:pt idx="3758">
                  <c:v>11908597.024513913</c:v>
                </c:pt>
                <c:pt idx="3759">
                  <c:v>11911765.890140446</c:v>
                </c:pt>
                <c:pt idx="3760">
                  <c:v>11914934.75576698</c:v>
                </c:pt>
                <c:pt idx="3761">
                  <c:v>11918103.621393515</c:v>
                </c:pt>
                <c:pt idx="3762">
                  <c:v>11921272.487020047</c:v>
                </c:pt>
                <c:pt idx="3763">
                  <c:v>11924441.352646582</c:v>
                </c:pt>
                <c:pt idx="3764">
                  <c:v>11927610.218273114</c:v>
                </c:pt>
                <c:pt idx="3765">
                  <c:v>11930779.083899649</c:v>
                </c:pt>
                <c:pt idx="3766">
                  <c:v>11933947.949526183</c:v>
                </c:pt>
                <c:pt idx="3767">
                  <c:v>11937116.815152716</c:v>
                </c:pt>
                <c:pt idx="3768">
                  <c:v>11940285.68077925</c:v>
                </c:pt>
                <c:pt idx="3769">
                  <c:v>11943454.546405785</c:v>
                </c:pt>
                <c:pt idx="3770">
                  <c:v>11946623.412032317</c:v>
                </c:pt>
                <c:pt idx="3771">
                  <c:v>11949792.277658852</c:v>
                </c:pt>
                <c:pt idx="3772">
                  <c:v>11952961.143285386</c:v>
                </c:pt>
                <c:pt idx="3773">
                  <c:v>11956130.008911919</c:v>
                </c:pt>
                <c:pt idx="3774">
                  <c:v>11959298.874538453</c:v>
                </c:pt>
                <c:pt idx="3775">
                  <c:v>11962467.740164986</c:v>
                </c:pt>
                <c:pt idx="3776">
                  <c:v>11965636.60579152</c:v>
                </c:pt>
                <c:pt idx="3777">
                  <c:v>11968805.471418055</c:v>
                </c:pt>
                <c:pt idx="3778">
                  <c:v>11971974.337044587</c:v>
                </c:pt>
                <c:pt idx="3779">
                  <c:v>11975143.202671122</c:v>
                </c:pt>
                <c:pt idx="3780">
                  <c:v>11978312.068297656</c:v>
                </c:pt>
                <c:pt idx="3781">
                  <c:v>11981480.933924189</c:v>
                </c:pt>
                <c:pt idx="3782">
                  <c:v>11984649.799550723</c:v>
                </c:pt>
                <c:pt idx="3783">
                  <c:v>11987818.665177258</c:v>
                </c:pt>
                <c:pt idx="3784">
                  <c:v>11990987.53080379</c:v>
                </c:pt>
                <c:pt idx="3785">
                  <c:v>11994156.396430325</c:v>
                </c:pt>
                <c:pt idx="3786">
                  <c:v>11997325.262056857</c:v>
                </c:pt>
                <c:pt idx="3787">
                  <c:v>12000494.127683392</c:v>
                </c:pt>
                <c:pt idx="3788">
                  <c:v>12003662.993309926</c:v>
                </c:pt>
                <c:pt idx="3789">
                  <c:v>12006831.858936459</c:v>
                </c:pt>
                <c:pt idx="3790">
                  <c:v>12010000.724562993</c:v>
                </c:pt>
                <c:pt idx="3791">
                  <c:v>12013169.590189528</c:v>
                </c:pt>
                <c:pt idx="3792">
                  <c:v>12016338.45581606</c:v>
                </c:pt>
                <c:pt idx="3793">
                  <c:v>12019507.321442595</c:v>
                </c:pt>
                <c:pt idx="3794">
                  <c:v>12022676.187069129</c:v>
                </c:pt>
                <c:pt idx="3795">
                  <c:v>12025845.052695662</c:v>
                </c:pt>
                <c:pt idx="3796">
                  <c:v>12029013.918322196</c:v>
                </c:pt>
                <c:pt idx="3797">
                  <c:v>12032182.783948729</c:v>
                </c:pt>
                <c:pt idx="3798">
                  <c:v>12035351.649575263</c:v>
                </c:pt>
                <c:pt idx="3799">
                  <c:v>12038520.515201798</c:v>
                </c:pt>
                <c:pt idx="3800">
                  <c:v>12041689.38082833</c:v>
                </c:pt>
                <c:pt idx="3801">
                  <c:v>12044858.246454865</c:v>
                </c:pt>
                <c:pt idx="3802">
                  <c:v>12048027.112081399</c:v>
                </c:pt>
                <c:pt idx="3803">
                  <c:v>12051195.977707932</c:v>
                </c:pt>
                <c:pt idx="3804">
                  <c:v>12054364.843334466</c:v>
                </c:pt>
                <c:pt idx="3805">
                  <c:v>12057533.708961001</c:v>
                </c:pt>
                <c:pt idx="3806">
                  <c:v>12060702.574587533</c:v>
                </c:pt>
                <c:pt idx="3807">
                  <c:v>12063871.440214068</c:v>
                </c:pt>
                <c:pt idx="3808">
                  <c:v>12067040.3058406</c:v>
                </c:pt>
                <c:pt idx="3809">
                  <c:v>12070209.171467135</c:v>
                </c:pt>
                <c:pt idx="3810">
                  <c:v>12073378.037093669</c:v>
                </c:pt>
                <c:pt idx="3811">
                  <c:v>12076546.902720202</c:v>
                </c:pt>
                <c:pt idx="3812">
                  <c:v>12079715.768346736</c:v>
                </c:pt>
                <c:pt idx="3813">
                  <c:v>12082884.633973271</c:v>
                </c:pt>
                <c:pt idx="3814">
                  <c:v>12086053.499599803</c:v>
                </c:pt>
                <c:pt idx="3815">
                  <c:v>12089222.365226338</c:v>
                </c:pt>
                <c:pt idx="3816">
                  <c:v>12092391.230852872</c:v>
                </c:pt>
                <c:pt idx="3817">
                  <c:v>12095560.096479405</c:v>
                </c:pt>
                <c:pt idx="3818">
                  <c:v>12098728.962105939</c:v>
                </c:pt>
                <c:pt idx="3819">
                  <c:v>12101897.827732472</c:v>
                </c:pt>
                <c:pt idx="3820">
                  <c:v>12105066.693359006</c:v>
                </c:pt>
                <c:pt idx="3821">
                  <c:v>12108235.558985541</c:v>
                </c:pt>
                <c:pt idx="3822">
                  <c:v>12111404.424612073</c:v>
                </c:pt>
                <c:pt idx="3823">
                  <c:v>12114573.290238608</c:v>
                </c:pt>
                <c:pt idx="3824">
                  <c:v>12117742.155865142</c:v>
                </c:pt>
                <c:pt idx="3825">
                  <c:v>12120911.021491675</c:v>
                </c:pt>
                <c:pt idx="3826">
                  <c:v>12124079.887118209</c:v>
                </c:pt>
                <c:pt idx="3827">
                  <c:v>12127248.752744744</c:v>
                </c:pt>
                <c:pt idx="3828">
                  <c:v>12130417.618371276</c:v>
                </c:pt>
                <c:pt idx="3829">
                  <c:v>12133586.483997811</c:v>
                </c:pt>
                <c:pt idx="3830">
                  <c:v>12136755.349624345</c:v>
                </c:pt>
                <c:pt idx="3831">
                  <c:v>12139924.215250878</c:v>
                </c:pt>
                <c:pt idx="3832">
                  <c:v>12143093.080877412</c:v>
                </c:pt>
                <c:pt idx="3833">
                  <c:v>12146261.946503945</c:v>
                </c:pt>
                <c:pt idx="3834">
                  <c:v>12149430.812130479</c:v>
                </c:pt>
                <c:pt idx="3835">
                  <c:v>12152599.677757014</c:v>
                </c:pt>
                <c:pt idx="3836">
                  <c:v>12155768.543383546</c:v>
                </c:pt>
                <c:pt idx="3837">
                  <c:v>12158937.409010081</c:v>
                </c:pt>
                <c:pt idx="3838">
                  <c:v>12162106.274636615</c:v>
                </c:pt>
                <c:pt idx="3839">
                  <c:v>12165275.140263148</c:v>
                </c:pt>
                <c:pt idx="3840">
                  <c:v>12168444.005889682</c:v>
                </c:pt>
                <c:pt idx="3841">
                  <c:v>12171612.871516217</c:v>
                </c:pt>
                <c:pt idx="3842">
                  <c:v>12174781.737142749</c:v>
                </c:pt>
                <c:pt idx="3843">
                  <c:v>12177950.602769284</c:v>
                </c:pt>
                <c:pt idx="3844">
                  <c:v>12181119.468395816</c:v>
                </c:pt>
                <c:pt idx="3845">
                  <c:v>12184288.334022351</c:v>
                </c:pt>
                <c:pt idx="3846">
                  <c:v>12187457.199648885</c:v>
                </c:pt>
                <c:pt idx="3847">
                  <c:v>12190626.065275418</c:v>
                </c:pt>
                <c:pt idx="3848">
                  <c:v>12193794.930901952</c:v>
                </c:pt>
                <c:pt idx="3849">
                  <c:v>12196963.796528487</c:v>
                </c:pt>
                <c:pt idx="3850">
                  <c:v>12200132.662155019</c:v>
                </c:pt>
                <c:pt idx="3851">
                  <c:v>12203301.527781554</c:v>
                </c:pt>
                <c:pt idx="3852">
                  <c:v>12206470.393408088</c:v>
                </c:pt>
                <c:pt idx="3853">
                  <c:v>12209639.259034621</c:v>
                </c:pt>
                <c:pt idx="3854">
                  <c:v>12212808.124661155</c:v>
                </c:pt>
                <c:pt idx="3855">
                  <c:v>12215976.990287688</c:v>
                </c:pt>
                <c:pt idx="3856">
                  <c:v>12219145.855914222</c:v>
                </c:pt>
                <c:pt idx="3857">
                  <c:v>12222314.721540757</c:v>
                </c:pt>
                <c:pt idx="3858">
                  <c:v>12225483.587167289</c:v>
                </c:pt>
                <c:pt idx="3859">
                  <c:v>12228652.452793824</c:v>
                </c:pt>
                <c:pt idx="3860">
                  <c:v>12231821.318420358</c:v>
                </c:pt>
                <c:pt idx="3861">
                  <c:v>12234990.184046891</c:v>
                </c:pt>
                <c:pt idx="3862">
                  <c:v>12238159.049673425</c:v>
                </c:pt>
                <c:pt idx="3863">
                  <c:v>12241327.915299959</c:v>
                </c:pt>
                <c:pt idx="3864">
                  <c:v>12244496.780926492</c:v>
                </c:pt>
                <c:pt idx="3865">
                  <c:v>12247665.646553027</c:v>
                </c:pt>
                <c:pt idx="3866">
                  <c:v>12250834.512179559</c:v>
                </c:pt>
                <c:pt idx="3867">
                  <c:v>12254003.377806094</c:v>
                </c:pt>
                <c:pt idx="3868">
                  <c:v>12257172.243432628</c:v>
                </c:pt>
                <c:pt idx="3869">
                  <c:v>12260341.109059161</c:v>
                </c:pt>
                <c:pt idx="3870">
                  <c:v>12263509.974685695</c:v>
                </c:pt>
                <c:pt idx="3871">
                  <c:v>12266678.840312229</c:v>
                </c:pt>
                <c:pt idx="3872">
                  <c:v>12269847.705938762</c:v>
                </c:pt>
                <c:pt idx="3873">
                  <c:v>12273016.571565297</c:v>
                </c:pt>
                <c:pt idx="3874">
                  <c:v>12276185.437191831</c:v>
                </c:pt>
                <c:pt idx="3875">
                  <c:v>12279354.302818364</c:v>
                </c:pt>
                <c:pt idx="3876">
                  <c:v>12282523.168444898</c:v>
                </c:pt>
                <c:pt idx="3877">
                  <c:v>12285692.034071431</c:v>
                </c:pt>
                <c:pt idx="3878">
                  <c:v>12288860.899697965</c:v>
                </c:pt>
                <c:pt idx="3879">
                  <c:v>12292029.765324499</c:v>
                </c:pt>
                <c:pt idx="3880">
                  <c:v>12295198.630951032</c:v>
                </c:pt>
                <c:pt idx="3881">
                  <c:v>12298367.496577566</c:v>
                </c:pt>
                <c:pt idx="3882">
                  <c:v>12301536.362204101</c:v>
                </c:pt>
                <c:pt idx="3883">
                  <c:v>12304705.227830634</c:v>
                </c:pt>
                <c:pt idx="3884">
                  <c:v>12307874.093457168</c:v>
                </c:pt>
                <c:pt idx="3885">
                  <c:v>12311042.959083702</c:v>
                </c:pt>
                <c:pt idx="3886">
                  <c:v>12314211.824710235</c:v>
                </c:pt>
                <c:pt idx="3887">
                  <c:v>12317380.690336769</c:v>
                </c:pt>
                <c:pt idx="3888">
                  <c:v>12320549.555963302</c:v>
                </c:pt>
                <c:pt idx="3889">
                  <c:v>12323718.421589836</c:v>
                </c:pt>
                <c:pt idx="3890">
                  <c:v>12326887.287216371</c:v>
                </c:pt>
                <c:pt idx="3891">
                  <c:v>12330056.152842904</c:v>
                </c:pt>
                <c:pt idx="3892">
                  <c:v>12333225.018469438</c:v>
                </c:pt>
                <c:pt idx="3893">
                  <c:v>12336393.884095972</c:v>
                </c:pt>
                <c:pt idx="3894">
                  <c:v>12339562.749722505</c:v>
                </c:pt>
                <c:pt idx="3895">
                  <c:v>12342731.615349039</c:v>
                </c:pt>
                <c:pt idx="3896">
                  <c:v>12345900.480975574</c:v>
                </c:pt>
                <c:pt idx="3897">
                  <c:v>12349069.346602106</c:v>
                </c:pt>
                <c:pt idx="3898">
                  <c:v>12352238.212228641</c:v>
                </c:pt>
                <c:pt idx="3899">
                  <c:v>12355407.077855173</c:v>
                </c:pt>
                <c:pt idx="3900">
                  <c:v>12358575.943481708</c:v>
                </c:pt>
                <c:pt idx="3901">
                  <c:v>12361744.809108242</c:v>
                </c:pt>
                <c:pt idx="3902">
                  <c:v>12364913.674734775</c:v>
                </c:pt>
                <c:pt idx="3903">
                  <c:v>12368082.540361309</c:v>
                </c:pt>
                <c:pt idx="3904">
                  <c:v>12371251.405987844</c:v>
                </c:pt>
                <c:pt idx="3905">
                  <c:v>12374420.271614376</c:v>
                </c:pt>
                <c:pt idx="3906">
                  <c:v>12377589.137240911</c:v>
                </c:pt>
                <c:pt idx="3907">
                  <c:v>12380758.002867445</c:v>
                </c:pt>
                <c:pt idx="3908">
                  <c:v>12383926.868493978</c:v>
                </c:pt>
                <c:pt idx="3909">
                  <c:v>12387095.734120512</c:v>
                </c:pt>
                <c:pt idx="3910">
                  <c:v>12390264.599747045</c:v>
                </c:pt>
                <c:pt idx="3911">
                  <c:v>12393433.465373579</c:v>
                </c:pt>
                <c:pt idx="3912">
                  <c:v>12396602.331000114</c:v>
                </c:pt>
                <c:pt idx="3913">
                  <c:v>12399771.196626646</c:v>
                </c:pt>
                <c:pt idx="3914">
                  <c:v>12402940.062253181</c:v>
                </c:pt>
                <c:pt idx="3915">
                  <c:v>12406108.927879715</c:v>
                </c:pt>
                <c:pt idx="3916">
                  <c:v>12409277.793506248</c:v>
                </c:pt>
                <c:pt idx="3917">
                  <c:v>12412446.659132782</c:v>
                </c:pt>
                <c:pt idx="3918">
                  <c:v>12415615.524759317</c:v>
                </c:pt>
                <c:pt idx="3919">
                  <c:v>12418784.390385849</c:v>
                </c:pt>
                <c:pt idx="3920">
                  <c:v>12421953.256012384</c:v>
                </c:pt>
                <c:pt idx="3921">
                  <c:v>12425122.121638916</c:v>
                </c:pt>
                <c:pt idx="3922">
                  <c:v>12428290.987265451</c:v>
                </c:pt>
                <c:pt idx="3923">
                  <c:v>12431459.852891985</c:v>
                </c:pt>
                <c:pt idx="3924">
                  <c:v>12434628.718518518</c:v>
                </c:pt>
                <c:pt idx="3925">
                  <c:v>12437797.584145052</c:v>
                </c:pt>
                <c:pt idx="3926">
                  <c:v>12440966.449771587</c:v>
                </c:pt>
                <c:pt idx="3927">
                  <c:v>12444135.315398119</c:v>
                </c:pt>
                <c:pt idx="3928">
                  <c:v>12447304.181024654</c:v>
                </c:pt>
                <c:pt idx="3929">
                  <c:v>12450473.046651188</c:v>
                </c:pt>
                <c:pt idx="3930">
                  <c:v>12453641.912277721</c:v>
                </c:pt>
                <c:pt idx="3931">
                  <c:v>12456810.777904255</c:v>
                </c:pt>
                <c:pt idx="3932">
                  <c:v>12459979.643530788</c:v>
                </c:pt>
                <c:pt idx="3933">
                  <c:v>12463148.509157322</c:v>
                </c:pt>
                <c:pt idx="3934">
                  <c:v>12466317.374783857</c:v>
                </c:pt>
                <c:pt idx="3935">
                  <c:v>12469486.240410389</c:v>
                </c:pt>
                <c:pt idx="3936">
                  <c:v>12472655.106036924</c:v>
                </c:pt>
                <c:pt idx="3937">
                  <c:v>12475823.971663458</c:v>
                </c:pt>
                <c:pt idx="3938">
                  <c:v>12478992.837289991</c:v>
                </c:pt>
                <c:pt idx="3939">
                  <c:v>12482161.702916525</c:v>
                </c:pt>
                <c:pt idx="3940">
                  <c:v>12485330.56854306</c:v>
                </c:pt>
                <c:pt idx="3941">
                  <c:v>12488499.434169592</c:v>
                </c:pt>
                <c:pt idx="3942">
                  <c:v>12491668.299796127</c:v>
                </c:pt>
                <c:pt idx="3943">
                  <c:v>12494837.165422661</c:v>
                </c:pt>
                <c:pt idx="3944">
                  <c:v>12498006.031049194</c:v>
                </c:pt>
                <c:pt idx="3945">
                  <c:v>12501174.896675728</c:v>
                </c:pt>
                <c:pt idx="3946">
                  <c:v>12504343.762302261</c:v>
                </c:pt>
                <c:pt idx="3947">
                  <c:v>12507512.627928795</c:v>
                </c:pt>
                <c:pt idx="3948">
                  <c:v>12510681.49355533</c:v>
                </c:pt>
                <c:pt idx="3949">
                  <c:v>12513850.359181862</c:v>
                </c:pt>
                <c:pt idx="3950">
                  <c:v>12517019.224808397</c:v>
                </c:pt>
                <c:pt idx="3951">
                  <c:v>12520188.090434931</c:v>
                </c:pt>
                <c:pt idx="3952">
                  <c:v>12523356.956061464</c:v>
                </c:pt>
                <c:pt idx="3953">
                  <c:v>12526525.821687998</c:v>
                </c:pt>
                <c:pt idx="3954">
                  <c:v>12529694.687314533</c:v>
                </c:pt>
                <c:pt idx="3955">
                  <c:v>12532863.552941065</c:v>
                </c:pt>
                <c:pt idx="3956">
                  <c:v>12536032.4185676</c:v>
                </c:pt>
                <c:pt idx="3957">
                  <c:v>12539201.284194132</c:v>
                </c:pt>
                <c:pt idx="3958">
                  <c:v>12542370.149820667</c:v>
                </c:pt>
                <c:pt idx="3959">
                  <c:v>12545539.015447201</c:v>
                </c:pt>
                <c:pt idx="3960">
                  <c:v>12548707.881073734</c:v>
                </c:pt>
                <c:pt idx="3961">
                  <c:v>12551876.746700268</c:v>
                </c:pt>
                <c:pt idx="3962">
                  <c:v>12555045.612326803</c:v>
                </c:pt>
                <c:pt idx="3963">
                  <c:v>12558214.477953335</c:v>
                </c:pt>
                <c:pt idx="3964">
                  <c:v>12561383.34357987</c:v>
                </c:pt>
                <c:pt idx="3965">
                  <c:v>12564552.209206404</c:v>
                </c:pt>
                <c:pt idx="3966">
                  <c:v>12567721.074832937</c:v>
                </c:pt>
                <c:pt idx="3967">
                  <c:v>12570889.940459471</c:v>
                </c:pt>
                <c:pt idx="3968">
                  <c:v>12574058.806086004</c:v>
                </c:pt>
                <c:pt idx="3969">
                  <c:v>12577227.671712538</c:v>
                </c:pt>
                <c:pt idx="3970">
                  <c:v>12580396.537339073</c:v>
                </c:pt>
                <c:pt idx="3971">
                  <c:v>12583565.402965605</c:v>
                </c:pt>
                <c:pt idx="3972">
                  <c:v>12586734.26859214</c:v>
                </c:pt>
                <c:pt idx="3973">
                  <c:v>12589903.134218674</c:v>
                </c:pt>
                <c:pt idx="3974">
                  <c:v>12593071.999845207</c:v>
                </c:pt>
                <c:pt idx="3975">
                  <c:v>12596240.865471741</c:v>
                </c:pt>
                <c:pt idx="3976">
                  <c:v>12599409.731098276</c:v>
                </c:pt>
                <c:pt idx="3977">
                  <c:v>12602578.596724808</c:v>
                </c:pt>
                <c:pt idx="3978">
                  <c:v>12605747.462351343</c:v>
                </c:pt>
                <c:pt idx="3979">
                  <c:v>12608916.327977875</c:v>
                </c:pt>
                <c:pt idx="3980">
                  <c:v>12612085.19360441</c:v>
                </c:pt>
                <c:pt idx="3981">
                  <c:v>12615254.059230944</c:v>
                </c:pt>
                <c:pt idx="3982">
                  <c:v>12618422.924857477</c:v>
                </c:pt>
                <c:pt idx="3983">
                  <c:v>12621591.790484011</c:v>
                </c:pt>
                <c:pt idx="3984">
                  <c:v>12624760.656110546</c:v>
                </c:pt>
                <c:pt idx="3985">
                  <c:v>12627929.521737078</c:v>
                </c:pt>
                <c:pt idx="3986">
                  <c:v>12631098.387363613</c:v>
                </c:pt>
                <c:pt idx="3987">
                  <c:v>12634267.252990147</c:v>
                </c:pt>
                <c:pt idx="3988">
                  <c:v>12637436.11861668</c:v>
                </c:pt>
                <c:pt idx="3989">
                  <c:v>12640604.984243214</c:v>
                </c:pt>
                <c:pt idx="3990">
                  <c:v>12643773.849869747</c:v>
                </c:pt>
                <c:pt idx="3991">
                  <c:v>12646942.715496281</c:v>
                </c:pt>
                <c:pt idx="3992">
                  <c:v>12650111.581122816</c:v>
                </c:pt>
                <c:pt idx="3993">
                  <c:v>12653280.446749348</c:v>
                </c:pt>
                <c:pt idx="3994">
                  <c:v>12656449.312375883</c:v>
                </c:pt>
                <c:pt idx="3995">
                  <c:v>12659618.178002417</c:v>
                </c:pt>
                <c:pt idx="3996">
                  <c:v>12662787.04362895</c:v>
                </c:pt>
                <c:pt idx="3997">
                  <c:v>12665955.909255484</c:v>
                </c:pt>
                <c:pt idx="3998">
                  <c:v>12669124.774882019</c:v>
                </c:pt>
                <c:pt idx="3999">
                  <c:v>12672293.640508551</c:v>
                </c:pt>
                <c:pt idx="4000">
                  <c:v>12675462.506135086</c:v>
                </c:pt>
                <c:pt idx="4001">
                  <c:v>12678631.371761618</c:v>
                </c:pt>
                <c:pt idx="4002">
                  <c:v>12681800.237388153</c:v>
                </c:pt>
                <c:pt idx="4003">
                  <c:v>12684969.103014687</c:v>
                </c:pt>
                <c:pt idx="4004">
                  <c:v>12688137.96864122</c:v>
                </c:pt>
                <c:pt idx="4005">
                  <c:v>12691306.834267754</c:v>
                </c:pt>
                <c:pt idx="4006">
                  <c:v>12694475.699894289</c:v>
                </c:pt>
                <c:pt idx="4007">
                  <c:v>12697644.565520821</c:v>
                </c:pt>
                <c:pt idx="4008">
                  <c:v>12700813.431147356</c:v>
                </c:pt>
                <c:pt idx="4009">
                  <c:v>12703982.29677389</c:v>
                </c:pt>
                <c:pt idx="4010">
                  <c:v>12707151.162400423</c:v>
                </c:pt>
                <c:pt idx="4011">
                  <c:v>12710320.028026957</c:v>
                </c:pt>
                <c:pt idx="4012">
                  <c:v>12713488.89365349</c:v>
                </c:pt>
                <c:pt idx="4013">
                  <c:v>12716657.759280024</c:v>
                </c:pt>
                <c:pt idx="4014">
                  <c:v>12719826.624906559</c:v>
                </c:pt>
                <c:pt idx="4015">
                  <c:v>12722995.490533091</c:v>
                </c:pt>
                <c:pt idx="4016">
                  <c:v>12726164.356159626</c:v>
                </c:pt>
                <c:pt idx="4017">
                  <c:v>12729333.22178616</c:v>
                </c:pt>
                <c:pt idx="4018">
                  <c:v>12732502.087412693</c:v>
                </c:pt>
                <c:pt idx="4019">
                  <c:v>12735670.953039227</c:v>
                </c:pt>
                <c:pt idx="4020">
                  <c:v>12738839.818665762</c:v>
                </c:pt>
                <c:pt idx="4021">
                  <c:v>12742008.684292294</c:v>
                </c:pt>
                <c:pt idx="4022">
                  <c:v>12745177.549918829</c:v>
                </c:pt>
                <c:pt idx="4023">
                  <c:v>12748346.415545361</c:v>
                </c:pt>
                <c:pt idx="4024">
                  <c:v>12751515.281171896</c:v>
                </c:pt>
                <c:pt idx="4025">
                  <c:v>12754684.14679843</c:v>
                </c:pt>
                <c:pt idx="4026">
                  <c:v>12757853.012424963</c:v>
                </c:pt>
                <c:pt idx="4027">
                  <c:v>12761021.878051497</c:v>
                </c:pt>
                <c:pt idx="4028">
                  <c:v>12764190.743678031</c:v>
                </c:pt>
                <c:pt idx="4029">
                  <c:v>12767359.609304564</c:v>
                </c:pt>
                <c:pt idx="4030">
                  <c:v>12770528.474931099</c:v>
                </c:pt>
                <c:pt idx="4031">
                  <c:v>12773697.340557633</c:v>
                </c:pt>
                <c:pt idx="4032">
                  <c:v>12776866.206184166</c:v>
                </c:pt>
                <c:pt idx="4033">
                  <c:v>12780035.0718107</c:v>
                </c:pt>
                <c:pt idx="4034">
                  <c:v>12783203.937437233</c:v>
                </c:pt>
                <c:pt idx="4035">
                  <c:v>12786372.803063767</c:v>
                </c:pt>
                <c:pt idx="4036">
                  <c:v>12789541.668690301</c:v>
                </c:pt>
                <c:pt idx="4037">
                  <c:v>12792710.534316834</c:v>
                </c:pt>
                <c:pt idx="4038">
                  <c:v>12795879.399943369</c:v>
                </c:pt>
                <c:pt idx="4039">
                  <c:v>12799048.265569903</c:v>
                </c:pt>
                <c:pt idx="4040">
                  <c:v>12802217.131196436</c:v>
                </c:pt>
                <c:pt idx="4041">
                  <c:v>12805385.99682297</c:v>
                </c:pt>
                <c:pt idx="4042">
                  <c:v>12808554.862449504</c:v>
                </c:pt>
                <c:pt idx="4043">
                  <c:v>12811723.728076037</c:v>
                </c:pt>
                <c:pt idx="4044">
                  <c:v>12814892.593702571</c:v>
                </c:pt>
                <c:pt idx="4045">
                  <c:v>12818061.459329106</c:v>
                </c:pt>
                <c:pt idx="4046">
                  <c:v>12821230.324955638</c:v>
                </c:pt>
                <c:pt idx="4047">
                  <c:v>12824399.190582173</c:v>
                </c:pt>
                <c:pt idx="4048">
                  <c:v>12827568.056208706</c:v>
                </c:pt>
                <c:pt idx="4049">
                  <c:v>12830736.92183524</c:v>
                </c:pt>
                <c:pt idx="4050">
                  <c:v>12833905.787461774</c:v>
                </c:pt>
                <c:pt idx="4051">
                  <c:v>12837074.653088307</c:v>
                </c:pt>
                <c:pt idx="4052">
                  <c:v>12840243.518714841</c:v>
                </c:pt>
                <c:pt idx="4053">
                  <c:v>12843412.384341376</c:v>
                </c:pt>
                <c:pt idx="4054">
                  <c:v>12846581.249967908</c:v>
                </c:pt>
                <c:pt idx="4055">
                  <c:v>12849750.115594443</c:v>
                </c:pt>
                <c:pt idx="4056">
                  <c:v>12852918.981220977</c:v>
                </c:pt>
                <c:pt idx="4057">
                  <c:v>12856087.84684751</c:v>
                </c:pt>
                <c:pt idx="4058">
                  <c:v>12859256.712474044</c:v>
                </c:pt>
                <c:pt idx="4059">
                  <c:v>12862425.578100577</c:v>
                </c:pt>
                <c:pt idx="4060">
                  <c:v>12865594.443727111</c:v>
                </c:pt>
                <c:pt idx="4061">
                  <c:v>12868763.309353646</c:v>
                </c:pt>
                <c:pt idx="4062">
                  <c:v>12871932.174980178</c:v>
                </c:pt>
                <c:pt idx="4063">
                  <c:v>12875101.040606713</c:v>
                </c:pt>
                <c:pt idx="4064">
                  <c:v>12878269.906233247</c:v>
                </c:pt>
                <c:pt idx="4065">
                  <c:v>12881438.77185978</c:v>
                </c:pt>
                <c:pt idx="4066">
                  <c:v>12884607.637486314</c:v>
                </c:pt>
                <c:pt idx="4067">
                  <c:v>12887776.503112849</c:v>
                </c:pt>
                <c:pt idx="4068">
                  <c:v>12890945.368739381</c:v>
                </c:pt>
                <c:pt idx="4069">
                  <c:v>12894114.234365916</c:v>
                </c:pt>
                <c:pt idx="4070">
                  <c:v>12897283.099992448</c:v>
                </c:pt>
                <c:pt idx="4071">
                  <c:v>12900451.965618983</c:v>
                </c:pt>
                <c:pt idx="4072">
                  <c:v>12903620.831245517</c:v>
                </c:pt>
                <c:pt idx="4073">
                  <c:v>12906789.69687205</c:v>
                </c:pt>
                <c:pt idx="4074">
                  <c:v>12909958.562498584</c:v>
                </c:pt>
                <c:pt idx="4075">
                  <c:v>12913127.428125119</c:v>
                </c:pt>
                <c:pt idx="4076">
                  <c:v>12916296.293751651</c:v>
                </c:pt>
                <c:pt idx="4077">
                  <c:v>12919465.159378186</c:v>
                </c:pt>
                <c:pt idx="4078">
                  <c:v>12922634.02500472</c:v>
                </c:pt>
                <c:pt idx="4079">
                  <c:v>12925802.890631253</c:v>
                </c:pt>
                <c:pt idx="4080">
                  <c:v>12928971.756257787</c:v>
                </c:pt>
                <c:pt idx="4081">
                  <c:v>12932140.62188432</c:v>
                </c:pt>
                <c:pt idx="4082">
                  <c:v>12935309.487510854</c:v>
                </c:pt>
                <c:pt idx="4083">
                  <c:v>12938478.353137389</c:v>
                </c:pt>
                <c:pt idx="4084">
                  <c:v>12941647.218763921</c:v>
                </c:pt>
                <c:pt idx="4085">
                  <c:v>12944816.084390456</c:v>
                </c:pt>
                <c:pt idx="4086">
                  <c:v>12947984.95001699</c:v>
                </c:pt>
                <c:pt idx="4087">
                  <c:v>12951153.815643523</c:v>
                </c:pt>
                <c:pt idx="4088">
                  <c:v>12954322.681270057</c:v>
                </c:pt>
                <c:pt idx="4089">
                  <c:v>12957491.546896592</c:v>
                </c:pt>
                <c:pt idx="4090">
                  <c:v>12960660.412523124</c:v>
                </c:pt>
                <c:pt idx="4091">
                  <c:v>12963829.278149659</c:v>
                </c:pt>
                <c:pt idx="4092">
                  <c:v>12966998.143776191</c:v>
                </c:pt>
                <c:pt idx="4093">
                  <c:v>12970167.009402726</c:v>
                </c:pt>
                <c:pt idx="4094">
                  <c:v>12973335.87502926</c:v>
                </c:pt>
                <c:pt idx="4095">
                  <c:v>12976504.740655793</c:v>
                </c:pt>
                <c:pt idx="4096">
                  <c:v>12979673.606282327</c:v>
                </c:pt>
                <c:pt idx="4097">
                  <c:v>12982842.471908862</c:v>
                </c:pt>
                <c:pt idx="4098">
                  <c:v>12986011.337535394</c:v>
                </c:pt>
                <c:pt idx="4099">
                  <c:v>12989180.203161929</c:v>
                </c:pt>
                <c:pt idx="4100">
                  <c:v>12992349.068788463</c:v>
                </c:pt>
                <c:pt idx="4101">
                  <c:v>12995517.934414996</c:v>
                </c:pt>
                <c:pt idx="4102">
                  <c:v>12998686.80004153</c:v>
                </c:pt>
                <c:pt idx="4103">
                  <c:v>13001855.665668063</c:v>
                </c:pt>
                <c:pt idx="4104">
                  <c:v>13005024.531294597</c:v>
                </c:pt>
                <c:pt idx="4105">
                  <c:v>13008193.396921132</c:v>
                </c:pt>
                <c:pt idx="4106">
                  <c:v>13011362.262547664</c:v>
                </c:pt>
                <c:pt idx="4107">
                  <c:v>13014531.128174199</c:v>
                </c:pt>
                <c:pt idx="4108">
                  <c:v>13017699.993800733</c:v>
                </c:pt>
                <c:pt idx="4109">
                  <c:v>13020868.859427266</c:v>
                </c:pt>
                <c:pt idx="4110">
                  <c:v>13024037.7250538</c:v>
                </c:pt>
                <c:pt idx="4111">
                  <c:v>13027206.590680335</c:v>
                </c:pt>
                <c:pt idx="4112">
                  <c:v>13030375.456306867</c:v>
                </c:pt>
                <c:pt idx="4113">
                  <c:v>13033544.321933402</c:v>
                </c:pt>
                <c:pt idx="4114">
                  <c:v>13036713.187559934</c:v>
                </c:pt>
                <c:pt idx="4115">
                  <c:v>13039882.053186469</c:v>
                </c:pt>
                <c:pt idx="4116">
                  <c:v>13043050.918813003</c:v>
                </c:pt>
                <c:pt idx="4117">
                  <c:v>13046219.784439536</c:v>
                </c:pt>
                <c:pt idx="4118">
                  <c:v>13049388.65006607</c:v>
                </c:pt>
                <c:pt idx="4119">
                  <c:v>13052557.515692605</c:v>
                </c:pt>
                <c:pt idx="4120">
                  <c:v>13055726.381319137</c:v>
                </c:pt>
                <c:pt idx="4121">
                  <c:v>13058895.246945672</c:v>
                </c:pt>
                <c:pt idx="4122">
                  <c:v>13062064.112572206</c:v>
                </c:pt>
                <c:pt idx="4123">
                  <c:v>13065232.978198739</c:v>
                </c:pt>
                <c:pt idx="4124">
                  <c:v>13068401.843825273</c:v>
                </c:pt>
                <c:pt idx="4125">
                  <c:v>13071570.709451806</c:v>
                </c:pt>
                <c:pt idx="4126">
                  <c:v>13074739.57507834</c:v>
                </c:pt>
                <c:pt idx="4127">
                  <c:v>13077908.440704875</c:v>
                </c:pt>
                <c:pt idx="4128">
                  <c:v>13081077.306331407</c:v>
                </c:pt>
                <c:pt idx="4129">
                  <c:v>13084246.171957942</c:v>
                </c:pt>
                <c:pt idx="4130">
                  <c:v>13087415.037584476</c:v>
                </c:pt>
                <c:pt idx="4131">
                  <c:v>13090583.903211009</c:v>
                </c:pt>
                <c:pt idx="4132">
                  <c:v>13093752.768837543</c:v>
                </c:pt>
                <c:pt idx="4133">
                  <c:v>13096921.634464078</c:v>
                </c:pt>
                <c:pt idx="4134">
                  <c:v>13100090.50009061</c:v>
                </c:pt>
                <c:pt idx="4135">
                  <c:v>13103259.365717145</c:v>
                </c:pt>
                <c:pt idx="4136">
                  <c:v>13106428.231343677</c:v>
                </c:pt>
                <c:pt idx="4137">
                  <c:v>13109597.096970212</c:v>
                </c:pt>
                <c:pt idx="4138">
                  <c:v>13112765.962596746</c:v>
                </c:pt>
                <c:pt idx="4139">
                  <c:v>13115934.828223279</c:v>
                </c:pt>
                <c:pt idx="4140">
                  <c:v>13119103.693849813</c:v>
                </c:pt>
                <c:pt idx="4141">
                  <c:v>13122272.559476348</c:v>
                </c:pt>
                <c:pt idx="4142">
                  <c:v>13125441.42510288</c:v>
                </c:pt>
                <c:pt idx="4143">
                  <c:v>13128610.290729415</c:v>
                </c:pt>
                <c:pt idx="4144">
                  <c:v>13131779.156355949</c:v>
                </c:pt>
                <c:pt idx="4145">
                  <c:v>13134948.021982482</c:v>
                </c:pt>
                <c:pt idx="4146">
                  <c:v>13138116.887609016</c:v>
                </c:pt>
                <c:pt idx="4147">
                  <c:v>13141285.753235549</c:v>
                </c:pt>
                <c:pt idx="4148">
                  <c:v>13144454.618862083</c:v>
                </c:pt>
                <c:pt idx="4149">
                  <c:v>13147623.484488618</c:v>
                </c:pt>
                <c:pt idx="4150">
                  <c:v>13150792.35011515</c:v>
                </c:pt>
                <c:pt idx="4151">
                  <c:v>13153961.215741685</c:v>
                </c:pt>
                <c:pt idx="4152">
                  <c:v>13157130.081368219</c:v>
                </c:pt>
                <c:pt idx="4153">
                  <c:v>13160298.946994752</c:v>
                </c:pt>
                <c:pt idx="4154">
                  <c:v>13163467.812621286</c:v>
                </c:pt>
                <c:pt idx="4155">
                  <c:v>13166636.678247821</c:v>
                </c:pt>
                <c:pt idx="4156">
                  <c:v>13169805.543874353</c:v>
                </c:pt>
                <c:pt idx="4157">
                  <c:v>13172974.409500888</c:v>
                </c:pt>
                <c:pt idx="4158">
                  <c:v>13176143.275127422</c:v>
                </c:pt>
                <c:pt idx="4159">
                  <c:v>13179312.140753955</c:v>
                </c:pt>
                <c:pt idx="4160">
                  <c:v>13182481.006380489</c:v>
                </c:pt>
                <c:pt idx="4161">
                  <c:v>13185649.872007022</c:v>
                </c:pt>
                <c:pt idx="4162">
                  <c:v>13188818.737633556</c:v>
                </c:pt>
                <c:pt idx="4163">
                  <c:v>13191987.603260091</c:v>
                </c:pt>
                <c:pt idx="4164">
                  <c:v>13195156.468886623</c:v>
                </c:pt>
                <c:pt idx="4165">
                  <c:v>13198325.334513158</c:v>
                </c:pt>
                <c:pt idx="4166">
                  <c:v>13201494.200139692</c:v>
                </c:pt>
                <c:pt idx="4167">
                  <c:v>13204663.065766225</c:v>
                </c:pt>
                <c:pt idx="4168">
                  <c:v>13207831.931392759</c:v>
                </c:pt>
                <c:pt idx="4169">
                  <c:v>13211000.797019294</c:v>
                </c:pt>
                <c:pt idx="4170">
                  <c:v>13214169.662645826</c:v>
                </c:pt>
                <c:pt idx="4171">
                  <c:v>13217338.528272361</c:v>
                </c:pt>
                <c:pt idx="4172">
                  <c:v>13220507.393898893</c:v>
                </c:pt>
                <c:pt idx="4173">
                  <c:v>13223676.259525428</c:v>
                </c:pt>
                <c:pt idx="4174">
                  <c:v>13226845.125151962</c:v>
                </c:pt>
                <c:pt idx="4175">
                  <c:v>13230013.990778495</c:v>
                </c:pt>
                <c:pt idx="4176">
                  <c:v>13233182.856405029</c:v>
                </c:pt>
                <c:pt idx="4177">
                  <c:v>13236351.722031564</c:v>
                </c:pt>
                <c:pt idx="4178">
                  <c:v>13239520.587658096</c:v>
                </c:pt>
                <c:pt idx="4179">
                  <c:v>13242689.453284631</c:v>
                </c:pt>
                <c:pt idx="4180">
                  <c:v>13245858.318911165</c:v>
                </c:pt>
                <c:pt idx="4181">
                  <c:v>13249027.184537698</c:v>
                </c:pt>
                <c:pt idx="4182">
                  <c:v>13252196.050164232</c:v>
                </c:pt>
                <c:pt idx="4183">
                  <c:v>13255364.915790765</c:v>
                </c:pt>
                <c:pt idx="4184">
                  <c:v>13258533.781417299</c:v>
                </c:pt>
                <c:pt idx="4185">
                  <c:v>13261702.647043834</c:v>
                </c:pt>
                <c:pt idx="4186">
                  <c:v>13264871.512670366</c:v>
                </c:pt>
                <c:pt idx="4187">
                  <c:v>13268040.378296901</c:v>
                </c:pt>
                <c:pt idx="4188">
                  <c:v>13271209.243923435</c:v>
                </c:pt>
                <c:pt idx="4189">
                  <c:v>13274378.109549968</c:v>
                </c:pt>
                <c:pt idx="4190">
                  <c:v>13277546.975176502</c:v>
                </c:pt>
                <c:pt idx="4191">
                  <c:v>13280715.840803036</c:v>
                </c:pt>
                <c:pt idx="4192">
                  <c:v>13283884.706429569</c:v>
                </c:pt>
                <c:pt idx="4193">
                  <c:v>13287053.572056103</c:v>
                </c:pt>
                <c:pt idx="4194">
                  <c:v>13290222.437682636</c:v>
                </c:pt>
                <c:pt idx="4195">
                  <c:v>13293391.303309171</c:v>
                </c:pt>
                <c:pt idx="4196">
                  <c:v>13296560.168935705</c:v>
                </c:pt>
                <c:pt idx="4197">
                  <c:v>13299729.034562238</c:v>
                </c:pt>
                <c:pt idx="4198">
                  <c:v>13302897.900188772</c:v>
                </c:pt>
                <c:pt idx="4199">
                  <c:v>13306066.765815306</c:v>
                </c:pt>
                <c:pt idx="4200">
                  <c:v>13309235.631441839</c:v>
                </c:pt>
                <c:pt idx="4201">
                  <c:v>13312404.497068373</c:v>
                </c:pt>
                <c:pt idx="4202">
                  <c:v>13315573.362694908</c:v>
                </c:pt>
                <c:pt idx="4203">
                  <c:v>13318742.228321441</c:v>
                </c:pt>
                <c:pt idx="4204">
                  <c:v>13321911.093947975</c:v>
                </c:pt>
                <c:pt idx="4205">
                  <c:v>13325079.959574508</c:v>
                </c:pt>
                <c:pt idx="4206">
                  <c:v>13328248.825201042</c:v>
                </c:pt>
                <c:pt idx="4207">
                  <c:v>13331417.690827576</c:v>
                </c:pt>
                <c:pt idx="4208">
                  <c:v>13334586.556454109</c:v>
                </c:pt>
                <c:pt idx="4209">
                  <c:v>13337755.422080643</c:v>
                </c:pt>
                <c:pt idx="4210">
                  <c:v>13340924.287707178</c:v>
                </c:pt>
                <c:pt idx="4211">
                  <c:v>13344093.153333711</c:v>
                </c:pt>
                <c:pt idx="4212">
                  <c:v>13347262.018960245</c:v>
                </c:pt>
                <c:pt idx="4213">
                  <c:v>13350430.884586779</c:v>
                </c:pt>
                <c:pt idx="4214">
                  <c:v>13353599.750213312</c:v>
                </c:pt>
                <c:pt idx="4215">
                  <c:v>13356768.615839846</c:v>
                </c:pt>
                <c:pt idx="4216">
                  <c:v>13359937.481466379</c:v>
                </c:pt>
                <c:pt idx="4217">
                  <c:v>13363106.347092913</c:v>
                </c:pt>
                <c:pt idx="4218">
                  <c:v>13366275.212719448</c:v>
                </c:pt>
                <c:pt idx="4219">
                  <c:v>13369444.07834598</c:v>
                </c:pt>
                <c:pt idx="4220">
                  <c:v>13372612.943972515</c:v>
                </c:pt>
                <c:pt idx="4221">
                  <c:v>13375781.809599049</c:v>
                </c:pt>
                <c:pt idx="4222">
                  <c:v>13378950.675225582</c:v>
                </c:pt>
                <c:pt idx="4223">
                  <c:v>13382119.540852116</c:v>
                </c:pt>
                <c:pt idx="4224">
                  <c:v>13385288.406478651</c:v>
                </c:pt>
                <c:pt idx="4225">
                  <c:v>13388457.272105183</c:v>
                </c:pt>
                <c:pt idx="4226">
                  <c:v>13391626.137731718</c:v>
                </c:pt>
                <c:pt idx="4227">
                  <c:v>13394795.00335825</c:v>
                </c:pt>
                <c:pt idx="4228">
                  <c:v>13397963.868984785</c:v>
                </c:pt>
                <c:pt idx="4229">
                  <c:v>13401132.734611319</c:v>
                </c:pt>
                <c:pt idx="4230">
                  <c:v>13404301.600237852</c:v>
                </c:pt>
                <c:pt idx="4231">
                  <c:v>13407470.465864386</c:v>
                </c:pt>
                <c:pt idx="4232">
                  <c:v>13410639.331490921</c:v>
                </c:pt>
                <c:pt idx="4233">
                  <c:v>13413808.197117453</c:v>
                </c:pt>
                <c:pt idx="4234">
                  <c:v>13416977.062743988</c:v>
                </c:pt>
                <c:pt idx="4235">
                  <c:v>13420145.928370522</c:v>
                </c:pt>
                <c:pt idx="4236">
                  <c:v>13423314.793997055</c:v>
                </c:pt>
                <c:pt idx="4237">
                  <c:v>13426483.659623589</c:v>
                </c:pt>
                <c:pt idx="4238">
                  <c:v>13429652.525250122</c:v>
                </c:pt>
                <c:pt idx="4239">
                  <c:v>13432821.390876656</c:v>
                </c:pt>
                <c:pt idx="4240">
                  <c:v>13435990.256503191</c:v>
                </c:pt>
                <c:pt idx="4241">
                  <c:v>13439159.122129723</c:v>
                </c:pt>
                <c:pt idx="4242">
                  <c:v>13442327.987756258</c:v>
                </c:pt>
                <c:pt idx="4243">
                  <c:v>13445496.853382792</c:v>
                </c:pt>
                <c:pt idx="4244">
                  <c:v>13448665.719009325</c:v>
                </c:pt>
                <c:pt idx="4245">
                  <c:v>13451834.584635859</c:v>
                </c:pt>
                <c:pt idx="4246">
                  <c:v>13455003.450262394</c:v>
                </c:pt>
                <c:pt idx="4247">
                  <c:v>13458172.315888926</c:v>
                </c:pt>
                <c:pt idx="4248">
                  <c:v>13461341.181515461</c:v>
                </c:pt>
                <c:pt idx="4249">
                  <c:v>13464510.047141993</c:v>
                </c:pt>
                <c:pt idx="4250">
                  <c:v>13467678.912768528</c:v>
                </c:pt>
                <c:pt idx="4251">
                  <c:v>13470847.778395062</c:v>
                </c:pt>
                <c:pt idx="4252">
                  <c:v>13474016.644021595</c:v>
                </c:pt>
                <c:pt idx="4253">
                  <c:v>13477185.509648129</c:v>
                </c:pt>
                <c:pt idx="4254">
                  <c:v>13480354.375274664</c:v>
                </c:pt>
                <c:pt idx="4255">
                  <c:v>13483523.240901196</c:v>
                </c:pt>
                <c:pt idx="4256">
                  <c:v>13486692.106527731</c:v>
                </c:pt>
                <c:pt idx="4257">
                  <c:v>13489860.972154265</c:v>
                </c:pt>
                <c:pt idx="4258">
                  <c:v>13493029.837780798</c:v>
                </c:pt>
                <c:pt idx="4259">
                  <c:v>13496198.703407332</c:v>
                </c:pt>
                <c:pt idx="4260">
                  <c:v>13499367.569033867</c:v>
                </c:pt>
                <c:pt idx="4261">
                  <c:v>13502536.434660399</c:v>
                </c:pt>
                <c:pt idx="4262">
                  <c:v>13505705.300286934</c:v>
                </c:pt>
                <c:pt idx="4263">
                  <c:v>13508874.165913466</c:v>
                </c:pt>
                <c:pt idx="4264">
                  <c:v>13512043.031540001</c:v>
                </c:pt>
                <c:pt idx="4265">
                  <c:v>13515211.897166535</c:v>
                </c:pt>
                <c:pt idx="4266">
                  <c:v>13518380.762793068</c:v>
                </c:pt>
                <c:pt idx="4267">
                  <c:v>13521549.628419602</c:v>
                </c:pt>
                <c:pt idx="4268">
                  <c:v>13524718.494046137</c:v>
                </c:pt>
                <c:pt idx="4269">
                  <c:v>13527887.359672669</c:v>
                </c:pt>
                <c:pt idx="4270">
                  <c:v>13531056.225299204</c:v>
                </c:pt>
                <c:pt idx="4271">
                  <c:v>13534225.090925738</c:v>
                </c:pt>
                <c:pt idx="4272">
                  <c:v>13537393.956552271</c:v>
                </c:pt>
                <c:pt idx="4273">
                  <c:v>13540562.822178805</c:v>
                </c:pt>
                <c:pt idx="4274">
                  <c:v>13543731.687805338</c:v>
                </c:pt>
                <c:pt idx="4275">
                  <c:v>13546900.553431872</c:v>
                </c:pt>
                <c:pt idx="4276">
                  <c:v>13550069.419058407</c:v>
                </c:pt>
                <c:pt idx="4277">
                  <c:v>13553238.284684939</c:v>
                </c:pt>
                <c:pt idx="4278">
                  <c:v>13556407.150311474</c:v>
                </c:pt>
                <c:pt idx="4279">
                  <c:v>13559576.015938008</c:v>
                </c:pt>
                <c:pt idx="4280">
                  <c:v>13562744.881564541</c:v>
                </c:pt>
                <c:pt idx="4281">
                  <c:v>13565913.747191075</c:v>
                </c:pt>
                <c:pt idx="4282">
                  <c:v>13569082.61281761</c:v>
                </c:pt>
                <c:pt idx="4283">
                  <c:v>13572251.478444142</c:v>
                </c:pt>
                <c:pt idx="4284">
                  <c:v>13575420.344070677</c:v>
                </c:pt>
                <c:pt idx="4285">
                  <c:v>13578589.209697209</c:v>
                </c:pt>
                <c:pt idx="4286">
                  <c:v>13581758.075323744</c:v>
                </c:pt>
                <c:pt idx="4287">
                  <c:v>13584926.940950278</c:v>
                </c:pt>
                <c:pt idx="4288">
                  <c:v>13588095.806576811</c:v>
                </c:pt>
                <c:pt idx="4289">
                  <c:v>13591264.672203345</c:v>
                </c:pt>
                <c:pt idx="4290">
                  <c:v>13594433.53782988</c:v>
                </c:pt>
                <c:pt idx="4291">
                  <c:v>13597602.403456412</c:v>
                </c:pt>
                <c:pt idx="4292">
                  <c:v>13600771.269082947</c:v>
                </c:pt>
                <c:pt idx="4293">
                  <c:v>13603940.134709481</c:v>
                </c:pt>
                <c:pt idx="4294">
                  <c:v>13607109.000336014</c:v>
                </c:pt>
                <c:pt idx="4295">
                  <c:v>13610277.865962548</c:v>
                </c:pt>
                <c:pt idx="4296">
                  <c:v>13613446.731589081</c:v>
                </c:pt>
                <c:pt idx="4297">
                  <c:v>13616615.597215615</c:v>
                </c:pt>
                <c:pt idx="4298">
                  <c:v>13619784.46284215</c:v>
                </c:pt>
                <c:pt idx="4299">
                  <c:v>13622953.328468682</c:v>
                </c:pt>
                <c:pt idx="4300">
                  <c:v>13626122.194095217</c:v>
                </c:pt>
                <c:pt idx="4301">
                  <c:v>13629291.059721751</c:v>
                </c:pt>
                <c:pt idx="4302">
                  <c:v>13632459.925348284</c:v>
                </c:pt>
                <c:pt idx="4303">
                  <c:v>13635628.790974818</c:v>
                </c:pt>
                <c:pt idx="4304">
                  <c:v>13638797.656601353</c:v>
                </c:pt>
                <c:pt idx="4305">
                  <c:v>13641966.522227885</c:v>
                </c:pt>
                <c:pt idx="4306">
                  <c:v>13645135.38785442</c:v>
                </c:pt>
                <c:pt idx="4307">
                  <c:v>13648304.253480952</c:v>
                </c:pt>
                <c:pt idx="4308">
                  <c:v>13651473.119107487</c:v>
                </c:pt>
                <c:pt idx="4309">
                  <c:v>13654641.984734021</c:v>
                </c:pt>
                <c:pt idx="4310">
                  <c:v>13657810.850360554</c:v>
                </c:pt>
                <c:pt idx="4311">
                  <c:v>13660979.715987088</c:v>
                </c:pt>
                <c:pt idx="4312">
                  <c:v>13664148.581613623</c:v>
                </c:pt>
                <c:pt idx="4313">
                  <c:v>13667317.447240155</c:v>
                </c:pt>
                <c:pt idx="4314">
                  <c:v>13670486.31286669</c:v>
                </c:pt>
                <c:pt idx="4315">
                  <c:v>13673655.178493224</c:v>
                </c:pt>
                <c:pt idx="4316">
                  <c:v>13676824.044119757</c:v>
                </c:pt>
                <c:pt idx="4317">
                  <c:v>13679992.909746291</c:v>
                </c:pt>
                <c:pt idx="4318">
                  <c:v>13683161.775372824</c:v>
                </c:pt>
                <c:pt idx="4319">
                  <c:v>13686330.640999358</c:v>
                </c:pt>
                <c:pt idx="4320">
                  <c:v>13689499.506625893</c:v>
                </c:pt>
                <c:pt idx="4321">
                  <c:v>13692668.372252425</c:v>
                </c:pt>
                <c:pt idx="4322">
                  <c:v>13695837.23787896</c:v>
                </c:pt>
                <c:pt idx="4323">
                  <c:v>13699006.103505494</c:v>
                </c:pt>
                <c:pt idx="4324">
                  <c:v>13702174.969132027</c:v>
                </c:pt>
                <c:pt idx="4325">
                  <c:v>13705343.834758561</c:v>
                </c:pt>
                <c:pt idx="4326">
                  <c:v>13708512.700385096</c:v>
                </c:pt>
                <c:pt idx="4327">
                  <c:v>13711681.566011628</c:v>
                </c:pt>
                <c:pt idx="4328">
                  <c:v>13714850.431638163</c:v>
                </c:pt>
                <c:pt idx="4329">
                  <c:v>13718019.297264695</c:v>
                </c:pt>
                <c:pt idx="4330">
                  <c:v>13721188.16289123</c:v>
                </c:pt>
                <c:pt idx="4331">
                  <c:v>13724357.028517764</c:v>
                </c:pt>
                <c:pt idx="4332">
                  <c:v>13727525.894144297</c:v>
                </c:pt>
                <c:pt idx="4333">
                  <c:v>13730694.759770831</c:v>
                </c:pt>
                <c:pt idx="4334">
                  <c:v>13733863.625397366</c:v>
                </c:pt>
                <c:pt idx="4335">
                  <c:v>13737032.491023898</c:v>
                </c:pt>
                <c:pt idx="4336">
                  <c:v>13740201.356650433</c:v>
                </c:pt>
                <c:pt idx="4337">
                  <c:v>13743370.222276967</c:v>
                </c:pt>
                <c:pt idx="4338">
                  <c:v>13746539.0879035</c:v>
                </c:pt>
                <c:pt idx="4339">
                  <c:v>13749707.953530034</c:v>
                </c:pt>
                <c:pt idx="4340">
                  <c:v>13752876.819156567</c:v>
                </c:pt>
                <c:pt idx="4341">
                  <c:v>13756045.684783101</c:v>
                </c:pt>
                <c:pt idx="4342">
                  <c:v>13759214.550409636</c:v>
                </c:pt>
                <c:pt idx="4343">
                  <c:v>13762383.416036168</c:v>
                </c:pt>
                <c:pt idx="4344">
                  <c:v>13765552.281662703</c:v>
                </c:pt>
                <c:pt idx="4345">
                  <c:v>13768721.147289237</c:v>
                </c:pt>
                <c:pt idx="4346">
                  <c:v>13771890.01291577</c:v>
                </c:pt>
                <c:pt idx="4347">
                  <c:v>13775058.878542304</c:v>
                </c:pt>
                <c:pt idx="4348">
                  <c:v>13778227.744168838</c:v>
                </c:pt>
                <c:pt idx="4349">
                  <c:v>13781396.609795371</c:v>
                </c:pt>
                <c:pt idx="4350">
                  <c:v>13784565.475421906</c:v>
                </c:pt>
                <c:pt idx="4351">
                  <c:v>13787734.341048438</c:v>
                </c:pt>
                <c:pt idx="4352">
                  <c:v>13790903.206674973</c:v>
                </c:pt>
                <c:pt idx="4353">
                  <c:v>13794072.072301507</c:v>
                </c:pt>
                <c:pt idx="4354">
                  <c:v>13797240.93792804</c:v>
                </c:pt>
                <c:pt idx="4355">
                  <c:v>13800409.803554574</c:v>
                </c:pt>
                <c:pt idx="4356">
                  <c:v>13803578.669181108</c:v>
                </c:pt>
                <c:pt idx="4357">
                  <c:v>13806747.534807641</c:v>
                </c:pt>
                <c:pt idx="4358">
                  <c:v>13809916.400434176</c:v>
                </c:pt>
                <c:pt idx="4359">
                  <c:v>13813085.26606071</c:v>
                </c:pt>
                <c:pt idx="4360">
                  <c:v>13816254.131687243</c:v>
                </c:pt>
                <c:pt idx="4361">
                  <c:v>13819422.997313777</c:v>
                </c:pt>
                <c:pt idx="4362">
                  <c:v>13822591.86294031</c:v>
                </c:pt>
                <c:pt idx="4363">
                  <c:v>13825760.728566844</c:v>
                </c:pt>
                <c:pt idx="4364">
                  <c:v>13828929.594193378</c:v>
                </c:pt>
                <c:pt idx="4365">
                  <c:v>13832098.459819911</c:v>
                </c:pt>
                <c:pt idx="4366">
                  <c:v>13835267.325446445</c:v>
                </c:pt>
                <c:pt idx="4367">
                  <c:v>13838436.19107298</c:v>
                </c:pt>
                <c:pt idx="4368">
                  <c:v>13841605.056699513</c:v>
                </c:pt>
                <c:pt idx="4369">
                  <c:v>13844773.922326047</c:v>
                </c:pt>
                <c:pt idx="4370">
                  <c:v>13847942.787952581</c:v>
                </c:pt>
                <c:pt idx="4371">
                  <c:v>13851111.653579114</c:v>
                </c:pt>
                <c:pt idx="4372">
                  <c:v>13854280.519205648</c:v>
                </c:pt>
                <c:pt idx="4373">
                  <c:v>13857449.384832183</c:v>
                </c:pt>
                <c:pt idx="4374">
                  <c:v>13860618.250458715</c:v>
                </c:pt>
                <c:pt idx="4375">
                  <c:v>13863787.11608525</c:v>
                </c:pt>
                <c:pt idx="4376">
                  <c:v>13866955.981711783</c:v>
                </c:pt>
                <c:pt idx="4377">
                  <c:v>13870124.847338317</c:v>
                </c:pt>
                <c:pt idx="4378">
                  <c:v>13873293.712964851</c:v>
                </c:pt>
                <c:pt idx="4379">
                  <c:v>13876462.578591384</c:v>
                </c:pt>
                <c:pt idx="4380">
                  <c:v>13879631.444217918</c:v>
                </c:pt>
                <c:pt idx="4381">
                  <c:v>13882800.309844453</c:v>
                </c:pt>
                <c:pt idx="4382">
                  <c:v>13885969.175470985</c:v>
                </c:pt>
                <c:pt idx="4383">
                  <c:v>13889138.04109752</c:v>
                </c:pt>
                <c:pt idx="4384">
                  <c:v>13892306.906724054</c:v>
                </c:pt>
                <c:pt idx="4385">
                  <c:v>13895475.772350587</c:v>
                </c:pt>
                <c:pt idx="4386">
                  <c:v>13898644.637977121</c:v>
                </c:pt>
                <c:pt idx="4387">
                  <c:v>13901813.503603654</c:v>
                </c:pt>
                <c:pt idx="4388">
                  <c:v>13904982.369230188</c:v>
                </c:pt>
                <c:pt idx="4389">
                  <c:v>13908151.234856723</c:v>
                </c:pt>
                <c:pt idx="4390">
                  <c:v>13911320.100483255</c:v>
                </c:pt>
                <c:pt idx="4391">
                  <c:v>13914488.96610979</c:v>
                </c:pt>
                <c:pt idx="4392">
                  <c:v>13917657.831736324</c:v>
                </c:pt>
                <c:pt idx="4393">
                  <c:v>13920826.697362857</c:v>
                </c:pt>
                <c:pt idx="4394">
                  <c:v>13923995.562989391</c:v>
                </c:pt>
                <c:pt idx="4395">
                  <c:v>13927164.428615926</c:v>
                </c:pt>
                <c:pt idx="4396">
                  <c:v>13930333.294242458</c:v>
                </c:pt>
                <c:pt idx="4397">
                  <c:v>13933502.159868993</c:v>
                </c:pt>
                <c:pt idx="4398">
                  <c:v>13936671.025495525</c:v>
                </c:pt>
                <c:pt idx="4399">
                  <c:v>13939839.89112206</c:v>
                </c:pt>
                <c:pt idx="4400">
                  <c:v>13943008.756748594</c:v>
                </c:pt>
                <c:pt idx="4401">
                  <c:v>13946177.622375127</c:v>
                </c:pt>
                <c:pt idx="4402">
                  <c:v>13949346.488001661</c:v>
                </c:pt>
                <c:pt idx="4403">
                  <c:v>13952515.353628196</c:v>
                </c:pt>
                <c:pt idx="4404">
                  <c:v>13955684.219254728</c:v>
                </c:pt>
                <c:pt idx="4405">
                  <c:v>13958853.084881263</c:v>
                </c:pt>
                <c:pt idx="4406">
                  <c:v>13962021.950507797</c:v>
                </c:pt>
                <c:pt idx="4407">
                  <c:v>13965190.81613433</c:v>
                </c:pt>
                <c:pt idx="4408">
                  <c:v>13968359.681760864</c:v>
                </c:pt>
                <c:pt idx="4409">
                  <c:v>13971528.547387397</c:v>
                </c:pt>
                <c:pt idx="4410">
                  <c:v>13974697.413013931</c:v>
                </c:pt>
                <c:pt idx="4411">
                  <c:v>13977866.278640466</c:v>
                </c:pt>
                <c:pt idx="4412">
                  <c:v>13981035.144266998</c:v>
                </c:pt>
                <c:pt idx="4413">
                  <c:v>13984204.009893533</c:v>
                </c:pt>
                <c:pt idx="4414">
                  <c:v>13987372.875520067</c:v>
                </c:pt>
                <c:pt idx="4415">
                  <c:v>13990541.7411466</c:v>
                </c:pt>
                <c:pt idx="4416">
                  <c:v>13993710.606773134</c:v>
                </c:pt>
                <c:pt idx="4417">
                  <c:v>13996879.472399669</c:v>
                </c:pt>
                <c:pt idx="4418">
                  <c:v>14000048.338026201</c:v>
                </c:pt>
                <c:pt idx="4419">
                  <c:v>14003217.203652736</c:v>
                </c:pt>
                <c:pt idx="4420">
                  <c:v>14006386.069279268</c:v>
                </c:pt>
                <c:pt idx="4421">
                  <c:v>14009554.934905803</c:v>
                </c:pt>
                <c:pt idx="4422">
                  <c:v>14012723.800532337</c:v>
                </c:pt>
                <c:pt idx="4423">
                  <c:v>14015892.66615887</c:v>
                </c:pt>
                <c:pt idx="4424">
                  <c:v>14019061.531785404</c:v>
                </c:pt>
                <c:pt idx="4425">
                  <c:v>14022230.397411939</c:v>
                </c:pt>
                <c:pt idx="4426">
                  <c:v>14025399.263038471</c:v>
                </c:pt>
                <c:pt idx="4427">
                  <c:v>14028568.128665006</c:v>
                </c:pt>
                <c:pt idx="4428">
                  <c:v>14031736.99429154</c:v>
                </c:pt>
                <c:pt idx="4429">
                  <c:v>14034905.859918073</c:v>
                </c:pt>
                <c:pt idx="4430">
                  <c:v>14038074.725544607</c:v>
                </c:pt>
                <c:pt idx="4431">
                  <c:v>14041243.59117114</c:v>
                </c:pt>
                <c:pt idx="4432">
                  <c:v>14044412.456797674</c:v>
                </c:pt>
                <c:pt idx="4433">
                  <c:v>14047581.322424209</c:v>
                </c:pt>
                <c:pt idx="4434">
                  <c:v>14050750.188050741</c:v>
                </c:pt>
                <c:pt idx="4435">
                  <c:v>14053919.053677276</c:v>
                </c:pt>
                <c:pt idx="4436">
                  <c:v>14057087.91930381</c:v>
                </c:pt>
                <c:pt idx="4437">
                  <c:v>14060256.784930343</c:v>
                </c:pt>
                <c:pt idx="4438">
                  <c:v>14063425.650556877</c:v>
                </c:pt>
                <c:pt idx="4439">
                  <c:v>14066594.516183412</c:v>
                </c:pt>
                <c:pt idx="4440">
                  <c:v>14069763.381809944</c:v>
                </c:pt>
                <c:pt idx="4441">
                  <c:v>14072932.247436479</c:v>
                </c:pt>
                <c:pt idx="4442">
                  <c:v>14076101.113063011</c:v>
                </c:pt>
                <c:pt idx="4443">
                  <c:v>14079269.978689546</c:v>
                </c:pt>
                <c:pt idx="4444">
                  <c:v>14082438.84431608</c:v>
                </c:pt>
                <c:pt idx="4445">
                  <c:v>14085607.709942613</c:v>
                </c:pt>
                <c:pt idx="4446">
                  <c:v>14088776.575569147</c:v>
                </c:pt>
                <c:pt idx="4447">
                  <c:v>14091945.441195682</c:v>
                </c:pt>
                <c:pt idx="4448">
                  <c:v>14095114.306822214</c:v>
                </c:pt>
                <c:pt idx="4449">
                  <c:v>14098283.172448749</c:v>
                </c:pt>
                <c:pt idx="4450">
                  <c:v>14101452.038075283</c:v>
                </c:pt>
                <c:pt idx="4451">
                  <c:v>14104620.903701816</c:v>
                </c:pt>
                <c:pt idx="4452">
                  <c:v>14107789.76932835</c:v>
                </c:pt>
                <c:pt idx="4453">
                  <c:v>14110958.634954883</c:v>
                </c:pt>
                <c:pt idx="4454">
                  <c:v>14114127.500581417</c:v>
                </c:pt>
                <c:pt idx="4455">
                  <c:v>14117296.366207952</c:v>
                </c:pt>
                <c:pt idx="4456">
                  <c:v>14120465.231834484</c:v>
                </c:pt>
                <c:pt idx="4457">
                  <c:v>14123634.097461019</c:v>
                </c:pt>
                <c:pt idx="4458">
                  <c:v>14126802.963087553</c:v>
                </c:pt>
                <c:pt idx="4459">
                  <c:v>14129971.828714086</c:v>
                </c:pt>
                <c:pt idx="4460">
                  <c:v>14133140.69434062</c:v>
                </c:pt>
                <c:pt idx="4461">
                  <c:v>14136309.559967155</c:v>
                </c:pt>
                <c:pt idx="4462">
                  <c:v>14139478.425593687</c:v>
                </c:pt>
                <c:pt idx="4463">
                  <c:v>14142647.291220222</c:v>
                </c:pt>
                <c:pt idx="4464">
                  <c:v>14145816.156846754</c:v>
                </c:pt>
                <c:pt idx="4465">
                  <c:v>14148985.022473289</c:v>
                </c:pt>
                <c:pt idx="4466">
                  <c:v>14152153.888099823</c:v>
                </c:pt>
                <c:pt idx="4467">
                  <c:v>14155322.753726356</c:v>
                </c:pt>
                <c:pt idx="4468">
                  <c:v>14158491.61935289</c:v>
                </c:pt>
                <c:pt idx="4469">
                  <c:v>14161660.484979425</c:v>
                </c:pt>
                <c:pt idx="4470">
                  <c:v>14164829.350605957</c:v>
                </c:pt>
                <c:pt idx="4471">
                  <c:v>14167998.216232492</c:v>
                </c:pt>
                <c:pt idx="4472">
                  <c:v>14171167.081859026</c:v>
                </c:pt>
                <c:pt idx="4473">
                  <c:v>14174335.947485559</c:v>
                </c:pt>
                <c:pt idx="4474">
                  <c:v>14177504.813112093</c:v>
                </c:pt>
                <c:pt idx="4475">
                  <c:v>14180673.678738628</c:v>
                </c:pt>
                <c:pt idx="4476">
                  <c:v>14183842.54436516</c:v>
                </c:pt>
                <c:pt idx="4477">
                  <c:v>14187011.409991695</c:v>
                </c:pt>
                <c:pt idx="4478">
                  <c:v>14190180.275618227</c:v>
                </c:pt>
                <c:pt idx="4479">
                  <c:v>14193349.141244762</c:v>
                </c:pt>
                <c:pt idx="4480">
                  <c:v>14196518.006871296</c:v>
                </c:pt>
                <c:pt idx="4481">
                  <c:v>14199686.872497829</c:v>
                </c:pt>
                <c:pt idx="4482">
                  <c:v>14202855.738124363</c:v>
                </c:pt>
                <c:pt idx="4483">
                  <c:v>14206024.603750898</c:v>
                </c:pt>
                <c:pt idx="4484">
                  <c:v>14209193.46937743</c:v>
                </c:pt>
                <c:pt idx="4485">
                  <c:v>14212362.335003965</c:v>
                </c:pt>
                <c:pt idx="4486">
                  <c:v>14215531.200630499</c:v>
                </c:pt>
                <c:pt idx="4487">
                  <c:v>14218700.066257032</c:v>
                </c:pt>
                <c:pt idx="4488">
                  <c:v>14221868.931883566</c:v>
                </c:pt>
                <c:pt idx="4489">
                  <c:v>14225037.797510099</c:v>
                </c:pt>
                <c:pt idx="4490">
                  <c:v>14228206.663136633</c:v>
                </c:pt>
                <c:pt idx="4491">
                  <c:v>14231375.528763168</c:v>
                </c:pt>
                <c:pt idx="4492">
                  <c:v>14234544.3943897</c:v>
                </c:pt>
                <c:pt idx="4493">
                  <c:v>14237713.260016235</c:v>
                </c:pt>
                <c:pt idx="4494">
                  <c:v>14240882.125642769</c:v>
                </c:pt>
                <c:pt idx="4495">
                  <c:v>14244050.991269302</c:v>
                </c:pt>
                <c:pt idx="4496">
                  <c:v>14247219.856895836</c:v>
                </c:pt>
                <c:pt idx="4497">
                  <c:v>14250388.722522371</c:v>
                </c:pt>
                <c:pt idx="4498">
                  <c:v>14253557.588148903</c:v>
                </c:pt>
                <c:pt idx="4499">
                  <c:v>14256726.453775438</c:v>
                </c:pt>
                <c:pt idx="4500">
                  <c:v>14259895.31940197</c:v>
                </c:pt>
                <c:pt idx="4501">
                  <c:v>14263064.185028505</c:v>
                </c:pt>
                <c:pt idx="4502">
                  <c:v>14266233.050655039</c:v>
                </c:pt>
                <c:pt idx="4503">
                  <c:v>14269401.916281572</c:v>
                </c:pt>
                <c:pt idx="4504">
                  <c:v>14272570.781908106</c:v>
                </c:pt>
                <c:pt idx="4505">
                  <c:v>14275739.647534641</c:v>
                </c:pt>
                <c:pt idx="4506">
                  <c:v>14278908.513161173</c:v>
                </c:pt>
                <c:pt idx="4507">
                  <c:v>14282077.378787708</c:v>
                </c:pt>
                <c:pt idx="4508">
                  <c:v>14285246.244414242</c:v>
                </c:pt>
                <c:pt idx="4509">
                  <c:v>14288415.110040775</c:v>
                </c:pt>
                <c:pt idx="4510">
                  <c:v>14291583.975667309</c:v>
                </c:pt>
                <c:pt idx="4511">
                  <c:v>14294752.841293842</c:v>
                </c:pt>
                <c:pt idx="4512">
                  <c:v>14297921.706920376</c:v>
                </c:pt>
                <c:pt idx="4513">
                  <c:v>14301090.57254691</c:v>
                </c:pt>
                <c:pt idx="4514">
                  <c:v>14304259.438173443</c:v>
                </c:pt>
                <c:pt idx="4515">
                  <c:v>14307428.303799978</c:v>
                </c:pt>
                <c:pt idx="4516">
                  <c:v>14310597.169426512</c:v>
                </c:pt>
                <c:pt idx="4517">
                  <c:v>14313766.035053045</c:v>
                </c:pt>
                <c:pt idx="4518">
                  <c:v>14316934.900679579</c:v>
                </c:pt>
                <c:pt idx="4519">
                  <c:v>14320103.766306113</c:v>
                </c:pt>
                <c:pt idx="4520">
                  <c:v>14323272.631932646</c:v>
                </c:pt>
                <c:pt idx="4521">
                  <c:v>14326441.49755918</c:v>
                </c:pt>
                <c:pt idx="4522">
                  <c:v>14329610.363185713</c:v>
                </c:pt>
                <c:pt idx="4523">
                  <c:v>14332779.228812248</c:v>
                </c:pt>
                <c:pt idx="4524">
                  <c:v>14335948.094438782</c:v>
                </c:pt>
                <c:pt idx="4525">
                  <c:v>14339116.960065315</c:v>
                </c:pt>
                <c:pt idx="4526">
                  <c:v>14342285.825691849</c:v>
                </c:pt>
                <c:pt idx="4527">
                  <c:v>14345454.691318383</c:v>
                </c:pt>
                <c:pt idx="4528">
                  <c:v>14348623.556944916</c:v>
                </c:pt>
                <c:pt idx="4529">
                  <c:v>14351792.42257145</c:v>
                </c:pt>
                <c:pt idx="4530">
                  <c:v>14354961.288197985</c:v>
                </c:pt>
                <c:pt idx="4531">
                  <c:v>14358130.153824518</c:v>
                </c:pt>
                <c:pt idx="4532">
                  <c:v>14361299.019451052</c:v>
                </c:pt>
                <c:pt idx="4533">
                  <c:v>14364467.885077585</c:v>
                </c:pt>
                <c:pt idx="4534">
                  <c:v>14367636.750704119</c:v>
                </c:pt>
                <c:pt idx="4535">
                  <c:v>14370805.616330653</c:v>
                </c:pt>
                <c:pt idx="4536">
                  <c:v>14373974.481957186</c:v>
                </c:pt>
                <c:pt idx="4537">
                  <c:v>14377143.34758372</c:v>
                </c:pt>
                <c:pt idx="4538">
                  <c:v>14380312.213210255</c:v>
                </c:pt>
                <c:pt idx="4539">
                  <c:v>14383481.078836787</c:v>
                </c:pt>
                <c:pt idx="4540">
                  <c:v>14386649.944463322</c:v>
                </c:pt>
                <c:pt idx="4541">
                  <c:v>14389818.810089856</c:v>
                </c:pt>
                <c:pt idx="4542">
                  <c:v>14392987.675716389</c:v>
                </c:pt>
                <c:pt idx="4543">
                  <c:v>14396156.541342923</c:v>
                </c:pt>
                <c:pt idx="4544">
                  <c:v>14399325.406969456</c:v>
                </c:pt>
                <c:pt idx="4545">
                  <c:v>14402494.27259599</c:v>
                </c:pt>
                <c:pt idx="4546">
                  <c:v>14405663.138222525</c:v>
                </c:pt>
                <c:pt idx="4547">
                  <c:v>14408832.003849057</c:v>
                </c:pt>
                <c:pt idx="4548">
                  <c:v>14412000.869475592</c:v>
                </c:pt>
                <c:pt idx="4549">
                  <c:v>14415169.735102126</c:v>
                </c:pt>
                <c:pt idx="4550">
                  <c:v>14418338.600728659</c:v>
                </c:pt>
                <c:pt idx="4551">
                  <c:v>14421507.466355193</c:v>
                </c:pt>
                <c:pt idx="4552">
                  <c:v>14424676.331981728</c:v>
                </c:pt>
                <c:pt idx="4553">
                  <c:v>14427845.19760826</c:v>
                </c:pt>
                <c:pt idx="4554">
                  <c:v>14431014.063234795</c:v>
                </c:pt>
                <c:pt idx="4555">
                  <c:v>14434182.928861327</c:v>
                </c:pt>
                <c:pt idx="4556">
                  <c:v>14437351.794487862</c:v>
                </c:pt>
                <c:pt idx="4557">
                  <c:v>14440520.660114396</c:v>
                </c:pt>
                <c:pt idx="4558">
                  <c:v>14443689.525740929</c:v>
                </c:pt>
                <c:pt idx="4559">
                  <c:v>14446858.391367463</c:v>
                </c:pt>
                <c:pt idx="4560">
                  <c:v>14450027.256993998</c:v>
                </c:pt>
                <c:pt idx="4561">
                  <c:v>14453196.12262053</c:v>
                </c:pt>
                <c:pt idx="4562">
                  <c:v>14456364.988247065</c:v>
                </c:pt>
                <c:pt idx="4563">
                  <c:v>14459533.853873599</c:v>
                </c:pt>
                <c:pt idx="4564">
                  <c:v>14462702.719500132</c:v>
                </c:pt>
                <c:pt idx="4565">
                  <c:v>14465871.585126666</c:v>
                </c:pt>
                <c:pt idx="4566">
                  <c:v>14469040.450753199</c:v>
                </c:pt>
                <c:pt idx="4567">
                  <c:v>14472209.316379733</c:v>
                </c:pt>
                <c:pt idx="4568">
                  <c:v>14475378.182006268</c:v>
                </c:pt>
                <c:pt idx="4569">
                  <c:v>14478547.0476328</c:v>
                </c:pt>
                <c:pt idx="4570">
                  <c:v>14481715.913259335</c:v>
                </c:pt>
                <c:pt idx="4571">
                  <c:v>14484884.778885869</c:v>
                </c:pt>
                <c:pt idx="4572">
                  <c:v>14488053.644512402</c:v>
                </c:pt>
                <c:pt idx="4573">
                  <c:v>14491222.510138936</c:v>
                </c:pt>
                <c:pt idx="4574">
                  <c:v>14494391.375765471</c:v>
                </c:pt>
                <c:pt idx="4575">
                  <c:v>14497560.241392003</c:v>
                </c:pt>
                <c:pt idx="4576">
                  <c:v>14500729.107018538</c:v>
                </c:pt>
                <c:pt idx="4577">
                  <c:v>14503897.97264507</c:v>
                </c:pt>
                <c:pt idx="4578">
                  <c:v>14507066.838271605</c:v>
                </c:pt>
                <c:pt idx="4579">
                  <c:v>14510235.703898139</c:v>
                </c:pt>
                <c:pt idx="4580">
                  <c:v>14513404.569524672</c:v>
                </c:pt>
                <c:pt idx="4581">
                  <c:v>14516573.435151206</c:v>
                </c:pt>
                <c:pt idx="4582">
                  <c:v>14519742.300777741</c:v>
                </c:pt>
                <c:pt idx="4583">
                  <c:v>14522911.166404273</c:v>
                </c:pt>
                <c:pt idx="4584">
                  <c:v>14526080.032030808</c:v>
                </c:pt>
                <c:pt idx="4585">
                  <c:v>14529248.897657342</c:v>
                </c:pt>
                <c:pt idx="4586">
                  <c:v>14532417.763283875</c:v>
                </c:pt>
                <c:pt idx="4587">
                  <c:v>14535586.628910409</c:v>
                </c:pt>
                <c:pt idx="4588">
                  <c:v>14538755.494536944</c:v>
                </c:pt>
                <c:pt idx="4589">
                  <c:v>14541924.360163476</c:v>
                </c:pt>
                <c:pt idx="4590">
                  <c:v>14545093.225790011</c:v>
                </c:pt>
                <c:pt idx="4591">
                  <c:v>14548262.091416543</c:v>
                </c:pt>
                <c:pt idx="4592">
                  <c:v>14551430.957043078</c:v>
                </c:pt>
                <c:pt idx="4593">
                  <c:v>14554599.822669612</c:v>
                </c:pt>
                <c:pt idx="4594">
                  <c:v>14557768.688296145</c:v>
                </c:pt>
                <c:pt idx="4595">
                  <c:v>14560937.553922679</c:v>
                </c:pt>
                <c:pt idx="4596">
                  <c:v>14564106.419549214</c:v>
                </c:pt>
                <c:pt idx="4597">
                  <c:v>14567275.285175746</c:v>
                </c:pt>
                <c:pt idx="4598">
                  <c:v>14570444.150802281</c:v>
                </c:pt>
                <c:pt idx="4599">
                  <c:v>14573613.016428815</c:v>
                </c:pt>
                <c:pt idx="4600">
                  <c:v>14576781.882055348</c:v>
                </c:pt>
                <c:pt idx="4601">
                  <c:v>14579950.747681882</c:v>
                </c:pt>
                <c:pt idx="4602">
                  <c:v>14583119.613308415</c:v>
                </c:pt>
                <c:pt idx="4603">
                  <c:v>14586288.478934949</c:v>
                </c:pt>
                <c:pt idx="4604">
                  <c:v>14589457.344561484</c:v>
                </c:pt>
                <c:pt idx="4605">
                  <c:v>14592626.210188016</c:v>
                </c:pt>
                <c:pt idx="4606">
                  <c:v>14595795.075814551</c:v>
                </c:pt>
                <c:pt idx="4607">
                  <c:v>14598963.941441085</c:v>
                </c:pt>
                <c:pt idx="4608">
                  <c:v>14602132.807067618</c:v>
                </c:pt>
                <c:pt idx="4609">
                  <c:v>14605301.672694152</c:v>
                </c:pt>
                <c:pt idx="4610">
                  <c:v>14608470.538320687</c:v>
                </c:pt>
                <c:pt idx="4611">
                  <c:v>14611639.403947219</c:v>
                </c:pt>
                <c:pt idx="4612">
                  <c:v>14614808.269573754</c:v>
                </c:pt>
                <c:pt idx="4613">
                  <c:v>14617977.135200286</c:v>
                </c:pt>
                <c:pt idx="4614">
                  <c:v>14621146.000826821</c:v>
                </c:pt>
                <c:pt idx="4615">
                  <c:v>14624314.866453355</c:v>
                </c:pt>
                <c:pt idx="4616">
                  <c:v>14627483.732079888</c:v>
                </c:pt>
                <c:pt idx="4617">
                  <c:v>14630652.597706422</c:v>
                </c:pt>
                <c:pt idx="4618">
                  <c:v>14633821.463332957</c:v>
                </c:pt>
                <c:pt idx="4619">
                  <c:v>14636990.328959489</c:v>
                </c:pt>
                <c:pt idx="4620">
                  <c:v>14640159.194586024</c:v>
                </c:pt>
                <c:pt idx="4621">
                  <c:v>14643328.060212558</c:v>
                </c:pt>
                <c:pt idx="4622">
                  <c:v>14646496.925839091</c:v>
                </c:pt>
                <c:pt idx="4623">
                  <c:v>14649665.791465625</c:v>
                </c:pt>
                <c:pt idx="4624">
                  <c:v>14652834.657092158</c:v>
                </c:pt>
                <c:pt idx="4625">
                  <c:v>14656003.522718692</c:v>
                </c:pt>
                <c:pt idx="4626">
                  <c:v>14659172.388345227</c:v>
                </c:pt>
                <c:pt idx="4627">
                  <c:v>14662341.253971759</c:v>
                </c:pt>
                <c:pt idx="4628">
                  <c:v>14665510.119598294</c:v>
                </c:pt>
                <c:pt idx="4629">
                  <c:v>14668678.985224828</c:v>
                </c:pt>
                <c:pt idx="4630">
                  <c:v>14671847.850851361</c:v>
                </c:pt>
                <c:pt idx="4631">
                  <c:v>14675016.716477895</c:v>
                </c:pt>
                <c:pt idx="4632">
                  <c:v>14678185.58210443</c:v>
                </c:pt>
                <c:pt idx="4633">
                  <c:v>14681354.447730962</c:v>
                </c:pt>
                <c:pt idx="4634">
                  <c:v>14684523.313357497</c:v>
                </c:pt>
                <c:pt idx="4635">
                  <c:v>14687692.178984029</c:v>
                </c:pt>
                <c:pt idx="4636">
                  <c:v>14690861.044610564</c:v>
                </c:pt>
                <c:pt idx="4637">
                  <c:v>14694029.910237098</c:v>
                </c:pt>
                <c:pt idx="4638">
                  <c:v>14697198.775863631</c:v>
                </c:pt>
                <c:pt idx="4639">
                  <c:v>14700367.641490165</c:v>
                </c:pt>
                <c:pt idx="4640">
                  <c:v>14703536.5071167</c:v>
                </c:pt>
                <c:pt idx="4641">
                  <c:v>14706705.372743232</c:v>
                </c:pt>
                <c:pt idx="4642">
                  <c:v>14709874.238369767</c:v>
                </c:pt>
                <c:pt idx="4643">
                  <c:v>14713043.103996301</c:v>
                </c:pt>
                <c:pt idx="4644">
                  <c:v>14716211.969622834</c:v>
                </c:pt>
                <c:pt idx="4645">
                  <c:v>14719380.835249368</c:v>
                </c:pt>
                <c:pt idx="4646">
                  <c:v>14722549.700875901</c:v>
                </c:pt>
                <c:pt idx="4647">
                  <c:v>14725718.566502435</c:v>
                </c:pt>
                <c:pt idx="4648">
                  <c:v>14728887.43212897</c:v>
                </c:pt>
                <c:pt idx="4649">
                  <c:v>14732056.297755502</c:v>
                </c:pt>
                <c:pt idx="4650">
                  <c:v>14735225.163382037</c:v>
                </c:pt>
                <c:pt idx="4651">
                  <c:v>14738394.029008571</c:v>
                </c:pt>
                <c:pt idx="4652">
                  <c:v>14741562.894635104</c:v>
                </c:pt>
                <c:pt idx="4653">
                  <c:v>14744731.760261638</c:v>
                </c:pt>
                <c:pt idx="4654">
                  <c:v>14747900.625888173</c:v>
                </c:pt>
                <c:pt idx="4655">
                  <c:v>14751069.491514705</c:v>
                </c:pt>
                <c:pt idx="4656">
                  <c:v>14754238.35714124</c:v>
                </c:pt>
                <c:pt idx="4657">
                  <c:v>14757407.222767772</c:v>
                </c:pt>
                <c:pt idx="4658">
                  <c:v>14760576.088394307</c:v>
                </c:pt>
                <c:pt idx="4659">
                  <c:v>14763744.954020841</c:v>
                </c:pt>
                <c:pt idx="4660">
                  <c:v>14766913.819647374</c:v>
                </c:pt>
                <c:pt idx="4661">
                  <c:v>14770082.685273908</c:v>
                </c:pt>
                <c:pt idx="4662">
                  <c:v>14773251.550900443</c:v>
                </c:pt>
                <c:pt idx="4663">
                  <c:v>14776420.416526975</c:v>
                </c:pt>
                <c:pt idx="4664">
                  <c:v>14779589.28215351</c:v>
                </c:pt>
                <c:pt idx="4665">
                  <c:v>14782758.147780044</c:v>
                </c:pt>
                <c:pt idx="4666">
                  <c:v>14785927.013406577</c:v>
                </c:pt>
                <c:pt idx="4667">
                  <c:v>14789095.879033111</c:v>
                </c:pt>
                <c:pt idx="4668">
                  <c:v>14792264.744659644</c:v>
                </c:pt>
                <c:pt idx="4669">
                  <c:v>14795433.610286178</c:v>
                </c:pt>
                <c:pt idx="4670">
                  <c:v>14798602.475912713</c:v>
                </c:pt>
                <c:pt idx="4671">
                  <c:v>14801771.341539245</c:v>
                </c:pt>
                <c:pt idx="4672">
                  <c:v>14804940.20716578</c:v>
                </c:pt>
                <c:pt idx="4673">
                  <c:v>14808109.072792314</c:v>
                </c:pt>
                <c:pt idx="4674">
                  <c:v>14811277.938418847</c:v>
                </c:pt>
                <c:pt idx="4675">
                  <c:v>14814446.804045381</c:v>
                </c:pt>
                <c:pt idx="4676">
                  <c:v>14817615.669671915</c:v>
                </c:pt>
                <c:pt idx="4677">
                  <c:v>14820784.535298448</c:v>
                </c:pt>
                <c:pt idx="4678">
                  <c:v>14823953.400924983</c:v>
                </c:pt>
                <c:pt idx="4679">
                  <c:v>14827122.266551515</c:v>
                </c:pt>
                <c:pt idx="4680">
                  <c:v>14830291.13217805</c:v>
                </c:pt>
                <c:pt idx="4681">
                  <c:v>14833459.997804584</c:v>
                </c:pt>
                <c:pt idx="4682">
                  <c:v>14836628.863431117</c:v>
                </c:pt>
                <c:pt idx="4683">
                  <c:v>14839797.729057651</c:v>
                </c:pt>
                <c:pt idx="4684">
                  <c:v>14842966.594684185</c:v>
                </c:pt>
                <c:pt idx="4685">
                  <c:v>14846135.460310718</c:v>
                </c:pt>
                <c:pt idx="4686">
                  <c:v>14849304.325937252</c:v>
                </c:pt>
                <c:pt idx="4687">
                  <c:v>14852473.191563787</c:v>
                </c:pt>
                <c:pt idx="4688">
                  <c:v>14855642.05719032</c:v>
                </c:pt>
                <c:pt idx="4689">
                  <c:v>14858810.922816854</c:v>
                </c:pt>
                <c:pt idx="4690">
                  <c:v>14861979.788443388</c:v>
                </c:pt>
                <c:pt idx="4691">
                  <c:v>14865148.654069921</c:v>
                </c:pt>
                <c:pt idx="4692">
                  <c:v>14868317.519696455</c:v>
                </c:pt>
                <c:pt idx="4693">
                  <c:v>14871486.385322988</c:v>
                </c:pt>
                <c:pt idx="4694">
                  <c:v>14874655.250949522</c:v>
                </c:pt>
                <c:pt idx="4695">
                  <c:v>14877824.116576057</c:v>
                </c:pt>
                <c:pt idx="4696">
                  <c:v>14880992.98220259</c:v>
                </c:pt>
                <c:pt idx="4697">
                  <c:v>14884161.847829124</c:v>
                </c:pt>
                <c:pt idx="4698">
                  <c:v>14887330.713455658</c:v>
                </c:pt>
                <c:pt idx="4699">
                  <c:v>14890499.579082191</c:v>
                </c:pt>
                <c:pt idx="4700">
                  <c:v>14893668.444708725</c:v>
                </c:pt>
                <c:pt idx="4701">
                  <c:v>14896837.31033526</c:v>
                </c:pt>
                <c:pt idx="4702">
                  <c:v>14900006.175961792</c:v>
                </c:pt>
                <c:pt idx="4703">
                  <c:v>14903175.041588327</c:v>
                </c:pt>
                <c:pt idx="4704">
                  <c:v>14906343.90721486</c:v>
                </c:pt>
                <c:pt idx="4705">
                  <c:v>14909512.772841394</c:v>
                </c:pt>
                <c:pt idx="4706">
                  <c:v>14912681.638467928</c:v>
                </c:pt>
                <c:pt idx="4707">
                  <c:v>14915850.504094461</c:v>
                </c:pt>
                <c:pt idx="4708">
                  <c:v>14919019.369720995</c:v>
                </c:pt>
                <c:pt idx="4709">
                  <c:v>14922188.23534753</c:v>
                </c:pt>
                <c:pt idx="4710">
                  <c:v>14925357.100974062</c:v>
                </c:pt>
                <c:pt idx="4711">
                  <c:v>14928525.966600597</c:v>
                </c:pt>
                <c:pt idx="4712">
                  <c:v>14931694.832227131</c:v>
                </c:pt>
                <c:pt idx="4713">
                  <c:v>14934863.697853664</c:v>
                </c:pt>
                <c:pt idx="4714">
                  <c:v>14938032.563480198</c:v>
                </c:pt>
                <c:pt idx="4715">
                  <c:v>14941201.429106731</c:v>
                </c:pt>
                <c:pt idx="4716">
                  <c:v>14944370.294733265</c:v>
                </c:pt>
                <c:pt idx="4717">
                  <c:v>14947539.1603598</c:v>
                </c:pt>
                <c:pt idx="4718">
                  <c:v>14950708.025986332</c:v>
                </c:pt>
                <c:pt idx="4719">
                  <c:v>14953876.891612867</c:v>
                </c:pt>
                <c:pt idx="4720">
                  <c:v>14957045.757239401</c:v>
                </c:pt>
                <c:pt idx="4721">
                  <c:v>14960214.622865934</c:v>
                </c:pt>
                <c:pt idx="4722">
                  <c:v>14963383.488492468</c:v>
                </c:pt>
                <c:pt idx="4723">
                  <c:v>14966552.354119003</c:v>
                </c:pt>
                <c:pt idx="4724">
                  <c:v>14969721.219745535</c:v>
                </c:pt>
                <c:pt idx="4725">
                  <c:v>14972890.08537207</c:v>
                </c:pt>
                <c:pt idx="4726">
                  <c:v>14976058.950998602</c:v>
                </c:pt>
                <c:pt idx="4727">
                  <c:v>14979227.816625137</c:v>
                </c:pt>
                <c:pt idx="4728">
                  <c:v>14982396.682251671</c:v>
                </c:pt>
                <c:pt idx="4729">
                  <c:v>14985565.547878204</c:v>
                </c:pt>
                <c:pt idx="4730">
                  <c:v>14988734.413504738</c:v>
                </c:pt>
                <c:pt idx="4731">
                  <c:v>14991903.279131273</c:v>
                </c:pt>
                <c:pt idx="4732">
                  <c:v>14995072.144757805</c:v>
                </c:pt>
                <c:pt idx="4733">
                  <c:v>14998241.01038434</c:v>
                </c:pt>
                <c:pt idx="4734">
                  <c:v>15001409.876010874</c:v>
                </c:pt>
                <c:pt idx="4735">
                  <c:v>15004578.741637407</c:v>
                </c:pt>
                <c:pt idx="4736">
                  <c:v>15007747.607263941</c:v>
                </c:pt>
                <c:pt idx="4737">
                  <c:v>15010916.472890474</c:v>
                </c:pt>
                <c:pt idx="4738">
                  <c:v>15014085.338517008</c:v>
                </c:pt>
                <c:pt idx="4739">
                  <c:v>15017254.204143543</c:v>
                </c:pt>
                <c:pt idx="4740">
                  <c:v>15020423.069770075</c:v>
                </c:pt>
                <c:pt idx="4741">
                  <c:v>15023591.93539661</c:v>
                </c:pt>
                <c:pt idx="4742">
                  <c:v>15026760.801023144</c:v>
                </c:pt>
                <c:pt idx="4743">
                  <c:v>15029929.666649677</c:v>
                </c:pt>
                <c:pt idx="4744">
                  <c:v>15033098.532276211</c:v>
                </c:pt>
                <c:pt idx="4745">
                  <c:v>15036267.397902746</c:v>
                </c:pt>
                <c:pt idx="4746">
                  <c:v>15039436.263529278</c:v>
                </c:pt>
                <c:pt idx="4747">
                  <c:v>15042605.129155813</c:v>
                </c:pt>
                <c:pt idx="4748">
                  <c:v>15045773.994782345</c:v>
                </c:pt>
                <c:pt idx="4749">
                  <c:v>15048942.86040888</c:v>
                </c:pt>
                <c:pt idx="4750">
                  <c:v>15052111.726035414</c:v>
                </c:pt>
                <c:pt idx="4751">
                  <c:v>15055280.591661947</c:v>
                </c:pt>
                <c:pt idx="4752">
                  <c:v>15058449.457288481</c:v>
                </c:pt>
                <c:pt idx="4753">
                  <c:v>15061618.322915016</c:v>
                </c:pt>
                <c:pt idx="4754">
                  <c:v>15064787.188541548</c:v>
                </c:pt>
                <c:pt idx="4755">
                  <c:v>15067956.054168083</c:v>
                </c:pt>
                <c:pt idx="4756">
                  <c:v>15071124.919794617</c:v>
                </c:pt>
                <c:pt idx="4757">
                  <c:v>15074293.78542115</c:v>
                </c:pt>
                <c:pt idx="4758">
                  <c:v>15077462.651047684</c:v>
                </c:pt>
                <c:pt idx="4759">
                  <c:v>15080631.516674217</c:v>
                </c:pt>
                <c:pt idx="4760">
                  <c:v>15083800.382300751</c:v>
                </c:pt>
                <c:pt idx="4761">
                  <c:v>15086969.247927286</c:v>
                </c:pt>
                <c:pt idx="4762">
                  <c:v>15090138.113553818</c:v>
                </c:pt>
                <c:pt idx="4763">
                  <c:v>15093306.979180353</c:v>
                </c:pt>
                <c:pt idx="4764">
                  <c:v>15096475.844806887</c:v>
                </c:pt>
                <c:pt idx="4765">
                  <c:v>15099644.71043342</c:v>
                </c:pt>
                <c:pt idx="4766">
                  <c:v>15102813.576059954</c:v>
                </c:pt>
                <c:pt idx="4767">
                  <c:v>15105982.441686489</c:v>
                </c:pt>
                <c:pt idx="4768">
                  <c:v>15109151.307313021</c:v>
                </c:pt>
                <c:pt idx="4769">
                  <c:v>15112320.172939556</c:v>
                </c:pt>
                <c:pt idx="4770">
                  <c:v>15115489.038566088</c:v>
                </c:pt>
                <c:pt idx="4771">
                  <c:v>15118657.904192623</c:v>
                </c:pt>
                <c:pt idx="4772">
                  <c:v>15121826.769819157</c:v>
                </c:pt>
                <c:pt idx="4773">
                  <c:v>15124995.63544569</c:v>
                </c:pt>
                <c:pt idx="4774">
                  <c:v>15128164.501072224</c:v>
                </c:pt>
                <c:pt idx="4775">
                  <c:v>15131333.366698759</c:v>
                </c:pt>
                <c:pt idx="4776">
                  <c:v>15134502.232325291</c:v>
                </c:pt>
                <c:pt idx="4777">
                  <c:v>15137671.097951826</c:v>
                </c:pt>
                <c:pt idx="4778">
                  <c:v>15140839.96357836</c:v>
                </c:pt>
                <c:pt idx="4779">
                  <c:v>15144008.829204893</c:v>
                </c:pt>
                <c:pt idx="4780">
                  <c:v>15147177.694831427</c:v>
                </c:pt>
                <c:pt idx="4781">
                  <c:v>15150346.56045796</c:v>
                </c:pt>
                <c:pt idx="4782">
                  <c:v>15153515.426084494</c:v>
                </c:pt>
                <c:pt idx="4783">
                  <c:v>15156684.291711029</c:v>
                </c:pt>
                <c:pt idx="4784">
                  <c:v>15159853.157337561</c:v>
                </c:pt>
                <c:pt idx="4785">
                  <c:v>15163022.022964096</c:v>
                </c:pt>
                <c:pt idx="4786">
                  <c:v>15166190.88859063</c:v>
                </c:pt>
                <c:pt idx="4787">
                  <c:v>15169359.754217163</c:v>
                </c:pt>
                <c:pt idx="4788">
                  <c:v>15172528.619843697</c:v>
                </c:pt>
                <c:pt idx="4789">
                  <c:v>15175697.485470232</c:v>
                </c:pt>
                <c:pt idx="4790">
                  <c:v>15178866.351096764</c:v>
                </c:pt>
                <c:pt idx="4791">
                  <c:v>15182035.216723299</c:v>
                </c:pt>
                <c:pt idx="4792">
                  <c:v>15185204.082349831</c:v>
                </c:pt>
                <c:pt idx="4793">
                  <c:v>15188372.947976366</c:v>
                </c:pt>
                <c:pt idx="4794">
                  <c:v>15191541.8136029</c:v>
                </c:pt>
                <c:pt idx="4795">
                  <c:v>15194710.679229433</c:v>
                </c:pt>
                <c:pt idx="4796">
                  <c:v>15197879.544855967</c:v>
                </c:pt>
                <c:pt idx="4797">
                  <c:v>15201048.410482502</c:v>
                </c:pt>
                <c:pt idx="4798">
                  <c:v>15204217.276109034</c:v>
                </c:pt>
                <c:pt idx="4799">
                  <c:v>15207386.141735569</c:v>
                </c:pt>
                <c:pt idx="4800">
                  <c:v>15210555.007362103</c:v>
                </c:pt>
                <c:pt idx="4801">
                  <c:v>15213723.872988636</c:v>
                </c:pt>
                <c:pt idx="4802">
                  <c:v>15216892.73861517</c:v>
                </c:pt>
                <c:pt idx="4803">
                  <c:v>15220061.604241705</c:v>
                </c:pt>
                <c:pt idx="4804">
                  <c:v>15223230.469868237</c:v>
                </c:pt>
                <c:pt idx="4805">
                  <c:v>15226399.335494772</c:v>
                </c:pt>
                <c:pt idx="4806">
                  <c:v>15229568.201121304</c:v>
                </c:pt>
                <c:pt idx="4807">
                  <c:v>15232737.066747839</c:v>
                </c:pt>
                <c:pt idx="4808">
                  <c:v>15235905.932374373</c:v>
                </c:pt>
                <c:pt idx="4809">
                  <c:v>15239074.798000906</c:v>
                </c:pt>
                <c:pt idx="4810">
                  <c:v>15242243.66362744</c:v>
                </c:pt>
                <c:pt idx="4811">
                  <c:v>15245412.529253975</c:v>
                </c:pt>
                <c:pt idx="4812">
                  <c:v>15248581.394880507</c:v>
                </c:pt>
                <c:pt idx="4813">
                  <c:v>15251750.260507042</c:v>
                </c:pt>
                <c:pt idx="4814">
                  <c:v>15254919.126133576</c:v>
                </c:pt>
                <c:pt idx="4815">
                  <c:v>15258087.991760109</c:v>
                </c:pt>
                <c:pt idx="4816">
                  <c:v>15261256.857386643</c:v>
                </c:pt>
                <c:pt idx="4817">
                  <c:v>15264425.723013176</c:v>
                </c:pt>
                <c:pt idx="4818">
                  <c:v>15267594.58863971</c:v>
                </c:pt>
                <c:pt idx="4819">
                  <c:v>15270763.454266245</c:v>
                </c:pt>
                <c:pt idx="4820">
                  <c:v>15273932.319892777</c:v>
                </c:pt>
                <c:pt idx="4821">
                  <c:v>15277101.185519312</c:v>
                </c:pt>
                <c:pt idx="4822">
                  <c:v>15280270.051145846</c:v>
                </c:pt>
                <c:pt idx="4823">
                  <c:v>15283438.916772379</c:v>
                </c:pt>
                <c:pt idx="4824">
                  <c:v>15286607.782398913</c:v>
                </c:pt>
                <c:pt idx="4825">
                  <c:v>15289776.648025448</c:v>
                </c:pt>
                <c:pt idx="4826">
                  <c:v>15292945.51365198</c:v>
                </c:pt>
                <c:pt idx="4827">
                  <c:v>15296114.379278515</c:v>
                </c:pt>
                <c:pt idx="4828">
                  <c:v>15299283.244905047</c:v>
                </c:pt>
                <c:pt idx="4829">
                  <c:v>15302452.110531582</c:v>
                </c:pt>
                <c:pt idx="4830">
                  <c:v>15305620.976158116</c:v>
                </c:pt>
                <c:pt idx="4831">
                  <c:v>15308789.841784649</c:v>
                </c:pt>
                <c:pt idx="4832">
                  <c:v>15311958.707411183</c:v>
                </c:pt>
                <c:pt idx="4833">
                  <c:v>15315127.573037717</c:v>
                </c:pt>
                <c:pt idx="4834">
                  <c:v>15318296.43866425</c:v>
                </c:pt>
                <c:pt idx="4835">
                  <c:v>15321465.304290785</c:v>
                </c:pt>
                <c:pt idx="4836">
                  <c:v>15324634.169917319</c:v>
                </c:pt>
                <c:pt idx="4837">
                  <c:v>15327803.035543852</c:v>
                </c:pt>
                <c:pt idx="4838">
                  <c:v>15330971.901170386</c:v>
                </c:pt>
                <c:pt idx="4839">
                  <c:v>15334140.766796919</c:v>
                </c:pt>
                <c:pt idx="4840">
                  <c:v>15337309.632423453</c:v>
                </c:pt>
                <c:pt idx="4841">
                  <c:v>15340478.498049987</c:v>
                </c:pt>
                <c:pt idx="4842">
                  <c:v>15343647.36367652</c:v>
                </c:pt>
                <c:pt idx="4843">
                  <c:v>15346816.229303055</c:v>
                </c:pt>
                <c:pt idx="4844">
                  <c:v>15349985.094929589</c:v>
                </c:pt>
                <c:pt idx="4845">
                  <c:v>15353153.960556122</c:v>
                </c:pt>
                <c:pt idx="4846">
                  <c:v>15356322.826182656</c:v>
                </c:pt>
                <c:pt idx="4847">
                  <c:v>15359491.69180919</c:v>
                </c:pt>
                <c:pt idx="4848">
                  <c:v>15362660.557435723</c:v>
                </c:pt>
                <c:pt idx="4849">
                  <c:v>15365829.423062257</c:v>
                </c:pt>
                <c:pt idx="4850">
                  <c:v>15368998.28868879</c:v>
                </c:pt>
                <c:pt idx="4851">
                  <c:v>15372167.154315325</c:v>
                </c:pt>
                <c:pt idx="4852">
                  <c:v>15375336.019941859</c:v>
                </c:pt>
                <c:pt idx="4853">
                  <c:v>15378504.885568392</c:v>
                </c:pt>
                <c:pt idx="4854">
                  <c:v>15381673.751194926</c:v>
                </c:pt>
                <c:pt idx="4855">
                  <c:v>15384842.61682146</c:v>
                </c:pt>
                <c:pt idx="4856">
                  <c:v>15388011.482447993</c:v>
                </c:pt>
                <c:pt idx="4857">
                  <c:v>15391180.348074527</c:v>
                </c:pt>
                <c:pt idx="4858">
                  <c:v>15394349.213701062</c:v>
                </c:pt>
                <c:pt idx="4859">
                  <c:v>15397518.079327594</c:v>
                </c:pt>
                <c:pt idx="4860">
                  <c:v>15400686.944954129</c:v>
                </c:pt>
                <c:pt idx="4861">
                  <c:v>15403855.810580662</c:v>
                </c:pt>
                <c:pt idx="4862">
                  <c:v>15407024.676207196</c:v>
                </c:pt>
                <c:pt idx="4863">
                  <c:v>15410193.54183373</c:v>
                </c:pt>
                <c:pt idx="4864">
                  <c:v>15413362.407460263</c:v>
                </c:pt>
                <c:pt idx="4865">
                  <c:v>15416531.273086797</c:v>
                </c:pt>
                <c:pt idx="4866">
                  <c:v>15419700.138713332</c:v>
                </c:pt>
                <c:pt idx="4867">
                  <c:v>15422869.004339864</c:v>
                </c:pt>
                <c:pt idx="4868">
                  <c:v>15426037.869966399</c:v>
                </c:pt>
                <c:pt idx="4869">
                  <c:v>15429206.735592933</c:v>
                </c:pt>
                <c:pt idx="4870">
                  <c:v>15432375.601219466</c:v>
                </c:pt>
                <c:pt idx="4871">
                  <c:v>15435544.466846</c:v>
                </c:pt>
                <c:pt idx="4872">
                  <c:v>15438713.332472533</c:v>
                </c:pt>
                <c:pt idx="4873">
                  <c:v>15441882.198099067</c:v>
                </c:pt>
                <c:pt idx="4874">
                  <c:v>15445051.063725602</c:v>
                </c:pt>
                <c:pt idx="4875">
                  <c:v>15448219.929352134</c:v>
                </c:pt>
                <c:pt idx="4876">
                  <c:v>15451388.794978669</c:v>
                </c:pt>
                <c:pt idx="4877">
                  <c:v>15454557.660605203</c:v>
                </c:pt>
                <c:pt idx="4878">
                  <c:v>15457726.526231736</c:v>
                </c:pt>
                <c:pt idx="4879">
                  <c:v>15460895.39185827</c:v>
                </c:pt>
                <c:pt idx="4880">
                  <c:v>15464064.257484805</c:v>
                </c:pt>
                <c:pt idx="4881">
                  <c:v>15467233.123111337</c:v>
                </c:pt>
                <c:pt idx="4882">
                  <c:v>15470401.988737872</c:v>
                </c:pt>
                <c:pt idx="4883">
                  <c:v>15473570.854364404</c:v>
                </c:pt>
                <c:pt idx="4884">
                  <c:v>15476739.719990939</c:v>
                </c:pt>
                <c:pt idx="4885">
                  <c:v>15479908.585617473</c:v>
                </c:pt>
                <c:pt idx="4886">
                  <c:v>15483077.451244006</c:v>
                </c:pt>
                <c:pt idx="4887">
                  <c:v>15486246.31687054</c:v>
                </c:pt>
                <c:pt idx="4888">
                  <c:v>15489415.182497075</c:v>
                </c:pt>
                <c:pt idx="4889">
                  <c:v>15492584.048123607</c:v>
                </c:pt>
                <c:pt idx="4890">
                  <c:v>15495752.913750142</c:v>
                </c:pt>
                <c:pt idx="4891">
                  <c:v>15498921.779376676</c:v>
                </c:pt>
                <c:pt idx="4892">
                  <c:v>15502090.645003209</c:v>
                </c:pt>
                <c:pt idx="4893">
                  <c:v>15505259.510629743</c:v>
                </c:pt>
                <c:pt idx="4894">
                  <c:v>15508428.376256276</c:v>
                </c:pt>
                <c:pt idx="4895">
                  <c:v>15511597.24188281</c:v>
                </c:pt>
                <c:pt idx="4896">
                  <c:v>15514766.107509345</c:v>
                </c:pt>
                <c:pt idx="4897">
                  <c:v>15517934.973135877</c:v>
                </c:pt>
                <c:pt idx="4898">
                  <c:v>15521103.838762412</c:v>
                </c:pt>
                <c:pt idx="4899">
                  <c:v>15524272.704388946</c:v>
                </c:pt>
                <c:pt idx="4900">
                  <c:v>15527441.570015479</c:v>
                </c:pt>
                <c:pt idx="4901">
                  <c:v>15530610.435642013</c:v>
                </c:pt>
                <c:pt idx="4902">
                  <c:v>15533779.301268548</c:v>
                </c:pt>
                <c:pt idx="4903">
                  <c:v>15536948.16689508</c:v>
                </c:pt>
                <c:pt idx="4904">
                  <c:v>15540117.032521615</c:v>
                </c:pt>
                <c:pt idx="4905">
                  <c:v>15543285.898148149</c:v>
                </c:pt>
                <c:pt idx="4906">
                  <c:v>15546454.763774682</c:v>
                </c:pt>
                <c:pt idx="4907">
                  <c:v>15549623.629401216</c:v>
                </c:pt>
                <c:pt idx="4908">
                  <c:v>15552792.495027749</c:v>
                </c:pt>
                <c:pt idx="4909">
                  <c:v>15555961.360654283</c:v>
                </c:pt>
                <c:pt idx="4910">
                  <c:v>15559130.226280818</c:v>
                </c:pt>
                <c:pt idx="4911">
                  <c:v>15562299.09190735</c:v>
                </c:pt>
                <c:pt idx="4912">
                  <c:v>15565467.957533885</c:v>
                </c:pt>
                <c:pt idx="4913">
                  <c:v>15568636.823160419</c:v>
                </c:pt>
                <c:pt idx="4914">
                  <c:v>15571805.688786952</c:v>
                </c:pt>
                <c:pt idx="4915">
                  <c:v>15574974.554413486</c:v>
                </c:pt>
                <c:pt idx="4916">
                  <c:v>15578143.420040021</c:v>
                </c:pt>
                <c:pt idx="4917">
                  <c:v>15581312.285666553</c:v>
                </c:pt>
                <c:pt idx="4918">
                  <c:v>15584481.151293088</c:v>
                </c:pt>
                <c:pt idx="4919">
                  <c:v>15587650.01691962</c:v>
                </c:pt>
                <c:pt idx="4920">
                  <c:v>15590818.882546155</c:v>
                </c:pt>
                <c:pt idx="4921">
                  <c:v>15593987.748172689</c:v>
                </c:pt>
                <c:pt idx="4922">
                  <c:v>15597156.613799222</c:v>
                </c:pt>
                <c:pt idx="4923">
                  <c:v>15600325.479425756</c:v>
                </c:pt>
                <c:pt idx="4924">
                  <c:v>15603494.345052291</c:v>
                </c:pt>
                <c:pt idx="4925">
                  <c:v>15606663.210678823</c:v>
                </c:pt>
                <c:pt idx="4926">
                  <c:v>15609832.076305358</c:v>
                </c:pt>
                <c:pt idx="4927">
                  <c:v>15613000.941931892</c:v>
                </c:pt>
                <c:pt idx="4928">
                  <c:v>15616169.807558425</c:v>
                </c:pt>
                <c:pt idx="4929">
                  <c:v>15619338.673184959</c:v>
                </c:pt>
                <c:pt idx="4930">
                  <c:v>15622507.538811492</c:v>
                </c:pt>
                <c:pt idx="4931">
                  <c:v>15625676.404438026</c:v>
                </c:pt>
                <c:pt idx="4932">
                  <c:v>15628845.270064561</c:v>
                </c:pt>
                <c:pt idx="4933">
                  <c:v>15632014.135691093</c:v>
                </c:pt>
                <c:pt idx="4934">
                  <c:v>15635183.001317628</c:v>
                </c:pt>
                <c:pt idx="4935">
                  <c:v>15638351.866944162</c:v>
                </c:pt>
                <c:pt idx="4936">
                  <c:v>15641520.732570695</c:v>
                </c:pt>
                <c:pt idx="4937">
                  <c:v>15644689.598197229</c:v>
                </c:pt>
                <c:pt idx="4938">
                  <c:v>15647858.463823764</c:v>
                </c:pt>
                <c:pt idx="4939">
                  <c:v>15651027.329450296</c:v>
                </c:pt>
                <c:pt idx="4940">
                  <c:v>15654196.195076831</c:v>
                </c:pt>
                <c:pt idx="4941">
                  <c:v>15657365.060703363</c:v>
                </c:pt>
                <c:pt idx="4942">
                  <c:v>15660533.926329898</c:v>
                </c:pt>
                <c:pt idx="4943">
                  <c:v>15663702.791956432</c:v>
                </c:pt>
                <c:pt idx="4944">
                  <c:v>15666871.657582965</c:v>
                </c:pt>
                <c:pt idx="4945">
                  <c:v>15670040.523209499</c:v>
                </c:pt>
                <c:pt idx="4946">
                  <c:v>15673209.388836034</c:v>
                </c:pt>
                <c:pt idx="4947">
                  <c:v>15676378.254462566</c:v>
                </c:pt>
                <c:pt idx="4948">
                  <c:v>15679547.120089101</c:v>
                </c:pt>
                <c:pt idx="4949">
                  <c:v>15682715.985715635</c:v>
                </c:pt>
                <c:pt idx="4950">
                  <c:v>15685884.851342168</c:v>
                </c:pt>
                <c:pt idx="4951">
                  <c:v>15689053.716968702</c:v>
                </c:pt>
                <c:pt idx="4952">
                  <c:v>15692222.582595235</c:v>
                </c:pt>
                <c:pt idx="4953">
                  <c:v>15695391.448221769</c:v>
                </c:pt>
                <c:pt idx="4954">
                  <c:v>15698560.313848304</c:v>
                </c:pt>
                <c:pt idx="4955">
                  <c:v>15701729.179474836</c:v>
                </c:pt>
                <c:pt idx="4956">
                  <c:v>15704898.045101371</c:v>
                </c:pt>
                <c:pt idx="4957">
                  <c:v>15708066.910727905</c:v>
                </c:pt>
                <c:pt idx="4958">
                  <c:v>15711235.776354438</c:v>
                </c:pt>
                <c:pt idx="4959">
                  <c:v>15714404.641980972</c:v>
                </c:pt>
                <c:pt idx="4960">
                  <c:v>15717573.507607507</c:v>
                </c:pt>
                <c:pt idx="4961">
                  <c:v>15720742.373234039</c:v>
                </c:pt>
                <c:pt idx="4962">
                  <c:v>15723911.238860574</c:v>
                </c:pt>
                <c:pt idx="4963">
                  <c:v>15727080.104487106</c:v>
                </c:pt>
                <c:pt idx="4964">
                  <c:v>15730248.970113641</c:v>
                </c:pt>
                <c:pt idx="4965">
                  <c:v>15733417.835740175</c:v>
                </c:pt>
                <c:pt idx="4966">
                  <c:v>15736586.701366708</c:v>
                </c:pt>
                <c:pt idx="4967">
                  <c:v>15739755.566993242</c:v>
                </c:pt>
                <c:pt idx="4968">
                  <c:v>15742924.432619777</c:v>
                </c:pt>
                <c:pt idx="4969">
                  <c:v>15746093.298246309</c:v>
                </c:pt>
                <c:pt idx="4970">
                  <c:v>15749262.163872844</c:v>
                </c:pt>
                <c:pt idx="4971">
                  <c:v>15752431.029499378</c:v>
                </c:pt>
                <c:pt idx="4972">
                  <c:v>15755599.895125911</c:v>
                </c:pt>
                <c:pt idx="4973">
                  <c:v>15758768.760752445</c:v>
                </c:pt>
                <c:pt idx="4974">
                  <c:v>15761937.626378978</c:v>
                </c:pt>
                <c:pt idx="4975">
                  <c:v>15765106.492005512</c:v>
                </c:pt>
                <c:pt idx="4976">
                  <c:v>15768275.357632047</c:v>
                </c:pt>
                <c:pt idx="4977">
                  <c:v>15771444.223258579</c:v>
                </c:pt>
                <c:pt idx="4978">
                  <c:v>15774613.088885114</c:v>
                </c:pt>
                <c:pt idx="4979">
                  <c:v>15777781.954511648</c:v>
                </c:pt>
                <c:pt idx="4980">
                  <c:v>15780950.820138181</c:v>
                </c:pt>
                <c:pt idx="4981">
                  <c:v>15784119.685764715</c:v>
                </c:pt>
                <c:pt idx="4982">
                  <c:v>15787288.55139125</c:v>
                </c:pt>
                <c:pt idx="4983">
                  <c:v>15790457.417017782</c:v>
                </c:pt>
                <c:pt idx="4984">
                  <c:v>15793626.282644317</c:v>
                </c:pt>
                <c:pt idx="4985">
                  <c:v>15796795.148270849</c:v>
                </c:pt>
                <c:pt idx="4986">
                  <c:v>15799964.013897384</c:v>
                </c:pt>
                <c:pt idx="4987">
                  <c:v>15803132.879523918</c:v>
                </c:pt>
                <c:pt idx="4988">
                  <c:v>15806301.745150451</c:v>
                </c:pt>
                <c:pt idx="4989">
                  <c:v>15809470.610776985</c:v>
                </c:pt>
                <c:pt idx="4990">
                  <c:v>15812639.47640352</c:v>
                </c:pt>
                <c:pt idx="4991">
                  <c:v>15815808.342030052</c:v>
                </c:pt>
                <c:pt idx="4992">
                  <c:v>15818977.207656587</c:v>
                </c:pt>
                <c:pt idx="4993">
                  <c:v>15822146.073283121</c:v>
                </c:pt>
                <c:pt idx="4994">
                  <c:v>15825314.938909654</c:v>
                </c:pt>
                <c:pt idx="4995">
                  <c:v>15828483.804536188</c:v>
                </c:pt>
                <c:pt idx="4996">
                  <c:v>15831652.670162721</c:v>
                </c:pt>
                <c:pt idx="4997">
                  <c:v>15834821.535789255</c:v>
                </c:pt>
                <c:pt idx="4998">
                  <c:v>15837990.401415789</c:v>
                </c:pt>
                <c:pt idx="4999">
                  <c:v>15841159.267042322</c:v>
                </c:pt>
                <c:pt idx="5000">
                  <c:v>15844328.132668857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9-470D-A6FB-D9340F44E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V13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rsión Inicial"/>
      <sheetName val="Proyección de Ventas e Incremen"/>
      <sheetName val="Costos de Operación Gravables"/>
      <sheetName val="Amortización y Depreciación"/>
      <sheetName val="Balance General"/>
      <sheetName val="Estado de Resultados"/>
      <sheetName val="Flujo de Caja"/>
      <sheetName val="Flujo de Efectivo"/>
      <sheetName val="Costos Fijos y Punto de Equil."/>
      <sheetName val="Grafica Punto de Equilibrio"/>
      <sheetName val="Indicadores Financieros"/>
    </sheetNames>
    <sheetDataSet>
      <sheetData sheetId="0"/>
      <sheetData sheetId="1">
        <row r="18">
          <cell r="J18">
            <v>408.24</v>
          </cell>
          <cell r="K18">
            <v>491.37108986615669</v>
          </cell>
          <cell r="L18">
            <v>608.65697079667348</v>
          </cell>
          <cell r="M18">
            <v>777.69574378552784</v>
          </cell>
          <cell r="N18">
            <v>1032.4192772573097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showGridLines="0" zoomScale="145" zoomScaleNormal="145" workbookViewId="0">
      <selection activeCell="F22" sqref="F22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48" t="s">
        <v>0</v>
      </c>
      <c r="B1" s="149"/>
    </row>
    <row r="2" spans="1:4" x14ac:dyDescent="0.25">
      <c r="A2" s="1" t="s">
        <v>1</v>
      </c>
      <c r="B2" s="1" t="s">
        <v>2</v>
      </c>
    </row>
    <row r="3" spans="1:4" x14ac:dyDescent="0.25">
      <c r="A3" s="106" t="s">
        <v>178</v>
      </c>
      <c r="B3" s="3">
        <f>B23</f>
        <v>5000000</v>
      </c>
    </row>
    <row r="4" spans="1:4" x14ac:dyDescent="0.25">
      <c r="A4" s="106" t="s">
        <v>177</v>
      </c>
      <c r="B4" s="3">
        <f>B31</f>
        <v>3740000</v>
      </c>
    </row>
    <row r="5" spans="1:4" x14ac:dyDescent="0.25">
      <c r="A5" s="106" t="s">
        <v>3</v>
      </c>
      <c r="B5" s="3">
        <f>D16</f>
        <v>8200000</v>
      </c>
    </row>
    <row r="6" spans="1:4" x14ac:dyDescent="0.25">
      <c r="A6" s="106" t="s">
        <v>244</v>
      </c>
      <c r="B6" s="3">
        <f>B37</f>
        <v>7000000</v>
      </c>
    </row>
    <row r="7" spans="1:4" x14ac:dyDescent="0.25">
      <c r="A7" s="106" t="s">
        <v>4</v>
      </c>
      <c r="B7" s="3">
        <f>B44</f>
        <v>6000000</v>
      </c>
    </row>
    <row r="8" spans="1:4" x14ac:dyDescent="0.25">
      <c r="A8" s="106" t="s">
        <v>5</v>
      </c>
      <c r="B8" s="3">
        <f>B52</f>
        <v>3700000</v>
      </c>
    </row>
    <row r="9" spans="1:4" x14ac:dyDescent="0.25">
      <c r="A9" s="4" t="s">
        <v>36</v>
      </c>
      <c r="B9" s="5">
        <f>SUM(B3:B8)</f>
        <v>33640000</v>
      </c>
    </row>
    <row r="10" spans="1:4" ht="15.75" thickBot="1" x14ac:dyDescent="0.3"/>
    <row r="11" spans="1:4" ht="15.75" thickBot="1" x14ac:dyDescent="0.3">
      <c r="A11" s="150" t="s">
        <v>174</v>
      </c>
      <c r="B11" s="157"/>
      <c r="C11" s="157"/>
      <c r="D11" s="151"/>
    </row>
    <row r="12" spans="1:4" x14ac:dyDescent="0.25">
      <c r="A12" s="101" t="s">
        <v>7</v>
      </c>
      <c r="B12" s="101" t="s">
        <v>8</v>
      </c>
      <c r="C12" s="101" t="s">
        <v>9</v>
      </c>
      <c r="D12" s="101" t="s">
        <v>10</v>
      </c>
    </row>
    <row r="13" spans="1:4" x14ac:dyDescent="0.25">
      <c r="A13" s="6" t="s">
        <v>179</v>
      </c>
      <c r="B13" s="6">
        <v>2</v>
      </c>
      <c r="C13" s="7">
        <v>3000000</v>
      </c>
      <c r="D13" s="7">
        <f>C13*B13</f>
        <v>6000000</v>
      </c>
    </row>
    <row r="14" spans="1:4" x14ac:dyDescent="0.25">
      <c r="A14" s="6" t="s">
        <v>11</v>
      </c>
      <c r="B14" s="6">
        <v>2</v>
      </c>
      <c r="C14" s="7">
        <v>800000</v>
      </c>
      <c r="D14" s="7">
        <f t="shared" ref="D14:D15" si="0">C14*B14</f>
        <v>1600000</v>
      </c>
    </row>
    <row r="15" spans="1:4" x14ac:dyDescent="0.25">
      <c r="A15" s="6" t="s">
        <v>180</v>
      </c>
      <c r="B15" s="6">
        <v>2</v>
      </c>
      <c r="C15" s="7">
        <v>300000</v>
      </c>
      <c r="D15" s="7">
        <f t="shared" si="0"/>
        <v>600000</v>
      </c>
    </row>
    <row r="16" spans="1:4" x14ac:dyDescent="0.25">
      <c r="A16" s="154" t="s">
        <v>6</v>
      </c>
      <c r="B16" s="155"/>
      <c r="C16" s="156"/>
      <c r="D16" s="5">
        <f>SUM(D13:D15)</f>
        <v>8200000</v>
      </c>
    </row>
    <row r="17" spans="1:2" ht="15.75" thickBot="1" x14ac:dyDescent="0.3"/>
    <row r="18" spans="1:2" ht="15.75" thickBot="1" x14ac:dyDescent="0.3">
      <c r="A18" s="150" t="s">
        <v>175</v>
      </c>
      <c r="B18" s="151"/>
    </row>
    <row r="19" spans="1:2" x14ac:dyDescent="0.25">
      <c r="A19" s="101" t="s">
        <v>7</v>
      </c>
      <c r="B19" s="101" t="s">
        <v>2</v>
      </c>
    </row>
    <row r="20" spans="1:2" x14ac:dyDescent="0.25">
      <c r="A20" s="8" t="s">
        <v>181</v>
      </c>
      <c r="B20" s="7">
        <v>1500000</v>
      </c>
    </row>
    <row r="21" spans="1:2" x14ac:dyDescent="0.25">
      <c r="A21" s="8" t="s">
        <v>182</v>
      </c>
      <c r="B21" s="7">
        <v>2000000</v>
      </c>
    </row>
    <row r="22" spans="1:2" x14ac:dyDescent="0.25">
      <c r="A22" s="8" t="s">
        <v>13</v>
      </c>
      <c r="B22" s="7">
        <v>1500000</v>
      </c>
    </row>
    <row r="23" spans="1:2" x14ac:dyDescent="0.25">
      <c r="A23" s="9" t="s">
        <v>6</v>
      </c>
      <c r="B23" s="10">
        <f>SUM(B20:B22)</f>
        <v>5000000</v>
      </c>
    </row>
    <row r="24" spans="1:2" ht="15.75" thickBot="1" x14ac:dyDescent="0.3"/>
    <row r="25" spans="1:2" ht="15.75" thickBot="1" x14ac:dyDescent="0.3">
      <c r="A25" s="150" t="s">
        <v>176</v>
      </c>
      <c r="B25" s="151"/>
    </row>
    <row r="26" spans="1:2" x14ac:dyDescent="0.25">
      <c r="A26" s="101" t="s">
        <v>7</v>
      </c>
      <c r="B26" s="101" t="s">
        <v>2</v>
      </c>
    </row>
    <row r="27" spans="1:2" x14ac:dyDescent="0.25">
      <c r="A27" s="8" t="s">
        <v>185</v>
      </c>
      <c r="B27" s="7">
        <v>920000</v>
      </c>
    </row>
    <row r="28" spans="1:2" x14ac:dyDescent="0.25">
      <c r="A28" s="8" t="s">
        <v>186</v>
      </c>
      <c r="B28" s="7">
        <v>1300000</v>
      </c>
    </row>
    <row r="29" spans="1:2" x14ac:dyDescent="0.25">
      <c r="A29" s="8" t="s">
        <v>187</v>
      </c>
      <c r="B29" s="7">
        <v>600000</v>
      </c>
    </row>
    <row r="30" spans="1:2" x14ac:dyDescent="0.25">
      <c r="A30" s="8" t="s">
        <v>188</v>
      </c>
      <c r="B30" s="7">
        <v>920000</v>
      </c>
    </row>
    <row r="31" spans="1:2" x14ac:dyDescent="0.25">
      <c r="A31" s="9" t="s">
        <v>6</v>
      </c>
      <c r="B31" s="10">
        <f>SUM(B27:B30)</f>
        <v>3740000</v>
      </c>
    </row>
    <row r="32" spans="1:2" ht="15.75" thickBot="1" x14ac:dyDescent="0.3"/>
    <row r="33" spans="1:2" ht="15.75" thickBot="1" x14ac:dyDescent="0.3">
      <c r="A33" s="150" t="s">
        <v>243</v>
      </c>
      <c r="B33" s="151"/>
    </row>
    <row r="34" spans="1:2" x14ac:dyDescent="0.25">
      <c r="A34" s="101" t="s">
        <v>7</v>
      </c>
      <c r="B34" s="101" t="s">
        <v>2</v>
      </c>
    </row>
    <row r="35" spans="1:2" x14ac:dyDescent="0.25">
      <c r="A35" s="8" t="s">
        <v>184</v>
      </c>
      <c r="B35" s="7">
        <v>3500000</v>
      </c>
    </row>
    <row r="36" spans="1:2" x14ac:dyDescent="0.25">
      <c r="A36" s="8" t="s">
        <v>183</v>
      </c>
      <c r="B36" s="7">
        <v>3500000</v>
      </c>
    </row>
    <row r="37" spans="1:2" x14ac:dyDescent="0.25">
      <c r="A37" s="9" t="s">
        <v>6</v>
      </c>
      <c r="B37" s="10">
        <f>SUM(B35:B36)</f>
        <v>7000000</v>
      </c>
    </row>
    <row r="38" spans="1:2" ht="15.75" thickBot="1" x14ac:dyDescent="0.3"/>
    <row r="39" spans="1:2" ht="15.75" thickBot="1" x14ac:dyDescent="0.3">
      <c r="A39" s="150" t="s">
        <v>14</v>
      </c>
      <c r="B39" s="151"/>
    </row>
    <row r="40" spans="1:2" x14ac:dyDescent="0.25">
      <c r="A40" s="101" t="s">
        <v>7</v>
      </c>
      <c r="B40" s="101" t="s">
        <v>2</v>
      </c>
    </row>
    <row r="41" spans="1:2" x14ac:dyDescent="0.25">
      <c r="A41" s="8" t="s">
        <v>189</v>
      </c>
      <c r="B41" s="7">
        <v>2000000</v>
      </c>
    </row>
    <row r="42" spans="1:2" x14ac:dyDescent="0.25">
      <c r="A42" s="8" t="s">
        <v>190</v>
      </c>
      <c r="B42" s="7">
        <v>2000000</v>
      </c>
    </row>
    <row r="43" spans="1:2" x14ac:dyDescent="0.25">
      <c r="A43" s="8" t="s">
        <v>191</v>
      </c>
      <c r="B43" s="7">
        <v>2000000</v>
      </c>
    </row>
    <row r="44" spans="1:2" x14ac:dyDescent="0.25">
      <c r="A44" s="9" t="s">
        <v>6</v>
      </c>
      <c r="B44" s="10">
        <f>SUM(B41:B43)</f>
        <v>6000000</v>
      </c>
    </row>
    <row r="45" spans="1:2" ht="15.75" thickBot="1" x14ac:dyDescent="0.3"/>
    <row r="46" spans="1:2" ht="15.75" thickBot="1" x14ac:dyDescent="0.3">
      <c r="A46" s="150" t="s">
        <v>15</v>
      </c>
      <c r="B46" s="151"/>
    </row>
    <row r="47" spans="1:2" x14ac:dyDescent="0.25">
      <c r="A47" s="101" t="s">
        <v>7</v>
      </c>
      <c r="B47" s="101" t="s">
        <v>2</v>
      </c>
    </row>
    <row r="48" spans="1:2" x14ac:dyDescent="0.25">
      <c r="A48" s="8" t="s">
        <v>192</v>
      </c>
      <c r="B48" s="7">
        <v>1500000</v>
      </c>
    </row>
    <row r="49" spans="1:4" x14ac:dyDescent="0.25">
      <c r="A49" s="8" t="s">
        <v>193</v>
      </c>
      <c r="B49" s="7">
        <v>1000000</v>
      </c>
    </row>
    <row r="50" spans="1:4" x14ac:dyDescent="0.25">
      <c r="A50" s="8" t="s">
        <v>194</v>
      </c>
      <c r="B50" s="7">
        <v>200000</v>
      </c>
    </row>
    <row r="51" spans="1:4" x14ac:dyDescent="0.25">
      <c r="A51" s="8" t="s">
        <v>16</v>
      </c>
      <c r="B51" s="7">
        <v>1000000</v>
      </c>
    </row>
    <row r="52" spans="1:4" x14ac:dyDescent="0.25">
      <c r="A52" s="9" t="s">
        <v>6</v>
      </c>
      <c r="B52" s="10">
        <f>SUM(B48:B51)</f>
        <v>3700000</v>
      </c>
    </row>
    <row r="55" spans="1:4" x14ac:dyDescent="0.25">
      <c r="A55" s="152"/>
      <c r="B55" s="153"/>
      <c r="C55" s="153"/>
      <c r="D55" s="153"/>
    </row>
  </sheetData>
  <mergeCells count="9">
    <mergeCell ref="A1:B1"/>
    <mergeCell ref="A33:B33"/>
    <mergeCell ref="A25:B25"/>
    <mergeCell ref="A18:B18"/>
    <mergeCell ref="A55:D55"/>
    <mergeCell ref="A16:C16"/>
    <mergeCell ref="A11:D11"/>
    <mergeCell ref="A46:B46"/>
    <mergeCell ref="A39:B39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zoomScale="130" zoomScaleNormal="130" workbookViewId="0">
      <selection activeCell="J7" sqref="J7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63" t="s">
        <v>51</v>
      </c>
      <c r="B1" s="164"/>
      <c r="C1" s="164"/>
      <c r="D1" s="164"/>
      <c r="E1" s="164"/>
      <c r="F1" s="165"/>
      <c r="H1" s="166" t="s">
        <v>52</v>
      </c>
      <c r="I1" s="167"/>
      <c r="J1" s="167"/>
      <c r="K1" s="167"/>
      <c r="L1" s="167"/>
      <c r="M1" s="167"/>
      <c r="N1" s="168"/>
    </row>
    <row r="2" spans="1:14" x14ac:dyDescent="0.25">
      <c r="A2" s="169" t="s">
        <v>53</v>
      </c>
      <c r="B2" s="169"/>
      <c r="C2" s="169"/>
      <c r="D2" s="169"/>
      <c r="E2" s="169"/>
      <c r="F2" s="169"/>
      <c r="H2" s="170" t="s">
        <v>54</v>
      </c>
      <c r="I2" s="171"/>
      <c r="J2" s="171"/>
      <c r="K2" s="171"/>
      <c r="L2" s="171"/>
      <c r="M2" s="171"/>
      <c r="N2" s="172"/>
    </row>
    <row r="3" spans="1:14" x14ac:dyDescent="0.25">
      <c r="A3" s="173" t="s">
        <v>7</v>
      </c>
      <c r="B3" s="173"/>
      <c r="C3" s="1" t="s">
        <v>19</v>
      </c>
      <c r="D3" s="1" t="s">
        <v>55</v>
      </c>
      <c r="E3" s="1" t="s">
        <v>56</v>
      </c>
      <c r="F3" s="1" t="s">
        <v>57</v>
      </c>
      <c r="H3" s="20" t="s">
        <v>58</v>
      </c>
      <c r="I3" s="20" t="s">
        <v>45</v>
      </c>
      <c r="J3" s="20" t="s">
        <v>158</v>
      </c>
      <c r="K3" s="20" t="s">
        <v>159</v>
      </c>
      <c r="L3" s="20" t="s">
        <v>160</v>
      </c>
      <c r="M3" s="20" t="s">
        <v>161</v>
      </c>
      <c r="N3" s="20" t="s">
        <v>162</v>
      </c>
    </row>
    <row r="4" spans="1:14" x14ac:dyDescent="0.25">
      <c r="A4" s="160" t="s">
        <v>59</v>
      </c>
      <c r="B4" s="160"/>
      <c r="C4" s="8" t="s">
        <v>24</v>
      </c>
      <c r="D4" s="3">
        <v>0</v>
      </c>
      <c r="E4" s="12">
        <f>D4*3</f>
        <v>0</v>
      </c>
      <c r="F4" s="12">
        <f>D4*12</f>
        <v>0</v>
      </c>
      <c r="H4" s="27" t="s">
        <v>60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60" t="s">
        <v>61</v>
      </c>
      <c r="B5" s="160"/>
      <c r="C5" s="8" t="s">
        <v>24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62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60" t="s">
        <v>63</v>
      </c>
      <c r="B6" s="160"/>
      <c r="C6" s="8" t="s">
        <v>24</v>
      </c>
      <c r="D6" s="3">
        <v>300</v>
      </c>
      <c r="E6" s="12">
        <f t="shared" si="0"/>
        <v>900</v>
      </c>
      <c r="F6" s="12">
        <f>D6*12</f>
        <v>3600</v>
      </c>
      <c r="H6" s="2" t="s">
        <v>64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61" t="s">
        <v>65</v>
      </c>
      <c r="B7" s="161"/>
      <c r="C7" s="161"/>
      <c r="D7" s="161"/>
      <c r="E7" s="161"/>
      <c r="F7" s="161"/>
      <c r="H7" s="30" t="s">
        <v>66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67</v>
      </c>
      <c r="B8" s="1" t="s">
        <v>55</v>
      </c>
      <c r="C8" s="1" t="s">
        <v>68</v>
      </c>
      <c r="D8" s="1" t="s">
        <v>69</v>
      </c>
      <c r="E8" s="1" t="s">
        <v>70</v>
      </c>
      <c r="F8" s="1" t="s">
        <v>71</v>
      </c>
      <c r="G8" s="33"/>
      <c r="H8" s="162"/>
      <c r="I8" s="162"/>
      <c r="J8" s="162"/>
      <c r="K8" s="162"/>
      <c r="L8" s="162"/>
      <c r="M8" s="162"/>
      <c r="N8" s="162"/>
    </row>
    <row r="9" spans="1:14" ht="15.75" thickBot="1" x14ac:dyDescent="0.3">
      <c r="A9" s="34" t="s">
        <v>59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176" t="s">
        <v>255</v>
      </c>
      <c r="I9" s="177"/>
      <c r="J9" s="177"/>
      <c r="K9" s="177"/>
      <c r="L9" s="177"/>
      <c r="M9" s="177"/>
      <c r="N9" s="178"/>
    </row>
    <row r="10" spans="1:14" x14ac:dyDescent="0.25">
      <c r="A10" s="37" t="s">
        <v>61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179" t="s">
        <v>58</v>
      </c>
      <c r="I10" s="180"/>
      <c r="J10" s="105" t="s">
        <v>158</v>
      </c>
      <c r="K10" s="105" t="s">
        <v>159</v>
      </c>
      <c r="L10" s="105" t="s">
        <v>160</v>
      </c>
      <c r="M10" s="105" t="s">
        <v>161</v>
      </c>
      <c r="N10" s="105" t="s">
        <v>162</v>
      </c>
    </row>
    <row r="11" spans="1:14" x14ac:dyDescent="0.25">
      <c r="A11" s="37" t="s">
        <v>63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81" t="s">
        <v>256</v>
      </c>
      <c r="I11" s="182"/>
      <c r="J11" s="182"/>
      <c r="K11" s="182"/>
      <c r="L11" s="182"/>
      <c r="M11" s="182"/>
      <c r="N11" s="183"/>
    </row>
    <row r="12" spans="1:14" x14ac:dyDescent="0.25">
      <c r="A12" s="184" t="s">
        <v>28</v>
      </c>
      <c r="B12" s="184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185" t="s">
        <v>257</v>
      </c>
      <c r="I12" s="186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185" t="s">
        <v>258</v>
      </c>
      <c r="I13" s="186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M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58" t="s">
        <v>72</v>
      </c>
      <c r="B14" s="159"/>
      <c r="C14" s="38"/>
      <c r="D14" s="42"/>
      <c r="E14" s="42"/>
      <c r="H14" s="181" t="s">
        <v>259</v>
      </c>
      <c r="I14" s="182"/>
      <c r="J14" s="182"/>
      <c r="K14" s="182"/>
      <c r="L14" s="182"/>
      <c r="M14" s="182"/>
      <c r="N14" s="183"/>
    </row>
    <row r="15" spans="1:14" x14ac:dyDescent="0.25">
      <c r="A15" s="11" t="s">
        <v>7</v>
      </c>
      <c r="B15" s="1" t="s">
        <v>2</v>
      </c>
      <c r="C15" s="38"/>
      <c r="D15" s="42"/>
      <c r="E15" s="42"/>
      <c r="H15" s="116" t="s">
        <v>248</v>
      </c>
      <c r="I15" s="13">
        <v>0.9</v>
      </c>
      <c r="J15" s="7">
        <f t="shared" ref="J15:N16" si="7">J$7*$I15</f>
        <v>146966400</v>
      </c>
      <c r="K15" s="7">
        <f t="shared" si="7"/>
        <v>185030697.59999996</v>
      </c>
      <c r="L15" s="7">
        <f t="shared" si="7"/>
        <v>238134507.81119996</v>
      </c>
      <c r="M15" s="7">
        <f t="shared" si="7"/>
        <v>315528222.84983993</v>
      </c>
      <c r="N15" s="7">
        <f t="shared" si="7"/>
        <v>433535778.19568014</v>
      </c>
    </row>
    <row r="16" spans="1:14" x14ac:dyDescent="0.25">
      <c r="A16" s="2" t="s">
        <v>195</v>
      </c>
      <c r="B16" s="3">
        <f>'Costos de Operación Gravables'!$B$50*0.45</f>
        <v>15790950</v>
      </c>
      <c r="C16" s="38"/>
      <c r="D16" s="42"/>
      <c r="E16" s="42"/>
      <c r="H16" s="116" t="s">
        <v>249</v>
      </c>
      <c r="I16" s="13">
        <v>0.1</v>
      </c>
      <c r="J16" s="7">
        <f t="shared" si="7"/>
        <v>16329600</v>
      </c>
      <c r="K16" s="7">
        <f t="shared" si="7"/>
        <v>20558966.399999999</v>
      </c>
      <c r="L16" s="7">
        <f t="shared" si="7"/>
        <v>26459389.756799996</v>
      </c>
      <c r="M16" s="7">
        <f t="shared" si="7"/>
        <v>35058691.427759998</v>
      </c>
      <c r="N16" s="7">
        <f t="shared" si="7"/>
        <v>48170642.02174224</v>
      </c>
    </row>
    <row r="17" spans="1:16" x14ac:dyDescent="0.25">
      <c r="A17" s="2" t="s">
        <v>196</v>
      </c>
      <c r="B17" s="3">
        <f>'Costos de Operación Gravables'!$B$50*0.55</f>
        <v>19300050</v>
      </c>
      <c r="C17" s="38"/>
      <c r="D17" s="42"/>
      <c r="E17" s="42"/>
      <c r="H17" s="181" t="s">
        <v>252</v>
      </c>
      <c r="I17" s="182"/>
      <c r="J17" s="182"/>
      <c r="K17" s="182"/>
      <c r="L17" s="182"/>
      <c r="M17" s="182"/>
      <c r="N17" s="183"/>
    </row>
    <row r="18" spans="1:16" x14ac:dyDescent="0.25">
      <c r="A18" s="9" t="s">
        <v>28</v>
      </c>
      <c r="B18" s="10">
        <f>SUM(B16:B17)</f>
        <v>35091000</v>
      </c>
      <c r="C18" s="38"/>
      <c r="D18" s="42"/>
      <c r="E18" s="42"/>
      <c r="H18" s="185" t="s">
        <v>250</v>
      </c>
      <c r="I18" s="186"/>
      <c r="J18" s="35">
        <f>J15/(12*J12)</f>
        <v>408.24</v>
      </c>
      <c r="K18" s="35">
        <f t="shared" ref="K18:N19" si="8">K15/(12*K12)</f>
        <v>491.37108986615669</v>
      </c>
      <c r="L18" s="35">
        <f t="shared" si="8"/>
        <v>608.65697079667348</v>
      </c>
      <c r="M18" s="35">
        <f t="shared" si="8"/>
        <v>777.69574378552784</v>
      </c>
      <c r="N18" s="35">
        <f t="shared" si="8"/>
        <v>1032.4192772573097</v>
      </c>
    </row>
    <row r="19" spans="1:16" ht="15.75" thickBot="1" x14ac:dyDescent="0.3">
      <c r="B19" s="43"/>
      <c r="C19" s="38"/>
      <c r="D19" s="42"/>
      <c r="E19" s="42"/>
      <c r="H19" s="185" t="s">
        <v>251</v>
      </c>
      <c r="I19" s="186"/>
      <c r="J19" s="35">
        <f>J16/(12*J13)</f>
        <v>4536</v>
      </c>
      <c r="K19" s="35">
        <f t="shared" si="8"/>
        <v>5459.6787762906297</v>
      </c>
      <c r="L19" s="35">
        <f t="shared" si="8"/>
        <v>6762.8552310741497</v>
      </c>
      <c r="M19" s="35">
        <f t="shared" si="8"/>
        <v>8641.0638198392007</v>
      </c>
      <c r="N19" s="35">
        <f t="shared" si="8"/>
        <v>11471.325302858997</v>
      </c>
      <c r="P19" s="24"/>
    </row>
    <row r="20" spans="1:16" ht="15.75" thickBot="1" x14ac:dyDescent="0.3">
      <c r="A20" s="158" t="s">
        <v>197</v>
      </c>
      <c r="B20" s="175"/>
      <c r="C20" s="159"/>
      <c r="D20" s="42"/>
      <c r="E20" s="42"/>
      <c r="H20" s="181" t="s">
        <v>289</v>
      </c>
      <c r="I20" s="182"/>
      <c r="J20" s="182"/>
      <c r="K20" s="182"/>
      <c r="L20" s="182"/>
      <c r="M20" s="182"/>
      <c r="N20" s="183"/>
      <c r="O20" s="104" t="s">
        <v>267</v>
      </c>
      <c r="P20" s="23"/>
    </row>
    <row r="21" spans="1:16" x14ac:dyDescent="0.25">
      <c r="A21" s="11" t="s">
        <v>7</v>
      </c>
      <c r="B21" s="101" t="s">
        <v>198</v>
      </c>
      <c r="C21" s="101" t="s">
        <v>2</v>
      </c>
      <c r="D21" s="42"/>
      <c r="E21" s="42"/>
      <c r="H21" s="185" t="s">
        <v>260</v>
      </c>
      <c r="I21" s="186"/>
      <c r="J21" s="119">
        <f>(SUM(J15:J16)/12)/SUM(J18:J19)</f>
        <v>2752.2935779816517</v>
      </c>
      <c r="K21" s="119">
        <f t="shared" ref="K21:N21" si="9">(SUM(K15:K16)/12)/SUM(K18:K19)</f>
        <v>2878.8990825688074</v>
      </c>
      <c r="L21" s="119">
        <f t="shared" si="9"/>
        <v>2991.1761467889905</v>
      </c>
      <c r="M21" s="119">
        <f t="shared" si="9"/>
        <v>3101.8496642201826</v>
      </c>
      <c r="N21" s="119">
        <f t="shared" si="9"/>
        <v>3210.4144024678885</v>
      </c>
      <c r="O21" s="124">
        <f>AVERAGE(J21:N21)</f>
        <v>2986.9265748055041</v>
      </c>
      <c r="P21" s="122"/>
    </row>
    <row r="22" spans="1:16" x14ac:dyDescent="0.25">
      <c r="A22" s="102" t="s">
        <v>200</v>
      </c>
      <c r="B22" s="79">
        <v>0.5</v>
      </c>
      <c r="C22" s="3">
        <f>$B$17*B22</f>
        <v>9650025</v>
      </c>
      <c r="D22" s="46"/>
      <c r="E22" s="46"/>
      <c r="H22" s="185" t="s">
        <v>263</v>
      </c>
      <c r="I22" s="186"/>
      <c r="J22" s="119">
        <f>J21*12</f>
        <v>33027.522935779823</v>
      </c>
      <c r="K22" s="119">
        <f t="shared" ref="K22:N22" si="10">K21*12</f>
        <v>34546.788990825691</v>
      </c>
      <c r="L22" s="119">
        <f t="shared" si="10"/>
        <v>35894.113761467888</v>
      </c>
      <c r="M22" s="119">
        <f t="shared" si="10"/>
        <v>37222.195970642191</v>
      </c>
      <c r="N22" s="119">
        <f t="shared" si="10"/>
        <v>38524.972829614664</v>
      </c>
      <c r="O22" s="124">
        <f>AVERAGE(J22:N22)</f>
        <v>35843.118897666049</v>
      </c>
      <c r="P22" s="24"/>
    </row>
    <row r="23" spans="1:16" x14ac:dyDescent="0.25">
      <c r="A23" s="102" t="s">
        <v>199</v>
      </c>
      <c r="B23" s="79">
        <v>0.5</v>
      </c>
      <c r="C23" s="3">
        <f>$B$17*B23</f>
        <v>9650025</v>
      </c>
      <c r="D23" s="47"/>
      <c r="E23" s="48"/>
      <c r="H23" s="181" t="s">
        <v>254</v>
      </c>
      <c r="I23" s="182"/>
      <c r="J23" s="182"/>
      <c r="K23" s="182"/>
      <c r="L23" s="182"/>
      <c r="M23" s="182"/>
      <c r="N23" s="183"/>
      <c r="O23" s="18"/>
    </row>
    <row r="24" spans="1:16" x14ac:dyDescent="0.25">
      <c r="A24" s="9" t="s">
        <v>28</v>
      </c>
      <c r="B24" s="107">
        <f>SUM(B22:B23)</f>
        <v>1</v>
      </c>
      <c r="C24" s="10">
        <f>SUM(C22:C23)</f>
        <v>19300050</v>
      </c>
      <c r="D24" s="18"/>
      <c r="E24" s="18"/>
      <c r="H24" s="117" t="s">
        <v>253</v>
      </c>
      <c r="I24" s="118"/>
      <c r="J24" s="120">
        <f>SUM(J18:J19)*12</f>
        <v>59330.879999999997</v>
      </c>
      <c r="K24" s="120">
        <f>SUM(K18:K19)*12</f>
        <v>71412.598393881432</v>
      </c>
      <c r="L24" s="120">
        <f>SUM(L18:L19)*12</f>
        <v>88458.146422449878</v>
      </c>
      <c r="M24" s="120">
        <f>SUM(M18:M19)*12</f>
        <v>113025.11476349673</v>
      </c>
      <c r="N24" s="120">
        <f>SUM(N18:N19)*12</f>
        <v>150044.93496139569</v>
      </c>
      <c r="O24" s="110"/>
    </row>
    <row r="25" spans="1:16" x14ac:dyDescent="0.25">
      <c r="B25" s="49"/>
      <c r="C25" s="38"/>
      <c r="D25" s="42"/>
      <c r="E25" s="42"/>
      <c r="I25" s="109"/>
      <c r="J25" s="110"/>
      <c r="K25" s="110"/>
      <c r="L25" s="110"/>
      <c r="M25" s="110"/>
      <c r="N25" s="110"/>
      <c r="O25" s="110"/>
    </row>
    <row r="26" spans="1:16" x14ac:dyDescent="0.25">
      <c r="B26" s="49"/>
      <c r="C26" s="38"/>
      <c r="D26" s="42"/>
      <c r="E26" s="42"/>
      <c r="I26" s="18"/>
      <c r="J26" s="18"/>
      <c r="K26" s="18"/>
      <c r="L26" s="18"/>
      <c r="M26" s="18"/>
      <c r="N26" s="18"/>
      <c r="O26" s="18"/>
    </row>
    <row r="27" spans="1:16" x14ac:dyDescent="0.25">
      <c r="A27" s="45"/>
      <c r="B27" s="45"/>
      <c r="C27" s="44"/>
      <c r="D27" s="46"/>
      <c r="E27" s="46"/>
      <c r="I27" s="38"/>
      <c r="J27" s="111"/>
      <c r="K27" s="111"/>
      <c r="L27" s="111"/>
      <c r="M27" s="111"/>
      <c r="N27" s="111"/>
      <c r="O27" s="111"/>
    </row>
    <row r="28" spans="1:16" x14ac:dyDescent="0.25">
      <c r="A28" s="47"/>
      <c r="B28" s="47"/>
      <c r="C28" s="47"/>
      <c r="D28" s="47"/>
      <c r="E28" s="48"/>
      <c r="I28" s="109"/>
      <c r="J28" s="109"/>
      <c r="K28" s="109"/>
      <c r="L28" s="109"/>
      <c r="M28" s="109"/>
      <c r="N28" s="109"/>
      <c r="O28" s="109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3"/>
      <c r="M29" s="103"/>
      <c r="N29" s="103"/>
      <c r="O29" s="103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74"/>
      <c r="B31" s="174"/>
      <c r="C31" s="44"/>
      <c r="D31" s="46"/>
      <c r="E31" s="46"/>
    </row>
  </sheetData>
  <mergeCells count="27">
    <mergeCell ref="A31:B31"/>
    <mergeCell ref="A20:C20"/>
    <mergeCell ref="H9:N9"/>
    <mergeCell ref="H10:I10"/>
    <mergeCell ref="H11:N11"/>
    <mergeCell ref="H14:N14"/>
    <mergeCell ref="H17:N17"/>
    <mergeCell ref="A12:B12"/>
    <mergeCell ref="H12:I12"/>
    <mergeCell ref="H13:I13"/>
    <mergeCell ref="H20:N20"/>
    <mergeCell ref="H23:N23"/>
    <mergeCell ref="H21:I21"/>
    <mergeCell ref="H22:I22"/>
    <mergeCell ref="H18:I18"/>
    <mergeCell ref="H19:I19"/>
    <mergeCell ref="H8:N8"/>
    <mergeCell ref="A1:F1"/>
    <mergeCell ref="H1:N1"/>
    <mergeCell ref="A2:F2"/>
    <mergeCell ref="H2:N2"/>
    <mergeCell ref="A3:B3"/>
    <mergeCell ref="A14:B14"/>
    <mergeCell ref="A4:B4"/>
    <mergeCell ref="A5:B5"/>
    <mergeCell ref="A6:B6"/>
    <mergeCell ref="A7:F7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0"/>
  <sheetViews>
    <sheetView showGridLines="0" zoomScale="115" zoomScaleNormal="115" workbookViewId="0">
      <selection activeCell="H27" sqref="H27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93" t="s">
        <v>17</v>
      </c>
      <c r="B1" s="194"/>
      <c r="C1" s="194"/>
      <c r="D1" s="195"/>
      <c r="F1" s="191" t="s">
        <v>17</v>
      </c>
      <c r="G1" s="194"/>
      <c r="H1" s="194"/>
      <c r="I1" s="194"/>
      <c r="J1" s="194"/>
      <c r="K1" s="194"/>
      <c r="L1" s="194"/>
      <c r="M1" s="194"/>
      <c r="N1" s="192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96" t="s">
        <v>18</v>
      </c>
      <c r="B2" s="196"/>
      <c r="C2" s="196"/>
      <c r="D2" s="196"/>
      <c r="F2" s="200" t="s">
        <v>18</v>
      </c>
      <c r="G2" s="201"/>
      <c r="H2" s="201"/>
      <c r="I2" s="201"/>
      <c r="J2" s="201"/>
      <c r="K2" s="201"/>
      <c r="L2" s="201"/>
      <c r="M2" s="201"/>
      <c r="N2" s="201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19</v>
      </c>
      <c r="C3" s="1" t="s">
        <v>20</v>
      </c>
      <c r="D3" s="1" t="s">
        <v>21</v>
      </c>
      <c r="F3" s="4" t="s">
        <v>22</v>
      </c>
      <c r="G3" s="9" t="s">
        <v>44</v>
      </c>
      <c r="H3" s="9" t="s">
        <v>23</v>
      </c>
      <c r="I3" s="4" t="s">
        <v>45</v>
      </c>
      <c r="J3" s="4" t="s">
        <v>46</v>
      </c>
      <c r="K3" s="4" t="s">
        <v>47</v>
      </c>
      <c r="L3" s="4" t="s">
        <v>48</v>
      </c>
      <c r="M3" s="4" t="s">
        <v>49</v>
      </c>
      <c r="N3" s="4" t="s">
        <v>50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26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27</v>
      </c>
      <c r="B5" s="8">
        <v>1</v>
      </c>
      <c r="C5" s="3">
        <v>3000000</v>
      </c>
      <c r="D5" s="12">
        <f>C5*B5</f>
        <v>3000000</v>
      </c>
      <c r="F5" s="202" t="s">
        <v>25</v>
      </c>
      <c r="G5" s="202"/>
      <c r="H5" s="202"/>
      <c r="I5" s="202"/>
      <c r="J5" s="202"/>
      <c r="K5" s="202"/>
      <c r="L5" s="202"/>
      <c r="M5" s="202"/>
      <c r="N5" s="202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84" t="s">
        <v>28</v>
      </c>
      <c r="B6" s="184"/>
      <c r="C6" s="5">
        <f>SUM(C4:C5)</f>
        <v>6000000</v>
      </c>
      <c r="D6" s="14">
        <f>SUM(D4:D5)</f>
        <v>6000000</v>
      </c>
      <c r="F6" s="4" t="s">
        <v>22</v>
      </c>
      <c r="G6" s="9" t="s">
        <v>44</v>
      </c>
      <c r="H6" s="9" t="s">
        <v>23</v>
      </c>
      <c r="I6" s="4" t="s">
        <v>45</v>
      </c>
      <c r="J6" s="4" t="s">
        <v>46</v>
      </c>
      <c r="K6" s="4" t="s">
        <v>47</v>
      </c>
      <c r="L6" s="4" t="s">
        <v>48</v>
      </c>
      <c r="M6" s="4" t="s">
        <v>49</v>
      </c>
      <c r="N6" s="4" t="s">
        <v>50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97" t="s">
        <v>25</v>
      </c>
      <c r="B7" s="198"/>
      <c r="C7" s="198"/>
      <c r="D7" s="199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19</v>
      </c>
      <c r="C8" s="1" t="s">
        <v>20</v>
      </c>
      <c r="D8" s="1" t="s">
        <v>21</v>
      </c>
      <c r="F8" s="202" t="s">
        <v>172</v>
      </c>
      <c r="G8" s="202"/>
      <c r="H8" s="202"/>
      <c r="I8" s="202"/>
      <c r="J8" s="202"/>
      <c r="K8" s="202"/>
      <c r="L8" s="202"/>
      <c r="M8" s="202"/>
      <c r="N8" s="202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29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22</v>
      </c>
      <c r="G9" s="9" t="s">
        <v>44</v>
      </c>
      <c r="H9" s="9" t="s">
        <v>23</v>
      </c>
      <c r="I9" s="4" t="s">
        <v>45</v>
      </c>
      <c r="J9" s="4" t="s">
        <v>46</v>
      </c>
      <c r="K9" s="4" t="s">
        <v>47</v>
      </c>
      <c r="L9" s="4" t="s">
        <v>48</v>
      </c>
      <c r="M9" s="4" t="s">
        <v>49</v>
      </c>
      <c r="N9" s="4" t="s">
        <v>50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30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D23</f>
        <v>3790000</v>
      </c>
      <c r="G10" s="7">
        <f>F10*12</f>
        <v>45480000</v>
      </c>
      <c r="H10" s="13">
        <v>0.06</v>
      </c>
      <c r="I10" s="3">
        <v>0</v>
      </c>
      <c r="J10" s="3">
        <f>G10</f>
        <v>45480000</v>
      </c>
      <c r="K10" s="3">
        <f>J10*($H$10+1)</f>
        <v>48208800</v>
      </c>
      <c r="L10" s="3">
        <f>K10*($H$7+1)</f>
        <v>53029680.000000007</v>
      </c>
      <c r="M10" s="3">
        <f>L10*($H$7+1)</f>
        <v>58332648.000000015</v>
      </c>
      <c r="N10" s="3">
        <f>M10*($H$7+1)</f>
        <v>64165912.800000019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31</v>
      </c>
      <c r="B11" s="6">
        <f t="shared" si="1"/>
        <v>2</v>
      </c>
      <c r="C11" s="3">
        <v>166600</v>
      </c>
      <c r="D11" s="12">
        <f t="shared" si="2"/>
        <v>333200</v>
      </c>
      <c r="F11" s="202" t="s">
        <v>302</v>
      </c>
      <c r="G11" s="202"/>
      <c r="H11" s="202"/>
      <c r="I11" s="202"/>
      <c r="J11" s="202"/>
      <c r="K11" s="202"/>
      <c r="L11" s="202"/>
      <c r="M11" s="202"/>
      <c r="N11" s="202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32</v>
      </c>
      <c r="B12" s="6">
        <f t="shared" si="1"/>
        <v>2</v>
      </c>
      <c r="C12" s="3">
        <v>73013</v>
      </c>
      <c r="D12" s="12">
        <f t="shared" si="2"/>
        <v>146026</v>
      </c>
      <c r="F12" s="135" t="s">
        <v>22</v>
      </c>
      <c r="G12" s="136" t="s">
        <v>44</v>
      </c>
      <c r="H12" s="136" t="s">
        <v>23</v>
      </c>
      <c r="I12" s="135" t="s">
        <v>45</v>
      </c>
      <c r="J12" s="135" t="s">
        <v>46</v>
      </c>
      <c r="K12" s="135" t="s">
        <v>47</v>
      </c>
      <c r="L12" s="135" t="s">
        <v>48</v>
      </c>
      <c r="M12" s="135" t="s">
        <v>49</v>
      </c>
      <c r="N12" s="135" t="s">
        <v>50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33</v>
      </c>
      <c r="B13" s="6">
        <f t="shared" si="1"/>
        <v>2</v>
      </c>
      <c r="C13" s="3">
        <v>210109</v>
      </c>
      <c r="D13" s="12">
        <f t="shared" si="2"/>
        <v>420218</v>
      </c>
      <c r="F13" s="3">
        <v>0</v>
      </c>
      <c r="G13" s="7">
        <f>F13*12</f>
        <v>0</v>
      </c>
      <c r="H13" s="13" t="s">
        <v>24</v>
      </c>
      <c r="I13" s="3">
        <v>0</v>
      </c>
      <c r="J13" s="3">
        <v>1451000</v>
      </c>
      <c r="K13" s="3"/>
      <c r="L13" s="3"/>
      <c r="M13" s="3"/>
      <c r="N13" s="3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34</v>
      </c>
      <c r="B14" s="6">
        <f t="shared" si="1"/>
        <v>2</v>
      </c>
      <c r="C14" s="3">
        <v>148827</v>
      </c>
      <c r="D14" s="12">
        <f t="shared" si="2"/>
        <v>297654</v>
      </c>
      <c r="F14" s="203" t="s">
        <v>6</v>
      </c>
      <c r="G14" s="204"/>
      <c r="H14" s="204"/>
      <c r="I14" s="204"/>
      <c r="J14" s="204"/>
      <c r="K14" s="204"/>
      <c r="L14" s="204"/>
      <c r="M14" s="204"/>
      <c r="N14" s="205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35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0</v>
      </c>
      <c r="J15" s="16">
        <f>SUM(J4,J7,J10,J13)</f>
        <v>140393936</v>
      </c>
      <c r="K15" s="16">
        <f>SUM(K4,K7,K10,K13)</f>
        <v>151018029.59999999</v>
      </c>
      <c r="L15" s="16">
        <f t="shared" ref="L15:N15" si="3">SUM(L4,L7,L10,L13)</f>
        <v>166119832.56</v>
      </c>
      <c r="M15" s="16">
        <f t="shared" si="3"/>
        <v>182731815.81600004</v>
      </c>
      <c r="N15" s="16">
        <f t="shared" si="3"/>
        <v>201004997.39760005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37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54" t="s">
        <v>28</v>
      </c>
      <c r="B17" s="156"/>
      <c r="C17" s="5">
        <f>SUM(C9:C16)</f>
        <v>894289</v>
      </c>
      <c r="D17" s="14">
        <f>SUM(D9:D16)</f>
        <v>1788578</v>
      </c>
      <c r="F17" s="191" t="s">
        <v>272</v>
      </c>
      <c r="G17" s="194"/>
      <c r="H17" s="194"/>
      <c r="I17" s="194"/>
      <c r="J17" s="194"/>
      <c r="K17" s="194"/>
      <c r="L17" s="194"/>
      <c r="M17" s="194"/>
      <c r="N17" s="192"/>
      <c r="O17" s="24"/>
      <c r="P17" s="11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206" t="s">
        <v>171</v>
      </c>
      <c r="B18" s="206"/>
      <c r="C18" s="206"/>
      <c r="D18" s="206"/>
      <c r="F18" s="207" t="s">
        <v>246</v>
      </c>
      <c r="G18" s="208"/>
      <c r="H18" s="208"/>
      <c r="I18" s="208"/>
      <c r="J18" s="208"/>
      <c r="K18" s="208"/>
      <c r="L18" s="208"/>
      <c r="M18" s="208"/>
      <c r="N18" s="208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19</v>
      </c>
      <c r="C19" s="1" t="s">
        <v>20</v>
      </c>
      <c r="D19" s="1" t="s">
        <v>21</v>
      </c>
      <c r="F19" s="135" t="s">
        <v>22</v>
      </c>
      <c r="G19" s="136" t="s">
        <v>44</v>
      </c>
      <c r="H19" s="136" t="s">
        <v>23</v>
      </c>
      <c r="I19" s="135" t="s">
        <v>45</v>
      </c>
      <c r="J19" s="135" t="s">
        <v>46</v>
      </c>
      <c r="K19" s="135" t="s">
        <v>47</v>
      </c>
      <c r="L19" s="135" t="s">
        <v>48</v>
      </c>
      <c r="M19" s="135" t="s">
        <v>49</v>
      </c>
      <c r="N19" s="135" t="s">
        <v>50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316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317</v>
      </c>
      <c r="B21" s="8">
        <v>1</v>
      </c>
      <c r="C21" s="3">
        <v>70000</v>
      </c>
      <c r="D21" s="12">
        <f>C21*B21</f>
        <v>70000</v>
      </c>
      <c r="F21" s="144"/>
      <c r="G21" s="145"/>
      <c r="H21" s="146"/>
      <c r="I21" s="147"/>
      <c r="J21" s="147"/>
      <c r="K21" s="147"/>
      <c r="L21" s="147"/>
      <c r="M21" s="147"/>
      <c r="N21" s="147"/>
      <c r="O21" s="24"/>
      <c r="P21" s="39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5" t="s">
        <v>170</v>
      </c>
      <c r="B22" s="8">
        <v>1</v>
      </c>
      <c r="C22" s="3">
        <v>3500000</v>
      </c>
      <c r="D22" s="12">
        <f t="shared" ref="D22" si="5">C22*B22</f>
        <v>3500000</v>
      </c>
      <c r="F22" s="187" t="s">
        <v>245</v>
      </c>
      <c r="G22" s="188"/>
      <c r="H22" s="188"/>
      <c r="I22" s="188"/>
      <c r="J22" s="188"/>
      <c r="K22" s="188"/>
      <c r="L22" s="188"/>
      <c r="M22" s="188"/>
      <c r="N22" s="188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5"/>
      <c r="AD22" s="25"/>
    </row>
    <row r="23" spans="1:30" x14ac:dyDescent="0.25">
      <c r="A23" s="154" t="s">
        <v>28</v>
      </c>
      <c r="B23" s="156"/>
      <c r="C23" s="5">
        <f>SUM(C20:C22)</f>
        <v>3790000</v>
      </c>
      <c r="D23" s="14">
        <f>SUM(D20:D22)</f>
        <v>3790000</v>
      </c>
      <c r="F23" s="135" t="s">
        <v>22</v>
      </c>
      <c r="G23" s="136" t="s">
        <v>44</v>
      </c>
      <c r="H23" s="136" t="s">
        <v>23</v>
      </c>
      <c r="I23" s="135" t="s">
        <v>45</v>
      </c>
      <c r="J23" s="135" t="s">
        <v>46</v>
      </c>
      <c r="K23" s="135" t="s">
        <v>47</v>
      </c>
      <c r="L23" s="135" t="s">
        <v>48</v>
      </c>
      <c r="M23" s="135" t="s">
        <v>49</v>
      </c>
      <c r="N23" s="135" t="s">
        <v>50</v>
      </c>
    </row>
    <row r="24" spans="1:30" ht="15.75" thickBot="1" x14ac:dyDescent="0.3">
      <c r="A24" s="206" t="s">
        <v>167</v>
      </c>
      <c r="B24" s="206"/>
      <c r="C24" s="206"/>
      <c r="D24" s="206"/>
      <c r="F24" s="69">
        <v>120000</v>
      </c>
      <c r="G24" s="72">
        <f>F24*12</f>
        <v>1440000</v>
      </c>
      <c r="H24" s="126">
        <v>0.06</v>
      </c>
      <c r="I24" s="69">
        <v>0</v>
      </c>
      <c r="J24" s="69">
        <f>G24</f>
        <v>1440000</v>
      </c>
      <c r="K24" s="69">
        <f>J$24*($H$24+1)</f>
        <v>1526400</v>
      </c>
      <c r="L24" s="69">
        <f t="shared" ref="L24:N24" si="6">K$24*($H$24+1)</f>
        <v>1617984</v>
      </c>
      <c r="M24" s="69">
        <f t="shared" si="6"/>
        <v>1715063.04</v>
      </c>
      <c r="N24" s="69">
        <f t="shared" si="6"/>
        <v>1817966.8224000002</v>
      </c>
      <c r="P24" s="39" t="s">
        <v>269</v>
      </c>
    </row>
    <row r="25" spans="1:30" ht="15.75" thickBot="1" x14ac:dyDescent="0.3">
      <c r="A25" s="11" t="s">
        <v>1</v>
      </c>
      <c r="B25" s="1" t="s">
        <v>19</v>
      </c>
      <c r="C25" s="1" t="s">
        <v>20</v>
      </c>
      <c r="D25" s="1" t="s">
        <v>21</v>
      </c>
      <c r="F25" s="203" t="s">
        <v>6</v>
      </c>
      <c r="G25" s="204"/>
      <c r="H25" s="204"/>
      <c r="I25" s="204"/>
      <c r="J25" s="204"/>
      <c r="K25" s="204"/>
      <c r="L25" s="204"/>
      <c r="M25" s="204"/>
      <c r="N25" s="205"/>
      <c r="P25" t="s">
        <v>270</v>
      </c>
    </row>
    <row r="26" spans="1:30" ht="15.75" thickBot="1" x14ac:dyDescent="0.3">
      <c r="A26" s="15" t="s">
        <v>167</v>
      </c>
      <c r="B26" s="8">
        <v>1</v>
      </c>
      <c r="C26" s="3">
        <f>B43</f>
        <v>1451000</v>
      </c>
      <c r="D26" s="12">
        <f>C26*B26</f>
        <v>1451000</v>
      </c>
      <c r="I26" s="16">
        <f>SUM(I24,I20)</f>
        <v>0</v>
      </c>
      <c r="J26" s="16">
        <f t="shared" ref="J26:N26" si="7">SUM(J24,J20)</f>
        <v>1596000</v>
      </c>
      <c r="K26" s="16">
        <f t="shared" si="7"/>
        <v>1691760</v>
      </c>
      <c r="L26" s="16">
        <f t="shared" si="7"/>
        <v>1793265.6</v>
      </c>
      <c r="M26" s="16">
        <f t="shared" si="7"/>
        <v>1900861.5360000001</v>
      </c>
      <c r="N26" s="16">
        <f t="shared" si="7"/>
        <v>2014913.2281600002</v>
      </c>
      <c r="P26" t="s">
        <v>271</v>
      </c>
    </row>
    <row r="27" spans="1:30" ht="15.75" thickBot="1" x14ac:dyDescent="0.3">
      <c r="A27" s="154" t="s">
        <v>28</v>
      </c>
      <c r="B27" s="156"/>
      <c r="C27" s="5">
        <f>SUM(C26)</f>
        <v>1451000</v>
      </c>
      <c r="D27" s="14">
        <f>SUM(D26)</f>
        <v>1451000</v>
      </c>
    </row>
    <row r="28" spans="1:30" ht="15.75" thickBot="1" x14ac:dyDescent="0.3">
      <c r="F28" s="203" t="s">
        <v>273</v>
      </c>
      <c r="G28" s="204"/>
      <c r="H28" s="204"/>
      <c r="I28" s="204"/>
      <c r="J28" s="204"/>
      <c r="K28" s="204"/>
      <c r="L28" s="204"/>
      <c r="M28" s="204"/>
      <c r="N28" s="205"/>
    </row>
    <row r="29" spans="1:30" ht="15.75" thickBot="1" x14ac:dyDescent="0.3">
      <c r="I29" s="16">
        <f t="shared" ref="I29:N29" si="8">SUM(I15,I26)</f>
        <v>0</v>
      </c>
      <c r="J29" s="16">
        <f t="shared" si="8"/>
        <v>141989936</v>
      </c>
      <c r="K29" s="16">
        <f t="shared" si="8"/>
        <v>152709789.59999999</v>
      </c>
      <c r="L29" s="16">
        <f t="shared" si="8"/>
        <v>167913098.16</v>
      </c>
      <c r="M29" s="16">
        <f t="shared" si="8"/>
        <v>184632677.35200006</v>
      </c>
      <c r="N29" s="16">
        <f t="shared" si="8"/>
        <v>203019910.62576005</v>
      </c>
    </row>
    <row r="30" spans="1:30" ht="15.75" thickBot="1" x14ac:dyDescent="0.3">
      <c r="A30" s="115"/>
      <c r="B30" s="115"/>
      <c r="I30" s="127"/>
      <c r="J30" s="127"/>
      <c r="K30" s="127"/>
      <c r="L30" s="127"/>
      <c r="M30" s="127"/>
      <c r="N30" s="127"/>
    </row>
    <row r="31" spans="1:30" ht="15.75" thickBot="1" x14ac:dyDescent="0.3">
      <c r="A31" s="115"/>
      <c r="B31" s="115"/>
      <c r="F31" s="211" t="s">
        <v>77</v>
      </c>
      <c r="G31" s="212"/>
      <c r="H31" s="212"/>
      <c r="I31" s="212"/>
      <c r="J31" s="212"/>
      <c r="K31" s="212"/>
      <c r="L31" s="212"/>
      <c r="M31" s="212"/>
      <c r="N31" s="213"/>
    </row>
    <row r="32" spans="1:30" x14ac:dyDescent="0.25">
      <c r="A32" s="115"/>
      <c r="B32" s="115"/>
      <c r="J32" s="128">
        <f>'Amortización y Depreciación'!G18</f>
        <v>1640000</v>
      </c>
      <c r="K32" s="128">
        <f>J32</f>
        <v>1640000</v>
      </c>
      <c r="L32" s="128">
        <f t="shared" ref="L32:N32" si="9">K32</f>
        <v>1640000</v>
      </c>
      <c r="M32" s="128">
        <f t="shared" si="9"/>
        <v>1640000</v>
      </c>
      <c r="N32" s="128">
        <f t="shared" si="9"/>
        <v>1640000</v>
      </c>
    </row>
    <row r="33" spans="1:15" ht="15.75" thickBot="1" x14ac:dyDescent="0.3">
      <c r="A33" s="23"/>
      <c r="B33" s="23"/>
    </row>
    <row r="34" spans="1:15" ht="15.75" thickBot="1" x14ac:dyDescent="0.3">
      <c r="A34" s="23"/>
      <c r="B34" s="23"/>
      <c r="F34" s="214" t="s">
        <v>274</v>
      </c>
      <c r="G34" s="215"/>
      <c r="H34" s="215"/>
      <c r="I34" s="215"/>
      <c r="J34" s="215"/>
      <c r="K34" s="215"/>
      <c r="L34" s="215"/>
      <c r="M34" s="215"/>
      <c r="N34" s="216"/>
    </row>
    <row r="35" spans="1:15" ht="15.75" thickBot="1" x14ac:dyDescent="0.3">
      <c r="A35" s="23"/>
      <c r="B35" s="23"/>
      <c r="J35" s="16">
        <f>SUM(J29,J32)</f>
        <v>143629936</v>
      </c>
      <c r="K35" s="16">
        <f t="shared" ref="K35:N35" si="10">SUM(K29,K32)</f>
        <v>154349789.59999999</v>
      </c>
      <c r="L35" s="16">
        <f t="shared" si="10"/>
        <v>169553098.16</v>
      </c>
      <c r="M35" s="16">
        <f t="shared" si="10"/>
        <v>186272677.35200006</v>
      </c>
      <c r="N35" s="16">
        <f t="shared" si="10"/>
        <v>204659910.62576005</v>
      </c>
    </row>
    <row r="36" spans="1:15" ht="15.75" thickBot="1" x14ac:dyDescent="0.3">
      <c r="A36" s="191" t="s">
        <v>294</v>
      </c>
      <c r="B36" s="192"/>
    </row>
    <row r="37" spans="1:15" ht="15.75" thickBot="1" x14ac:dyDescent="0.3">
      <c r="A37" s="15" t="s">
        <v>38</v>
      </c>
      <c r="B37" s="12">
        <v>1288000</v>
      </c>
      <c r="F37" s="191" t="s">
        <v>261</v>
      </c>
      <c r="G37" s="194"/>
      <c r="H37" s="194"/>
      <c r="I37" s="194"/>
      <c r="J37" s="194"/>
      <c r="K37" s="194"/>
      <c r="L37" s="194"/>
      <c r="M37" s="194"/>
      <c r="N37" s="192"/>
    </row>
    <row r="38" spans="1:15" x14ac:dyDescent="0.25">
      <c r="A38" s="15" t="s">
        <v>39</v>
      </c>
      <c r="B38" s="12">
        <v>30000</v>
      </c>
      <c r="F38" s="207" t="s">
        <v>262</v>
      </c>
      <c r="G38" s="208"/>
      <c r="H38" s="208"/>
      <c r="I38" s="208"/>
      <c r="J38" s="208"/>
      <c r="K38" s="208"/>
      <c r="L38" s="208"/>
      <c r="M38" s="208"/>
      <c r="N38" s="209"/>
    </row>
    <row r="39" spans="1:15" x14ac:dyDescent="0.25">
      <c r="A39" s="15" t="s">
        <v>40</v>
      </c>
      <c r="B39" s="12">
        <v>69000</v>
      </c>
      <c r="F39" s="181" t="s">
        <v>58</v>
      </c>
      <c r="G39" s="182"/>
      <c r="H39" s="183"/>
      <c r="I39" s="135" t="s">
        <v>45</v>
      </c>
      <c r="J39" s="135" t="s">
        <v>46</v>
      </c>
      <c r="K39" s="135" t="s">
        <v>47</v>
      </c>
      <c r="L39" s="135" t="s">
        <v>48</v>
      </c>
      <c r="M39" s="135" t="s">
        <v>49</v>
      </c>
      <c r="N39" s="135" t="s">
        <v>50</v>
      </c>
      <c r="O39" s="39"/>
    </row>
    <row r="40" spans="1:15" x14ac:dyDescent="0.25">
      <c r="A40" s="15" t="s">
        <v>41</v>
      </c>
      <c r="B40" s="12">
        <v>64000</v>
      </c>
      <c r="C40" s="17"/>
      <c r="D40" s="17"/>
      <c r="F40" s="185" t="s">
        <v>253</v>
      </c>
      <c r="G40" s="210"/>
      <c r="H40" s="186"/>
      <c r="I40" s="121"/>
      <c r="J40" s="35">
        <f>'Proyección de Ventas e Incremen'!J24</f>
        <v>59330.879999999997</v>
      </c>
      <c r="K40" s="35">
        <f>'Proyección de Ventas e Incremen'!K24</f>
        <v>71412.598393881432</v>
      </c>
      <c r="L40" s="35">
        <f>'Proyección de Ventas e Incremen'!L24</f>
        <v>88458.146422449878</v>
      </c>
      <c r="M40" s="35">
        <f>'Proyección de Ventas e Incremen'!M24</f>
        <v>113025.11476349673</v>
      </c>
      <c r="N40" s="35">
        <f>'Proyección de Ventas e Incremen'!N24</f>
        <v>150044.93496139569</v>
      </c>
    </row>
    <row r="41" spans="1:15" x14ac:dyDescent="0.25">
      <c r="A41" s="15" t="s">
        <v>42</v>
      </c>
      <c r="B41" s="12" t="s">
        <v>24</v>
      </c>
      <c r="C41" s="18"/>
      <c r="D41" s="18"/>
      <c r="F41" s="185" t="s">
        <v>275</v>
      </c>
      <c r="G41" s="210"/>
      <c r="H41" s="186"/>
      <c r="I41" s="121"/>
      <c r="J41" s="7">
        <f>J35</f>
        <v>143629936</v>
      </c>
      <c r="K41" s="7">
        <f t="shared" ref="K41:N41" si="11">K35</f>
        <v>154349789.59999999</v>
      </c>
      <c r="L41" s="7">
        <f t="shared" si="11"/>
        <v>169553098.16</v>
      </c>
      <c r="M41" s="7">
        <f t="shared" si="11"/>
        <v>186272677.35200006</v>
      </c>
      <c r="N41" s="7">
        <f t="shared" si="11"/>
        <v>204659910.62576005</v>
      </c>
    </row>
    <row r="42" spans="1:15" x14ac:dyDescent="0.25">
      <c r="A42" s="15" t="s">
        <v>43</v>
      </c>
      <c r="B42" s="12" t="s">
        <v>24</v>
      </c>
      <c r="F42" s="187" t="s">
        <v>264</v>
      </c>
      <c r="G42" s="188"/>
      <c r="H42" s="188"/>
      <c r="I42" s="188"/>
      <c r="J42" s="188"/>
      <c r="K42" s="188"/>
      <c r="L42" s="188"/>
      <c r="M42" s="188"/>
      <c r="N42" s="189"/>
    </row>
    <row r="43" spans="1:15" x14ac:dyDescent="0.25">
      <c r="A43" s="19" t="s">
        <v>28</v>
      </c>
      <c r="B43" s="5">
        <f>SUM(B37:B40)</f>
        <v>1451000</v>
      </c>
      <c r="F43" s="181" t="s">
        <v>58</v>
      </c>
      <c r="G43" s="182"/>
      <c r="H43" s="183"/>
      <c r="I43" s="135" t="s">
        <v>45</v>
      </c>
      <c r="J43" s="135" t="s">
        <v>46</v>
      </c>
      <c r="K43" s="135" t="s">
        <v>47</v>
      </c>
      <c r="L43" s="135" t="s">
        <v>48</v>
      </c>
      <c r="M43" s="135" t="s">
        <v>49</v>
      </c>
      <c r="N43" s="135" t="s">
        <v>50</v>
      </c>
      <c r="O43" s="135" t="s">
        <v>267</v>
      </c>
    </row>
    <row r="44" spans="1:15" ht="15.75" thickBot="1" x14ac:dyDescent="0.3">
      <c r="F44" s="185" t="s">
        <v>265</v>
      </c>
      <c r="G44" s="210"/>
      <c r="H44" s="186"/>
      <c r="I44" s="121"/>
      <c r="J44" s="119">
        <f>(J35/12)/(J40/12)</f>
        <v>2420.829355640773</v>
      </c>
      <c r="K44" s="119">
        <f t="shared" ref="K44:N44" si="12">(K35/12)/(K40/12)</f>
        <v>2161.380387654744</v>
      </c>
      <c r="L44" s="119">
        <f t="shared" si="12"/>
        <v>1916.7606943770295</v>
      </c>
      <c r="M44" s="119">
        <f t="shared" si="12"/>
        <v>1648.0644832059909</v>
      </c>
      <c r="N44" s="119">
        <f t="shared" si="12"/>
        <v>1363.9907983459486</v>
      </c>
      <c r="O44" s="123">
        <f>AVERAGE(J44:N44)</f>
        <v>1902.2051438448973</v>
      </c>
    </row>
    <row r="45" spans="1:15" ht="15.75" thickBot="1" x14ac:dyDescent="0.3">
      <c r="A45" s="191" t="s">
        <v>298</v>
      </c>
      <c r="B45" s="192"/>
      <c r="F45" s="185" t="s">
        <v>266</v>
      </c>
      <c r="G45" s="210"/>
      <c r="H45" s="186"/>
      <c r="I45" s="121"/>
      <c r="J45" s="119">
        <f>J44*12</f>
        <v>29049.952267689274</v>
      </c>
      <c r="K45" s="119">
        <f t="shared" ref="K45:N45" si="13">K44*12</f>
        <v>25936.564651856927</v>
      </c>
      <c r="L45" s="119">
        <f t="shared" si="13"/>
        <v>23001.128332524353</v>
      </c>
      <c r="M45" s="119">
        <f t="shared" si="13"/>
        <v>19776.773798471891</v>
      </c>
      <c r="N45" s="119">
        <f t="shared" si="13"/>
        <v>16367.889580151383</v>
      </c>
      <c r="O45" s="123">
        <f>AVERAGE(J45:N45)</f>
        <v>22826.461726138765</v>
      </c>
    </row>
    <row r="46" spans="1:15" x14ac:dyDescent="0.25">
      <c r="A46" s="77" t="s">
        <v>7</v>
      </c>
      <c r="B46" s="77" t="s">
        <v>2</v>
      </c>
      <c r="F46" s="187" t="s">
        <v>288</v>
      </c>
      <c r="G46" s="188"/>
      <c r="H46" s="188"/>
      <c r="I46" s="188"/>
      <c r="J46" s="188"/>
      <c r="K46" s="188"/>
      <c r="L46" s="188"/>
      <c r="M46" s="188"/>
      <c r="N46" s="189"/>
    </row>
    <row r="47" spans="1:15" x14ac:dyDescent="0.25">
      <c r="A47" s="15" t="s">
        <v>296</v>
      </c>
      <c r="B47" s="12">
        <f>'Inversión Inicial'!D16</f>
        <v>8200000</v>
      </c>
      <c r="F47" s="181" t="s">
        <v>58</v>
      </c>
      <c r="G47" s="182"/>
      <c r="H47" s="183"/>
      <c r="I47" s="135" t="s">
        <v>45</v>
      </c>
      <c r="J47" s="135" t="s">
        <v>46</v>
      </c>
      <c r="K47" s="135" t="s">
        <v>47</v>
      </c>
      <c r="L47" s="135" t="s">
        <v>48</v>
      </c>
      <c r="M47" s="135" t="s">
        <v>49</v>
      </c>
      <c r="N47" s="135" t="s">
        <v>50</v>
      </c>
    </row>
    <row r="48" spans="1:15" x14ac:dyDescent="0.25">
      <c r="A48" s="15" t="s">
        <v>295</v>
      </c>
      <c r="B48" s="12">
        <f>B43</f>
        <v>1451000</v>
      </c>
      <c r="F48" s="190" t="s">
        <v>253</v>
      </c>
      <c r="G48" s="190"/>
      <c r="H48" s="190"/>
      <c r="I48" s="121"/>
      <c r="J48" s="35">
        <f>'[1]Proyección de Ventas e Incremen'!J18</f>
        <v>408.24</v>
      </c>
      <c r="K48" s="35">
        <f>'[1]Proyección de Ventas e Incremen'!K18</f>
        <v>491.37108986615669</v>
      </c>
      <c r="L48" s="35">
        <f>'[1]Proyección de Ventas e Incremen'!L18</f>
        <v>608.65697079667348</v>
      </c>
      <c r="M48" s="35">
        <f>'[1]Proyección de Ventas e Incremen'!M18</f>
        <v>777.69574378552784</v>
      </c>
      <c r="N48" s="35">
        <f>'[1]Proyección de Ventas e Incremen'!N18</f>
        <v>1032.4192772573097</v>
      </c>
      <c r="O48" s="129" t="s">
        <v>267</v>
      </c>
    </row>
    <row r="49" spans="1:15" x14ac:dyDescent="0.25">
      <c r="A49" s="106" t="s">
        <v>297</v>
      </c>
      <c r="B49" s="12">
        <f>SUM('Inversión Inicial'!B3:B8)-'Inversión Inicial'!B5</f>
        <v>25440000</v>
      </c>
      <c r="F49" s="190" t="s">
        <v>266</v>
      </c>
      <c r="G49" s="190"/>
      <c r="H49" s="190"/>
      <c r="I49" s="121"/>
      <c r="J49" s="119">
        <f>J35/J48</f>
        <v>351827.19968645892</v>
      </c>
      <c r="K49" s="119">
        <f t="shared" ref="K49:N49" si="14">K35/K48</f>
        <v>314120.61633915611</v>
      </c>
      <c r="L49" s="119">
        <f t="shared" si="14"/>
        <v>278569.22091612831</v>
      </c>
      <c r="M49" s="119">
        <f t="shared" si="14"/>
        <v>239518.70489260406</v>
      </c>
      <c r="N49" s="119">
        <f t="shared" si="14"/>
        <v>198233.32935961123</v>
      </c>
      <c r="O49" s="123">
        <f>AVERAGE(J49:N49)</f>
        <v>276453.8142387917</v>
      </c>
    </row>
    <row r="50" spans="1:15" x14ac:dyDescent="0.25">
      <c r="A50" s="19" t="s">
        <v>28</v>
      </c>
      <c r="B50" s="5">
        <f>SUM(B47:B49)</f>
        <v>35091000</v>
      </c>
    </row>
  </sheetData>
  <mergeCells count="37">
    <mergeCell ref="F44:H44"/>
    <mergeCell ref="F45:H45"/>
    <mergeCell ref="F31:N31"/>
    <mergeCell ref="F34:N34"/>
    <mergeCell ref="F41:H41"/>
    <mergeCell ref="F42:N42"/>
    <mergeCell ref="F43:H43"/>
    <mergeCell ref="F25:N25"/>
    <mergeCell ref="F28:N28"/>
    <mergeCell ref="F37:N37"/>
    <mergeCell ref="F38:N38"/>
    <mergeCell ref="F40:H40"/>
    <mergeCell ref="F39:H39"/>
    <mergeCell ref="F14:N14"/>
    <mergeCell ref="A17:B17"/>
    <mergeCell ref="A18:D18"/>
    <mergeCell ref="A23:B23"/>
    <mergeCell ref="A24:D24"/>
    <mergeCell ref="F17:N17"/>
    <mergeCell ref="F18:N18"/>
    <mergeCell ref="F22:N22"/>
    <mergeCell ref="F1:N1"/>
    <mergeCell ref="F2:N2"/>
    <mergeCell ref="F5:N5"/>
    <mergeCell ref="F8:N8"/>
    <mergeCell ref="F11:N11"/>
    <mergeCell ref="A1:D1"/>
    <mergeCell ref="A2:D2"/>
    <mergeCell ref="A7:D7"/>
    <mergeCell ref="A36:B36"/>
    <mergeCell ref="A27:B27"/>
    <mergeCell ref="A6:B6"/>
    <mergeCell ref="F46:N46"/>
    <mergeCell ref="F47:H47"/>
    <mergeCell ref="F48:H48"/>
    <mergeCell ref="F49:H49"/>
    <mergeCell ref="A45:B45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tabSelected="1" zoomScale="115" zoomScaleNormal="115" workbookViewId="0">
      <selection activeCell="M13" sqref="M13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217" t="s">
        <v>73</v>
      </c>
      <c r="B1" s="218"/>
      <c r="D1" s="219" t="s">
        <v>207</v>
      </c>
      <c r="E1" s="220"/>
      <c r="F1" s="220"/>
      <c r="G1" s="220"/>
      <c r="H1" s="220"/>
      <c r="I1" s="220"/>
      <c r="J1" s="17"/>
      <c r="K1" s="17"/>
      <c r="L1" s="17"/>
      <c r="M1" s="17"/>
      <c r="N1" s="17"/>
      <c r="O1" s="17"/>
      <c r="P1" s="17"/>
    </row>
    <row r="2" spans="1:16" x14ac:dyDescent="0.25">
      <c r="A2" s="221" t="s">
        <v>74</v>
      </c>
      <c r="B2" s="221"/>
      <c r="D2" s="55" t="s">
        <v>75</v>
      </c>
      <c r="E2" s="55" t="s">
        <v>76</v>
      </c>
      <c r="F2" s="55" t="s">
        <v>208</v>
      </c>
      <c r="G2" s="55" t="s">
        <v>209</v>
      </c>
      <c r="H2" s="55" t="s">
        <v>315</v>
      </c>
      <c r="I2" s="55" t="s">
        <v>210</v>
      </c>
      <c r="K2" s="45"/>
      <c r="L2" s="45"/>
      <c r="M2" s="45"/>
      <c r="N2" s="45"/>
      <c r="O2" s="45"/>
      <c r="P2" s="45"/>
    </row>
    <row r="3" spans="1:16" x14ac:dyDescent="0.25">
      <c r="A3" s="56" t="s">
        <v>7</v>
      </c>
      <c r="B3" s="1" t="s">
        <v>19</v>
      </c>
      <c r="D3" s="20" t="s">
        <v>211</v>
      </c>
      <c r="E3" s="3">
        <f>B4</f>
        <v>15790950</v>
      </c>
      <c r="F3" s="3">
        <v>0</v>
      </c>
      <c r="G3" s="3">
        <v>0</v>
      </c>
      <c r="H3" s="3">
        <v>0</v>
      </c>
      <c r="I3" s="5">
        <f>E3</f>
        <v>15790950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205</v>
      </c>
      <c r="B4" s="3">
        <f>'Proyección de Ventas e Incremen'!B16</f>
        <v>15790950</v>
      </c>
      <c r="D4" s="20" t="s">
        <v>212</v>
      </c>
      <c r="E4" s="3">
        <f>I3</f>
        <v>15790950</v>
      </c>
      <c r="F4" s="3">
        <f>E4*$B$7</f>
        <v>2627614.08</v>
      </c>
      <c r="G4" s="3">
        <f>$B$8</f>
        <v>5715545.3724325309</v>
      </c>
      <c r="H4" s="3">
        <f>G4-F4</f>
        <v>3087931.2924325308</v>
      </c>
      <c r="I4" s="5">
        <f t="shared" ref="I4:I8" si="0">E4-H4</f>
        <v>12703018.707567468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204</v>
      </c>
      <c r="B5" s="3">
        <v>0</v>
      </c>
      <c r="D5" s="20" t="s">
        <v>213</v>
      </c>
      <c r="E5" s="3">
        <f>I4</f>
        <v>12703018.707567468</v>
      </c>
      <c r="F5" s="3">
        <f>E5*$B$7</f>
        <v>2113782.3129392266</v>
      </c>
      <c r="G5" s="3">
        <f t="shared" ref="G5:G7" si="1">$B$8</f>
        <v>5715545.3724325309</v>
      </c>
      <c r="H5" s="3">
        <f t="shared" ref="H5:H8" si="2">G5-F5</f>
        <v>3601763.0594933042</v>
      </c>
      <c r="I5" s="5">
        <f t="shared" si="0"/>
        <v>9101255.648074165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206</v>
      </c>
      <c r="B6" s="8" t="s">
        <v>88</v>
      </c>
      <c r="D6" s="20" t="s">
        <v>214</v>
      </c>
      <c r="E6" s="3">
        <f t="shared" ref="E6:E8" si="3">I5</f>
        <v>9101255.648074165</v>
      </c>
      <c r="F6" s="3">
        <f t="shared" ref="F6:F8" si="4">E6*$B$7</f>
        <v>1514448.939839541</v>
      </c>
      <c r="G6" s="3">
        <f t="shared" si="1"/>
        <v>5715545.3724325309</v>
      </c>
      <c r="H6" s="3">
        <f t="shared" si="2"/>
        <v>4201096.4325929899</v>
      </c>
      <c r="I6" s="5">
        <f t="shared" si="0"/>
        <v>4900159.2154811751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203</v>
      </c>
      <c r="B7" s="59">
        <v>0.16639999999999999</v>
      </c>
      <c r="D7" s="20" t="s">
        <v>215</v>
      </c>
      <c r="E7" s="3">
        <f t="shared" si="3"/>
        <v>4900159.2154811751</v>
      </c>
      <c r="F7" s="3">
        <f t="shared" si="4"/>
        <v>815386.49345606752</v>
      </c>
      <c r="G7" s="3">
        <f t="shared" si="1"/>
        <v>5715545.3724325309</v>
      </c>
      <c r="H7" s="3">
        <f t="shared" si="2"/>
        <v>4900158.8789764633</v>
      </c>
      <c r="I7" s="5">
        <f t="shared" si="0"/>
        <v>0.33650471176952124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202</v>
      </c>
      <c r="B8" s="3">
        <f>((B4*1.44780279145524)/4)</f>
        <v>5715545.3724325309</v>
      </c>
      <c r="D8" s="20" t="s">
        <v>216</v>
      </c>
      <c r="E8" s="3">
        <f t="shared" si="3"/>
        <v>0.33650471176952124</v>
      </c>
      <c r="F8" s="3">
        <f t="shared" si="4"/>
        <v>5.5994384038448329E-2</v>
      </c>
      <c r="G8" s="3">
        <v>0</v>
      </c>
      <c r="H8" s="3">
        <f t="shared" si="2"/>
        <v>-5.5994384038448329E-2</v>
      </c>
      <c r="I8" s="5">
        <f t="shared" si="0"/>
        <v>0.39249909580796954</v>
      </c>
      <c r="K8" s="39">
        <f>SUM(G4:G7)</f>
        <v>22862181.489730123</v>
      </c>
    </row>
    <row r="9" spans="1:16" ht="15.75" thickBot="1" x14ac:dyDescent="0.3">
      <c r="A9" s="37" t="s">
        <v>201</v>
      </c>
      <c r="B9" s="3">
        <f>B8/12</f>
        <v>476295.44770271092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211" t="s">
        <v>293</v>
      </c>
      <c r="E10" s="212"/>
      <c r="F10" s="212"/>
      <c r="G10" s="212"/>
      <c r="H10" s="212"/>
      <c r="I10" s="212"/>
      <c r="J10" s="212"/>
      <c r="K10" s="213"/>
    </row>
    <row r="11" spans="1:16" x14ac:dyDescent="0.25">
      <c r="A11" s="61"/>
      <c r="B11" s="60"/>
      <c r="D11" s="63" t="s">
        <v>78</v>
      </c>
      <c r="E11" s="63" t="s">
        <v>79</v>
      </c>
      <c r="F11" s="63" t="s">
        <v>80</v>
      </c>
      <c r="G11" s="63" t="s">
        <v>46</v>
      </c>
      <c r="H11" s="63" t="s">
        <v>47</v>
      </c>
      <c r="I11" s="63" t="s">
        <v>48</v>
      </c>
      <c r="J11" s="64" t="s">
        <v>49</v>
      </c>
      <c r="K11" s="63" t="s">
        <v>50</v>
      </c>
    </row>
    <row r="12" spans="1:16" x14ac:dyDescent="0.25">
      <c r="A12" s="61"/>
      <c r="B12" s="60"/>
      <c r="C12" s="47"/>
      <c r="D12" s="20" t="s">
        <v>81</v>
      </c>
      <c r="E12" s="8" t="s">
        <v>82</v>
      </c>
      <c r="F12" s="3">
        <f>'Inversión Inicial'!$C$13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83</v>
      </c>
      <c r="E13" s="8" t="s">
        <v>82</v>
      </c>
      <c r="F13" s="3">
        <f>'Inversión Inicial'!$C$15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100" t="s">
        <v>241</v>
      </c>
      <c r="E14" s="8" t="s">
        <v>82</v>
      </c>
      <c r="F14" s="3">
        <f>'Inversión Inicial'!C14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84</v>
      </c>
      <c r="E15" s="8" t="s">
        <v>82</v>
      </c>
      <c r="F15" s="3">
        <f>'Inversión Inicial'!$C$13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85</v>
      </c>
      <c r="E16" s="8" t="s">
        <v>82</v>
      </c>
      <c r="F16" s="3">
        <f>'Inversión Inicial'!$C$15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242</v>
      </c>
      <c r="E17" s="8" t="s">
        <v>82</v>
      </c>
      <c r="F17" s="3">
        <f>'Inversión Inicial'!C14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81" t="s">
        <v>86</v>
      </c>
      <c r="E18" s="182"/>
      <c r="F18" s="183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54" t="s">
        <v>87</v>
      </c>
      <c r="E19" s="155"/>
      <c r="F19" s="156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211" t="s">
        <v>77</v>
      </c>
      <c r="E21" s="212"/>
      <c r="F21" s="212"/>
      <c r="G21" s="212"/>
      <c r="H21" s="212"/>
      <c r="I21" s="212"/>
      <c r="J21" s="212"/>
      <c r="K21" s="213"/>
      <c r="M21" s="47"/>
      <c r="N21" s="47"/>
      <c r="O21" s="47"/>
      <c r="P21" s="47"/>
    </row>
    <row r="22" spans="1:16" x14ac:dyDescent="0.25">
      <c r="B22" s="38"/>
      <c r="D22" s="63" t="s">
        <v>78</v>
      </c>
      <c r="E22" s="63" t="s">
        <v>79</v>
      </c>
      <c r="F22" s="63" t="s">
        <v>80</v>
      </c>
      <c r="G22" s="63" t="s">
        <v>46</v>
      </c>
      <c r="H22" s="63" t="s">
        <v>47</v>
      </c>
      <c r="I22" s="63" t="s">
        <v>48</v>
      </c>
      <c r="J22" s="64" t="s">
        <v>49</v>
      </c>
      <c r="K22" s="63" t="s">
        <v>50</v>
      </c>
      <c r="M22" s="44"/>
      <c r="N22" s="44"/>
      <c r="O22" s="44"/>
      <c r="P22" s="44"/>
    </row>
    <row r="23" spans="1:16" x14ac:dyDescent="0.25">
      <c r="A23" s="18"/>
      <c r="B23" s="44"/>
      <c r="D23" s="100" t="s">
        <v>81</v>
      </c>
      <c r="E23" s="8" t="s">
        <v>82</v>
      </c>
      <c r="F23" s="3">
        <f>'Inversión Inicial'!$C$13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62"/>
      <c r="B24" s="162"/>
      <c r="D24" s="5" t="s">
        <v>83</v>
      </c>
      <c r="E24" s="8" t="s">
        <v>82</v>
      </c>
      <c r="F24" s="3">
        <f>'Inversión Inicial'!$C$15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100" t="s">
        <v>241</v>
      </c>
      <c r="E25" s="8" t="s">
        <v>82</v>
      </c>
      <c r="F25" s="3">
        <f>'Inversión Inicial'!C14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100" t="s">
        <v>84</v>
      </c>
      <c r="E26" s="8" t="s">
        <v>82</v>
      </c>
      <c r="F26" s="3">
        <f>'Inversión Inicial'!$C$13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85</v>
      </c>
      <c r="E27" s="8" t="s">
        <v>82</v>
      </c>
      <c r="F27" s="3">
        <f>'Inversión Inicial'!$C$15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242</v>
      </c>
      <c r="E28" s="8" t="s">
        <v>82</v>
      </c>
      <c r="F28" s="3">
        <f>'Inversión Inicial'!$C$14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62"/>
      <c r="B29" s="162"/>
      <c r="D29" s="181" t="s">
        <v>86</v>
      </c>
      <c r="E29" s="182"/>
      <c r="F29" s="183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54" t="s">
        <v>87</v>
      </c>
      <c r="E30" s="155"/>
      <c r="F30" s="156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1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  <mergeCell ref="D21:K21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showGridLines="0" zoomScale="85" zoomScaleNormal="85" workbookViewId="0">
      <selection activeCell="P24" sqref="P24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226" t="s">
        <v>89</v>
      </c>
      <c r="B1" s="227"/>
      <c r="C1" s="227"/>
      <c r="D1" s="227"/>
      <c r="E1" s="227"/>
      <c r="F1" s="227"/>
      <c r="G1" s="227"/>
      <c r="H1" s="227"/>
    </row>
    <row r="2" spans="1:8" ht="22.5" customHeight="1" thickBot="1" x14ac:dyDescent="0.4">
      <c r="A2" s="228" t="s">
        <v>279</v>
      </c>
      <c r="B2" s="229"/>
      <c r="C2" s="229"/>
      <c r="D2" s="229"/>
      <c r="E2" s="229"/>
      <c r="F2" s="229"/>
      <c r="G2" s="229"/>
      <c r="H2" s="229"/>
    </row>
    <row r="3" spans="1:8" ht="15.75" thickBot="1" x14ac:dyDescent="0.3"/>
    <row r="4" spans="1:8" ht="22.5" customHeight="1" thickBot="1" x14ac:dyDescent="0.3">
      <c r="A4" s="230" t="s">
        <v>286</v>
      </c>
      <c r="B4" s="231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32" t="s">
        <v>91</v>
      </c>
      <c r="B5" s="233"/>
    </row>
    <row r="6" spans="1:8" x14ac:dyDescent="0.25">
      <c r="A6" s="234" t="s">
        <v>92</v>
      </c>
      <c r="B6" s="234"/>
    </row>
    <row r="7" spans="1:8" ht="15.75" thickBot="1" x14ac:dyDescent="0.3">
      <c r="B7" s="67" t="s">
        <v>307</v>
      </c>
      <c r="C7" s="3">
        <f>'Proyección de Ventas e Incremen'!B18</f>
        <v>35091000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93</v>
      </c>
      <c r="C8" s="71">
        <f t="shared" ref="C8:H8" si="0">SUM(C7:C7)</f>
        <v>35091000</v>
      </c>
      <c r="D8" s="71">
        <f t="shared" si="0"/>
        <v>163296000</v>
      </c>
      <c r="E8" s="71">
        <f t="shared" si="0"/>
        <v>205589663.99999997</v>
      </c>
      <c r="F8" s="71">
        <f t="shared" si="0"/>
        <v>264593897.56799996</v>
      </c>
      <c r="G8" s="71">
        <f t="shared" si="0"/>
        <v>350586914.27759993</v>
      </c>
      <c r="H8" s="71">
        <f t="shared" si="0"/>
        <v>481706420.21742237</v>
      </c>
    </row>
    <row r="10" spans="1:8" x14ac:dyDescent="0.25">
      <c r="A10" s="224" t="s">
        <v>94</v>
      </c>
      <c r="B10" s="225"/>
    </row>
    <row r="11" spans="1:8" x14ac:dyDescent="0.25">
      <c r="B11" s="67" t="s">
        <v>306</v>
      </c>
      <c r="C11" s="3">
        <v>0</v>
      </c>
      <c r="D11" s="3">
        <v>8200000</v>
      </c>
      <c r="E11" s="3">
        <v>8200000</v>
      </c>
      <c r="F11" s="3">
        <v>8200000</v>
      </c>
      <c r="G11" s="3">
        <v>8200000</v>
      </c>
      <c r="H11" s="3">
        <v>8200000</v>
      </c>
    </row>
    <row r="12" spans="1:8" x14ac:dyDescent="0.25">
      <c r="B12" s="67" t="s">
        <v>77</v>
      </c>
      <c r="C12" s="3">
        <v>0</v>
      </c>
      <c r="D12" s="3">
        <f>-'Flujo de Caja'!D25</f>
        <v>-1640000</v>
      </c>
      <c r="E12" s="3">
        <f>-'Flujo de Caja'!E25</f>
        <v>-1640000</v>
      </c>
      <c r="F12" s="3">
        <f>-'Flujo de Caja'!F25</f>
        <v>-1640000</v>
      </c>
      <c r="G12" s="3">
        <f>-'Flujo de Caja'!G25</f>
        <v>-1640000</v>
      </c>
      <c r="H12" s="3">
        <f>-'Flujo de Caja'!H25</f>
        <v>-1640000</v>
      </c>
    </row>
    <row r="13" spans="1:8" ht="15.75" thickBot="1" x14ac:dyDescent="0.3">
      <c r="B13" s="67" t="s">
        <v>165</v>
      </c>
      <c r="C13" s="7">
        <v>0</v>
      </c>
      <c r="D13" s="7">
        <v>1451000</v>
      </c>
      <c r="E13" s="7">
        <f t="shared" ref="E13:H13" si="1">D13</f>
        <v>1451000</v>
      </c>
      <c r="F13" s="7">
        <f t="shared" si="1"/>
        <v>1451000</v>
      </c>
      <c r="G13" s="7">
        <f t="shared" si="1"/>
        <v>1451000</v>
      </c>
      <c r="H13" s="7">
        <f t="shared" si="1"/>
        <v>1451000</v>
      </c>
    </row>
    <row r="14" spans="1:8" ht="16.5" thickBot="1" x14ac:dyDescent="0.3">
      <c r="B14" s="70" t="s">
        <v>95</v>
      </c>
      <c r="C14" s="71">
        <f>C11+C13</f>
        <v>0</v>
      </c>
      <c r="D14" s="71">
        <f>SUM(D11:D13)</f>
        <v>8011000</v>
      </c>
      <c r="E14" s="71">
        <f>SUM(E11:E13)</f>
        <v>8011000</v>
      </c>
      <c r="F14" s="71">
        <f>SUM(F11:F13)</f>
        <v>8011000</v>
      </c>
      <c r="G14" s="71">
        <f>SUM(G11:G13)</f>
        <v>8011000</v>
      </c>
      <c r="H14" s="71">
        <f>SUM(H11:H13)</f>
        <v>8011000</v>
      </c>
    </row>
    <row r="15" spans="1:8" ht="15.75" thickBot="1" x14ac:dyDescent="0.3"/>
    <row r="16" spans="1:8" ht="22.5" customHeight="1" thickBot="1" x14ac:dyDescent="0.3">
      <c r="A16" s="222" t="s">
        <v>96</v>
      </c>
      <c r="B16" s="223"/>
      <c r="C16" s="73">
        <f t="shared" ref="C16:H16" si="2">C8+C14</f>
        <v>35091000</v>
      </c>
      <c r="D16" s="73">
        <f t="shared" si="2"/>
        <v>171307000</v>
      </c>
      <c r="E16" s="73">
        <f t="shared" si="2"/>
        <v>213600663.99999997</v>
      </c>
      <c r="F16" s="73">
        <f t="shared" si="2"/>
        <v>272604897.56799996</v>
      </c>
      <c r="G16" s="73">
        <f t="shared" si="2"/>
        <v>358597914.27759993</v>
      </c>
      <c r="H16" s="73">
        <f t="shared" si="2"/>
        <v>489717420.21742237</v>
      </c>
    </row>
    <row r="17" spans="1:8" ht="15.75" thickBot="1" x14ac:dyDescent="0.3">
      <c r="A17" s="235" t="s">
        <v>97</v>
      </c>
      <c r="B17" s="236"/>
    </row>
    <row r="18" spans="1:8" x14ac:dyDescent="0.25">
      <c r="A18" s="237" t="s">
        <v>98</v>
      </c>
      <c r="B18" s="238"/>
    </row>
    <row r="19" spans="1:8" x14ac:dyDescent="0.25">
      <c r="B19" s="67" t="s">
        <v>284</v>
      </c>
      <c r="C19" s="3">
        <v>0</v>
      </c>
      <c r="D19" s="3">
        <f>'Costos de Operación Gravables'!J10+'Costos de Operación Gravables'!J26+'Costos de Operación Gravables'!J13</f>
        <v>48527000</v>
      </c>
      <c r="E19" s="3">
        <f>'Costos de Operación Gravables'!K10+'Costos de Operación Gravables'!K26+'Costos de Operación Gravables'!K13</f>
        <v>49900560</v>
      </c>
      <c r="F19" s="3">
        <f>'Costos de Operación Gravables'!L10+'Costos de Operación Gravables'!L26+'Costos de Operación Gravables'!L13</f>
        <v>54822945.600000009</v>
      </c>
      <c r="G19" s="3">
        <f>'Costos de Operación Gravables'!M10+'Costos de Operación Gravables'!M26+'Costos de Operación Gravables'!M13</f>
        <v>60233509.536000013</v>
      </c>
      <c r="H19" s="3">
        <f>'Costos de Operación Gravables'!N10+'Costos de Operación Gravables'!N26+'Costos de Operación Gravables'!N13</f>
        <v>66180826.028160021</v>
      </c>
    </row>
    <row r="20" spans="1:8" ht="15.75" thickBot="1" x14ac:dyDescent="0.3">
      <c r="B20" s="67" t="s">
        <v>285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6.5" thickBot="1" x14ac:dyDescent="0.3">
      <c r="B21" s="70" t="s">
        <v>99</v>
      </c>
      <c r="C21" s="71">
        <f t="shared" ref="C21:H21" si="3">SUM(C19:C20)</f>
        <v>0</v>
      </c>
      <c r="D21" s="71">
        <f t="shared" si="3"/>
        <v>141989936</v>
      </c>
      <c r="E21" s="71">
        <f t="shared" si="3"/>
        <v>152709789.59999999</v>
      </c>
      <c r="F21" s="71">
        <f t="shared" si="3"/>
        <v>167913098.16000003</v>
      </c>
      <c r="G21" s="71">
        <f t="shared" si="3"/>
        <v>184632677.35200003</v>
      </c>
      <c r="H21" s="71">
        <f t="shared" si="3"/>
        <v>203019910.62576008</v>
      </c>
    </row>
    <row r="23" spans="1:8" x14ac:dyDescent="0.25">
      <c r="A23" s="224" t="s">
        <v>100</v>
      </c>
      <c r="B23" s="225"/>
    </row>
    <row r="24" spans="1:8" ht="15.75" thickBot="1" x14ac:dyDescent="0.3">
      <c r="B24" s="68" t="s">
        <v>166</v>
      </c>
      <c r="C24" s="69">
        <f>'Estado de Resultados'!C18</f>
        <v>0</v>
      </c>
      <c r="D24" s="69">
        <f>'Estado de Resultados'!D18</f>
        <v>5715545.3724325309</v>
      </c>
      <c r="E24" s="69">
        <f>'Estado de Resultados'!E18</f>
        <v>5715545.3724325309</v>
      </c>
      <c r="F24" s="69">
        <f>'Estado de Resultados'!F18</f>
        <v>5715545.3724325309</v>
      </c>
      <c r="G24" s="69">
        <f>'Estado de Resultados'!G18</f>
        <v>5715545.3724325309</v>
      </c>
      <c r="H24" s="69">
        <f>'Estado de Resultados'!H18</f>
        <v>0</v>
      </c>
    </row>
    <row r="25" spans="1:8" ht="16.5" thickBot="1" x14ac:dyDescent="0.3">
      <c r="B25" s="70" t="s">
        <v>101</v>
      </c>
      <c r="C25" s="71">
        <f>SUM(C24)</f>
        <v>0</v>
      </c>
      <c r="D25" s="71">
        <f t="shared" ref="D25:H25" si="4">SUM(D24)</f>
        <v>5715545.3724325309</v>
      </c>
      <c r="E25" s="71">
        <f t="shared" si="4"/>
        <v>5715545.3724325309</v>
      </c>
      <c r="F25" s="71">
        <f t="shared" si="4"/>
        <v>5715545.3724325309</v>
      </c>
      <c r="G25" s="71">
        <f t="shared" si="4"/>
        <v>5715545.3724325309</v>
      </c>
      <c r="H25" s="71">
        <f t="shared" si="4"/>
        <v>0</v>
      </c>
    </row>
    <row r="26" spans="1:8" ht="15.75" thickBot="1" x14ac:dyDescent="0.3"/>
    <row r="27" spans="1:8" ht="22.5" customHeight="1" thickBot="1" x14ac:dyDescent="0.3">
      <c r="A27" s="222" t="s">
        <v>102</v>
      </c>
      <c r="B27" s="223"/>
      <c r="C27" s="73">
        <f>C21+C25</f>
        <v>0</v>
      </c>
      <c r="D27" s="73">
        <f>D21+D25</f>
        <v>147705481.37243253</v>
      </c>
      <c r="E27" s="73">
        <f>E21+E25</f>
        <v>158425334.97243252</v>
      </c>
      <c r="F27" s="73">
        <f t="shared" ref="F27:H27" si="5">F21+F25</f>
        <v>173628643.53243256</v>
      </c>
      <c r="G27" s="73">
        <f t="shared" si="5"/>
        <v>190348222.72443256</v>
      </c>
      <c r="H27" s="73">
        <f t="shared" si="5"/>
        <v>203019910.62576008</v>
      </c>
    </row>
    <row r="28" spans="1:8" ht="15.75" thickBot="1" x14ac:dyDescent="0.3"/>
    <row r="29" spans="1:8" ht="15.75" thickBot="1" x14ac:dyDescent="0.3">
      <c r="A29" s="235" t="s">
        <v>103</v>
      </c>
      <c r="B29" s="236"/>
    </row>
    <row r="30" spans="1:8" x14ac:dyDescent="0.25">
      <c r="B30" s="74" t="s">
        <v>12</v>
      </c>
      <c r="C30" s="7">
        <f>'Proyección de Ventas e Incremen'!B18</f>
        <v>35091000</v>
      </c>
      <c r="D30" s="7">
        <f>C30</f>
        <v>35091000</v>
      </c>
      <c r="E30" s="7">
        <f t="shared" ref="E30:H30" si="6">D30</f>
        <v>35091000</v>
      </c>
      <c r="F30" s="7">
        <f t="shared" si="6"/>
        <v>35091000</v>
      </c>
      <c r="G30" s="7">
        <f t="shared" si="6"/>
        <v>35091000</v>
      </c>
      <c r="H30" s="7">
        <f t="shared" si="6"/>
        <v>35091000</v>
      </c>
    </row>
    <row r="31" spans="1:8" x14ac:dyDescent="0.25">
      <c r="B31" s="74" t="s">
        <v>287</v>
      </c>
      <c r="C31" s="7">
        <v>0</v>
      </c>
      <c r="D31" s="7">
        <v>-22566468</v>
      </c>
      <c r="E31" s="7">
        <v>-11564645</v>
      </c>
      <c r="F31" s="7">
        <v>3706150</v>
      </c>
      <c r="G31" s="7">
        <v>27888751</v>
      </c>
      <c r="H31" s="7">
        <v>69278600</v>
      </c>
    </row>
    <row r="32" spans="1:8" x14ac:dyDescent="0.25">
      <c r="B32" s="67" t="s">
        <v>163</v>
      </c>
      <c r="C32" s="7">
        <v>0</v>
      </c>
      <c r="D32" s="3">
        <f>'Estado de Resultados'!D24</f>
        <v>11076987.107918855</v>
      </c>
      <c r="E32" s="3">
        <f>'Estado de Resultados'!E24</f>
        <v>31648973.867918842</v>
      </c>
      <c r="F32" s="3">
        <f>'Estado de Resultados'!F24</f>
        <v>60179104.723118834</v>
      </c>
      <c r="G32" s="3">
        <f>'Estado de Resultados'!G24</f>
        <v>105269940.48555879</v>
      </c>
      <c r="H32" s="3">
        <f>'Estado de Resultados'!H24</f>
        <v>182327909.66914052</v>
      </c>
    </row>
    <row r="33" spans="1:10" ht="15.75" thickBot="1" x14ac:dyDescent="0.3">
      <c r="B33" s="47"/>
    </row>
    <row r="34" spans="1:10" ht="22.5" customHeight="1" thickBot="1" x14ac:dyDescent="0.3">
      <c r="A34" s="222" t="s">
        <v>104</v>
      </c>
      <c r="B34" s="223"/>
      <c r="C34" s="73">
        <f>SUM(C30:C32)</f>
        <v>35091000</v>
      </c>
      <c r="D34" s="73">
        <f>SUM(D30:D32)</f>
        <v>23601519.107918855</v>
      </c>
      <c r="E34" s="73">
        <f t="shared" ref="E34:H34" si="7">SUM(E30:E32)</f>
        <v>55175328.867918842</v>
      </c>
      <c r="F34" s="73">
        <f t="shared" si="7"/>
        <v>98976254.723118842</v>
      </c>
      <c r="G34" s="73">
        <f t="shared" si="7"/>
        <v>168249691.48555881</v>
      </c>
      <c r="H34" s="73">
        <f t="shared" si="7"/>
        <v>286697509.66914052</v>
      </c>
    </row>
    <row r="35" spans="1:10" ht="15.75" thickBot="1" x14ac:dyDescent="0.3"/>
    <row r="36" spans="1:10" ht="22.5" customHeight="1" thickBot="1" x14ac:dyDescent="0.3">
      <c r="A36" s="222" t="s">
        <v>164</v>
      </c>
      <c r="B36" s="223"/>
      <c r="C36" s="73">
        <f t="shared" ref="C36:H36" si="8">C27+C34</f>
        <v>35091000</v>
      </c>
      <c r="D36" s="73">
        <f>D27+D34</f>
        <v>171307000.48035139</v>
      </c>
      <c r="E36" s="73">
        <f t="shared" si="8"/>
        <v>213600663.84035137</v>
      </c>
      <c r="F36" s="73">
        <f t="shared" si="8"/>
        <v>272604898.2555514</v>
      </c>
      <c r="G36" s="73">
        <f t="shared" si="8"/>
        <v>358597914.20999134</v>
      </c>
      <c r="H36" s="73">
        <f t="shared" si="8"/>
        <v>489717420.2949006</v>
      </c>
      <c r="J36" s="39"/>
    </row>
    <row r="38" spans="1:10" x14ac:dyDescent="0.25">
      <c r="D38" s="39"/>
    </row>
  </sheetData>
  <mergeCells count="14">
    <mergeCell ref="A34:B34"/>
    <mergeCell ref="A36:B36"/>
    <mergeCell ref="A10:B10"/>
    <mergeCell ref="A1:H1"/>
    <mergeCell ref="A2:H2"/>
    <mergeCell ref="A4:B4"/>
    <mergeCell ref="A5:B5"/>
    <mergeCell ref="A6:B6"/>
    <mergeCell ref="A29:B29"/>
    <mergeCell ref="A16:B16"/>
    <mergeCell ref="A17:B17"/>
    <mergeCell ref="A18:B18"/>
    <mergeCell ref="A23:B23"/>
    <mergeCell ref="A27:B27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showGridLines="0" zoomScaleNormal="100" workbookViewId="0">
      <selection activeCell="D20" sqref="D20"/>
    </sheetView>
  </sheetViews>
  <sheetFormatPr baseColWidth="10" defaultRowHeight="15" x14ac:dyDescent="0.25"/>
  <cols>
    <col min="2" max="2" width="57.140625" customWidth="1"/>
    <col min="3" max="8" width="14.28515625" customWidth="1"/>
  </cols>
  <sheetData>
    <row r="1" spans="1:8" ht="30" customHeight="1" thickBot="1" x14ac:dyDescent="0.55000000000000004">
      <c r="A1" s="226" t="s">
        <v>220</v>
      </c>
      <c r="B1" s="227"/>
      <c r="C1" s="227"/>
      <c r="D1" s="227"/>
      <c r="E1" s="227"/>
      <c r="F1" s="227"/>
      <c r="G1" s="227"/>
      <c r="H1" s="227"/>
    </row>
    <row r="2" spans="1:8" ht="22.5" customHeight="1" thickBot="1" x14ac:dyDescent="0.4">
      <c r="A2" s="228" t="s">
        <v>279</v>
      </c>
      <c r="B2" s="229"/>
      <c r="C2" s="229"/>
      <c r="D2" s="229"/>
      <c r="E2" s="229"/>
      <c r="F2" s="229"/>
      <c r="G2" s="229"/>
      <c r="H2" s="229"/>
    </row>
    <row r="3" spans="1:8" ht="15.75" thickBot="1" x14ac:dyDescent="0.3"/>
    <row r="4" spans="1:8" ht="22.5" customHeight="1" thickBot="1" x14ac:dyDescent="0.3">
      <c r="A4" s="230" t="s">
        <v>90</v>
      </c>
      <c r="B4" s="231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32" t="s">
        <v>221</v>
      </c>
      <c r="B5" s="233"/>
    </row>
    <row r="6" spans="1:8" x14ac:dyDescent="0.25">
      <c r="B6" s="108" t="s">
        <v>247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108" t="s">
        <v>304</v>
      </c>
      <c r="C7" s="7"/>
      <c r="D7" s="7">
        <f>'Costos de Operación Gravables'!J10</f>
        <v>45480000</v>
      </c>
      <c r="E7" s="7">
        <f>'Costos de Operación Gravables'!K10</f>
        <v>48208800</v>
      </c>
      <c r="F7" s="7">
        <f>'Costos de Operación Gravables'!L10</f>
        <v>53029680.000000007</v>
      </c>
      <c r="G7" s="7">
        <f>'Costos de Operación Gravables'!M10</f>
        <v>58332648.000000015</v>
      </c>
      <c r="H7" s="7">
        <f>'Costos de Operación Gravables'!N10</f>
        <v>64165912.800000019</v>
      </c>
    </row>
    <row r="8" spans="1:8" ht="16.5" thickBot="1" x14ac:dyDescent="0.3">
      <c r="B8" s="70" t="s">
        <v>222</v>
      </c>
      <c r="C8" s="71">
        <f>SUM(C6:C7)</f>
        <v>0</v>
      </c>
      <c r="D8" s="71">
        <f>D6-D7</f>
        <v>117816000</v>
      </c>
      <c r="E8" s="71">
        <f t="shared" ref="E8:H8" si="0">E6-E7</f>
        <v>157380863.99999997</v>
      </c>
      <c r="F8" s="71">
        <f t="shared" si="0"/>
        <v>211564217.56799996</v>
      </c>
      <c r="G8" s="71">
        <f t="shared" si="0"/>
        <v>292254266.27759993</v>
      </c>
      <c r="H8" s="71">
        <f t="shared" si="0"/>
        <v>417540507.41742235</v>
      </c>
    </row>
    <row r="9" spans="1:8" ht="15.75" thickBot="1" x14ac:dyDescent="0.3"/>
    <row r="10" spans="1:8" ht="15.75" thickBot="1" x14ac:dyDescent="0.3">
      <c r="A10" s="235" t="s">
        <v>277</v>
      </c>
      <c r="B10" s="236"/>
    </row>
    <row r="11" spans="1:8" x14ac:dyDescent="0.25">
      <c r="A11" s="139"/>
      <c r="B11" s="108" t="s">
        <v>299</v>
      </c>
      <c r="C11" s="7"/>
      <c r="D11" s="7">
        <f>'Costos de Operación Gravables'!J4</f>
        <v>72000000</v>
      </c>
      <c r="E11" s="7">
        <f>'Costos de Operación Gravables'!K4</f>
        <v>79200000</v>
      </c>
      <c r="F11" s="7">
        <f>'Costos de Operación Gravables'!L4</f>
        <v>87120000</v>
      </c>
      <c r="G11" s="7">
        <f>'Costos de Operación Gravables'!M4</f>
        <v>95832000.000000015</v>
      </c>
      <c r="H11" s="7">
        <f>'Costos de Operación Gravables'!N4</f>
        <v>105415200.00000003</v>
      </c>
    </row>
    <row r="12" spans="1:8" x14ac:dyDescent="0.25">
      <c r="A12" s="139"/>
      <c r="B12" s="108" t="s">
        <v>303</v>
      </c>
      <c r="C12" s="7"/>
      <c r="D12" s="7">
        <f>'Costos de Operación Gravables'!J7</f>
        <v>21462936</v>
      </c>
      <c r="E12" s="7">
        <f>'Costos de Operación Gravables'!K7</f>
        <v>23609229.600000001</v>
      </c>
      <c r="F12" s="7">
        <f>'Costos de Operación Gravables'!L7</f>
        <v>25970152.560000002</v>
      </c>
      <c r="G12" s="7">
        <f>'Costos de Operación Gravables'!M7</f>
        <v>28567167.816000003</v>
      </c>
      <c r="H12" s="7">
        <f>'Costos de Operación Gravables'!N7</f>
        <v>31423884.597600006</v>
      </c>
    </row>
    <row r="13" spans="1:8" x14ac:dyDescent="0.25">
      <c r="B13" s="108" t="s">
        <v>300</v>
      </c>
      <c r="C13" s="7"/>
      <c r="D13" s="7">
        <f>'Costos de Operación Gravables'!J20</f>
        <v>156000</v>
      </c>
      <c r="E13" s="7">
        <f>'Costos de Operación Gravables'!K20</f>
        <v>165360</v>
      </c>
      <c r="F13" s="7">
        <f>'Costos de Operación Gravables'!L20</f>
        <v>175281.6</v>
      </c>
      <c r="G13" s="7">
        <f>'Costos de Operación Gravables'!M20</f>
        <v>185798.49600000001</v>
      </c>
      <c r="H13" s="7">
        <f>'Costos de Operación Gravables'!N20</f>
        <v>196946.40576000002</v>
      </c>
    </row>
    <row r="14" spans="1:8" ht="15.75" thickBot="1" x14ac:dyDescent="0.3">
      <c r="B14" s="108" t="s">
        <v>305</v>
      </c>
      <c r="C14" s="140"/>
      <c r="D14" s="140">
        <f>'Costos de Operación Gravables'!J24</f>
        <v>1440000</v>
      </c>
      <c r="E14" s="140">
        <f>'Costos de Operación Gravables'!K24</f>
        <v>1526400</v>
      </c>
      <c r="F14" s="140">
        <f>'Costos de Operación Gravables'!L24</f>
        <v>1617984</v>
      </c>
      <c r="G14" s="140">
        <f>'Costos de Operación Gravables'!M24</f>
        <v>1715063.04</v>
      </c>
      <c r="H14" s="140">
        <f>'Costos de Operación Gravables'!N24</f>
        <v>1817966.8224000002</v>
      </c>
    </row>
    <row r="15" spans="1:8" ht="16.5" thickBot="1" x14ac:dyDescent="0.3">
      <c r="B15" s="70" t="s">
        <v>276</v>
      </c>
      <c r="C15" s="71">
        <f>C8-C13</f>
        <v>0</v>
      </c>
      <c r="D15" s="71">
        <f>D8-SUM(D11:D14)</f>
        <v>22757064</v>
      </c>
      <c r="E15" s="71">
        <f t="shared" ref="E15:H15" si="1">E8-SUM(E11:E13)</f>
        <v>54406274.399999976</v>
      </c>
      <c r="F15" s="71">
        <f t="shared" si="1"/>
        <v>98298783.407999963</v>
      </c>
      <c r="G15" s="71">
        <f t="shared" si="1"/>
        <v>167669299.96559989</v>
      </c>
      <c r="H15" s="71">
        <f t="shared" si="1"/>
        <v>280504476.41406232</v>
      </c>
    </row>
    <row r="16" spans="1:8" ht="15.75" thickBot="1" x14ac:dyDescent="0.3"/>
    <row r="17" spans="1:8" ht="15.75" thickBot="1" x14ac:dyDescent="0.3">
      <c r="A17" s="235" t="s">
        <v>278</v>
      </c>
      <c r="B17" s="236"/>
    </row>
    <row r="18" spans="1:8" ht="15.75" thickBot="1" x14ac:dyDescent="0.3">
      <c r="B18" s="108" t="s">
        <v>301</v>
      </c>
      <c r="C18" s="7"/>
      <c r="D18" s="7">
        <f>'Amortización y Depreciación'!G4</f>
        <v>5715545.3724325309</v>
      </c>
      <c r="E18" s="7">
        <f>'Amortización y Depreciación'!G5</f>
        <v>5715545.3724325309</v>
      </c>
      <c r="F18" s="7">
        <f>'Amortización y Depreciación'!G6</f>
        <v>5715545.3724325309</v>
      </c>
      <c r="G18" s="7">
        <f>'Amortización y Depreciación'!G7</f>
        <v>5715545.3724325309</v>
      </c>
      <c r="H18" s="7"/>
    </row>
    <row r="19" spans="1:8" ht="16.5" thickBot="1" x14ac:dyDescent="0.3">
      <c r="B19" s="70" t="s">
        <v>280</v>
      </c>
      <c r="C19" s="71">
        <f>C15-C18</f>
        <v>0</v>
      </c>
      <c r="D19" s="71">
        <f t="shared" ref="D19:H19" si="2">D15-D18</f>
        <v>17041518.62756747</v>
      </c>
      <c r="E19" s="71">
        <f t="shared" si="2"/>
        <v>48690729.027567446</v>
      </c>
      <c r="F19" s="71">
        <f t="shared" si="2"/>
        <v>92583238.035567433</v>
      </c>
      <c r="G19" s="71">
        <f t="shared" si="2"/>
        <v>161953754.59316736</v>
      </c>
      <c r="H19" s="71">
        <f t="shared" si="2"/>
        <v>280504476.41406232</v>
      </c>
    </row>
    <row r="20" spans="1:8" ht="15.75" thickBot="1" x14ac:dyDescent="0.3"/>
    <row r="21" spans="1:8" ht="15.75" thickBot="1" x14ac:dyDescent="0.3">
      <c r="A21" s="235" t="s">
        <v>281</v>
      </c>
      <c r="B21" s="236"/>
    </row>
    <row r="22" spans="1:8" x14ac:dyDescent="0.25">
      <c r="B22" s="108" t="s">
        <v>282</v>
      </c>
      <c r="C22" s="7"/>
      <c r="D22" s="7">
        <f>D19*0.35</f>
        <v>5964531.5196486143</v>
      </c>
      <c r="E22" s="7">
        <f>E19*0.35</f>
        <v>17041755.159648605</v>
      </c>
      <c r="F22" s="7">
        <f t="shared" ref="F22:H22" si="3">F19*0.35</f>
        <v>32404133.312448598</v>
      </c>
      <c r="G22" s="7">
        <f t="shared" si="3"/>
        <v>56683814.107608572</v>
      </c>
      <c r="H22" s="7">
        <f t="shared" si="3"/>
        <v>98176566.744921803</v>
      </c>
    </row>
    <row r="23" spans="1:8" ht="15.75" thickBot="1" x14ac:dyDescent="0.3"/>
    <row r="24" spans="1:8" ht="23.25" customHeight="1" thickBot="1" x14ac:dyDescent="0.3">
      <c r="A24" s="230" t="s">
        <v>283</v>
      </c>
      <c r="B24" s="231"/>
      <c r="C24" s="73">
        <f>C19-C22</f>
        <v>0</v>
      </c>
      <c r="D24" s="73">
        <f>D19-D22</f>
        <v>11076987.107918855</v>
      </c>
      <c r="E24" s="73">
        <f t="shared" ref="E24:G24" si="4">E19-E22</f>
        <v>31648973.867918842</v>
      </c>
      <c r="F24" s="73">
        <f t="shared" si="4"/>
        <v>60179104.723118834</v>
      </c>
      <c r="G24" s="73">
        <f t="shared" si="4"/>
        <v>105269940.48555879</v>
      </c>
      <c r="H24" s="73">
        <f>H19-H22</f>
        <v>182327909.66914052</v>
      </c>
    </row>
    <row r="30" spans="1:8" ht="22.5" customHeight="1" x14ac:dyDescent="0.25"/>
  </sheetData>
  <mergeCells count="8">
    <mergeCell ref="A17:B17"/>
    <mergeCell ref="A21:B21"/>
    <mergeCell ref="A24:B24"/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"/>
  <sheetViews>
    <sheetView showGridLines="0" zoomScaleNormal="100" workbookViewId="0">
      <selection activeCell="I27" sqref="I2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26" t="s">
        <v>226</v>
      </c>
      <c r="B1" s="227"/>
      <c r="C1" s="227"/>
      <c r="D1" s="227"/>
      <c r="E1" s="227"/>
      <c r="F1" s="227"/>
      <c r="G1" s="227"/>
      <c r="H1" s="227"/>
    </row>
    <row r="2" spans="1:8" ht="22.5" customHeight="1" thickBot="1" x14ac:dyDescent="0.4">
      <c r="A2" s="228" t="s">
        <v>279</v>
      </c>
      <c r="B2" s="229"/>
      <c r="C2" s="229"/>
      <c r="D2" s="229"/>
      <c r="E2" s="229"/>
      <c r="F2" s="229"/>
      <c r="G2" s="229"/>
      <c r="H2" s="229"/>
    </row>
    <row r="3" spans="1:8" ht="15.75" thickBot="1" x14ac:dyDescent="0.3"/>
    <row r="4" spans="1:8" ht="22.5" customHeight="1" thickBot="1" x14ac:dyDescent="0.3">
      <c r="A4" s="230" t="s">
        <v>90</v>
      </c>
      <c r="B4" s="231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35" t="s">
        <v>168</v>
      </c>
      <c r="B5" s="236"/>
    </row>
    <row r="6" spans="1:8" x14ac:dyDescent="0.25">
      <c r="B6" s="83" t="s">
        <v>169</v>
      </c>
      <c r="C6" s="7">
        <f>'Proyección de Ventas e Incremen'!B17</f>
        <v>19300050</v>
      </c>
      <c r="D6" s="7"/>
      <c r="E6" s="7"/>
      <c r="F6" s="7"/>
      <c r="G6" s="7"/>
      <c r="H6" s="7"/>
    </row>
    <row r="7" spans="1:8" x14ac:dyDescent="0.25">
      <c r="B7" s="83" t="s">
        <v>173</v>
      </c>
      <c r="C7" s="7">
        <f>'Proyección de Ventas e Incremen'!B16</f>
        <v>15790950</v>
      </c>
      <c r="D7" s="7"/>
      <c r="E7" s="7"/>
      <c r="F7" s="7"/>
      <c r="G7" s="7"/>
      <c r="H7" s="7"/>
    </row>
    <row r="8" spans="1:8" ht="15.75" thickBot="1" x14ac:dyDescent="0.3">
      <c r="B8" s="83" t="s">
        <v>217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218</v>
      </c>
      <c r="C9" s="71">
        <f>SUM(C6:C8)</f>
        <v>35091000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235" t="s">
        <v>219</v>
      </c>
      <c r="B11" s="236"/>
    </row>
    <row r="12" spans="1:8" x14ac:dyDescent="0.25">
      <c r="B12" s="83" t="s">
        <v>223</v>
      </c>
      <c r="C12" s="3">
        <f>SUM('Costos de Operación Gravables'!B47:B49)</f>
        <v>35091000</v>
      </c>
      <c r="D12" s="3"/>
      <c r="E12" s="3"/>
      <c r="F12" s="3"/>
      <c r="G12" s="3"/>
      <c r="H12" s="3"/>
    </row>
    <row r="13" spans="1:8" x14ac:dyDescent="0.25">
      <c r="B13" s="83" t="s">
        <v>312</v>
      </c>
      <c r="C13" s="3"/>
      <c r="D13" s="3">
        <f>'Costos de Operación Gravables'!J10</f>
        <v>45480000</v>
      </c>
      <c r="E13" s="3">
        <f>'Costos de Operación Gravables'!K10</f>
        <v>48208800</v>
      </c>
      <c r="F13" s="3">
        <f>'Costos de Operación Gravables'!L10</f>
        <v>53029680.000000007</v>
      </c>
      <c r="G13" s="3">
        <f>'Costos de Operación Gravables'!M10</f>
        <v>58332648.000000015</v>
      </c>
      <c r="H13" s="3">
        <f>'Costos de Operación Gravables'!N10</f>
        <v>64165912.800000019</v>
      </c>
    </row>
    <row r="14" spans="1:8" x14ac:dyDescent="0.25">
      <c r="B14" s="83" t="s">
        <v>313</v>
      </c>
      <c r="C14" s="3"/>
      <c r="D14" s="3">
        <f>'Costos de Operación Gravables'!J20</f>
        <v>156000</v>
      </c>
      <c r="E14" s="3">
        <f>'Costos de Operación Gravables'!K20</f>
        <v>165360</v>
      </c>
      <c r="F14" s="3">
        <f>'Costos de Operación Gravables'!L20</f>
        <v>175281.6</v>
      </c>
      <c r="G14" s="3">
        <f>'Costos de Operación Gravables'!M20</f>
        <v>185798.49600000001</v>
      </c>
      <c r="H14" s="3">
        <f>'Costos de Operación Gravables'!N20</f>
        <v>196946.40576000002</v>
      </c>
    </row>
    <row r="15" spans="1:8" x14ac:dyDescent="0.25">
      <c r="B15" s="83" t="s">
        <v>309</v>
      </c>
      <c r="C15" s="3"/>
      <c r="D15" s="3">
        <f>'Costos de Operación Gravables'!J24</f>
        <v>1440000</v>
      </c>
      <c r="E15" s="3">
        <f>'Costos de Operación Gravables'!K24</f>
        <v>1526400</v>
      </c>
      <c r="F15" s="3">
        <f>'Costos de Operación Gravables'!L24</f>
        <v>1617984</v>
      </c>
      <c r="G15" s="3">
        <f>'Costos de Operación Gravables'!M24</f>
        <v>1715063.04</v>
      </c>
      <c r="H15" s="3">
        <f>'Costos de Operación Gravables'!N24</f>
        <v>1817966.8224000002</v>
      </c>
    </row>
    <row r="16" spans="1:8" x14ac:dyDescent="0.25">
      <c r="B16" s="83" t="s">
        <v>224</v>
      </c>
      <c r="C16" s="3"/>
      <c r="D16" s="3">
        <f>'Amortización y Depreciación'!G18</f>
        <v>1640000</v>
      </c>
      <c r="E16" s="3">
        <f>D16</f>
        <v>1640000</v>
      </c>
      <c r="F16" s="3">
        <f t="shared" ref="F16:H16" si="1">E16</f>
        <v>1640000</v>
      </c>
      <c r="G16" s="3">
        <f t="shared" si="1"/>
        <v>1640000</v>
      </c>
      <c r="H16" s="3">
        <f t="shared" si="1"/>
        <v>1640000</v>
      </c>
    </row>
    <row r="17" spans="1:8" x14ac:dyDescent="0.25">
      <c r="B17" s="83" t="s">
        <v>310</v>
      </c>
      <c r="C17" s="3"/>
      <c r="D17" s="3">
        <f>'Costos de Operación Gravables'!J4</f>
        <v>72000000</v>
      </c>
      <c r="E17" s="3">
        <f>'Costos de Operación Gravables'!K4</f>
        <v>79200000</v>
      </c>
      <c r="F17" s="3">
        <f>'Costos de Operación Gravables'!L4</f>
        <v>87120000</v>
      </c>
      <c r="G17" s="3">
        <f>'Costos de Operación Gravables'!M4</f>
        <v>95832000.000000015</v>
      </c>
      <c r="H17" s="3">
        <f>'Costos de Operación Gravables'!N4</f>
        <v>105415200.00000003</v>
      </c>
    </row>
    <row r="18" spans="1:8" x14ac:dyDescent="0.25">
      <c r="B18" s="83" t="s">
        <v>311</v>
      </c>
      <c r="C18" s="3"/>
      <c r="D18" s="3">
        <f>'Costos de Operación Gravables'!J7</f>
        <v>21462936</v>
      </c>
      <c r="E18" s="3">
        <f>'Costos de Operación Gravables'!K7</f>
        <v>23609229.600000001</v>
      </c>
      <c r="F18" s="3">
        <f>'Costos de Operación Gravables'!L7</f>
        <v>25970152.560000002</v>
      </c>
      <c r="G18" s="3">
        <f>'Costos de Operación Gravables'!M7</f>
        <v>28567167.816000003</v>
      </c>
      <c r="H18" s="3">
        <f>'Costos de Operación Gravables'!N7</f>
        <v>31423884.597600006</v>
      </c>
    </row>
    <row r="19" spans="1:8" x14ac:dyDescent="0.25">
      <c r="B19" s="83" t="s">
        <v>314</v>
      </c>
      <c r="C19" s="3"/>
      <c r="D19" s="3">
        <f>'Amortización y Depreciación'!G4</f>
        <v>5715545.3724325309</v>
      </c>
      <c r="E19" s="3">
        <f>'Amortización y Depreciación'!G5</f>
        <v>5715545.3724325309</v>
      </c>
      <c r="F19" s="3">
        <f>'Amortización y Depreciación'!G6</f>
        <v>5715545.3724325309</v>
      </c>
      <c r="G19" s="3">
        <f>'Amortización y Depreciación'!G7</f>
        <v>5715545.3724325309</v>
      </c>
      <c r="H19" s="3"/>
    </row>
    <row r="20" spans="1:8" ht="15.75" thickBot="1" x14ac:dyDescent="0.3">
      <c r="B20" s="83" t="s">
        <v>282</v>
      </c>
      <c r="C20" s="3"/>
      <c r="D20" s="3">
        <f>'Estado de Resultados'!D22</f>
        <v>5964531.5196486143</v>
      </c>
      <c r="E20" s="3">
        <f>'Estado de Resultados'!E22</f>
        <v>17041755.159648605</v>
      </c>
      <c r="F20" s="3">
        <f>'Estado de Resultados'!F22</f>
        <v>32404133.312448598</v>
      </c>
      <c r="G20" s="3">
        <f>'Estado de Resultados'!G22</f>
        <v>56683814.107608572</v>
      </c>
      <c r="H20" s="3">
        <f>'Estado de Resultados'!H22</f>
        <v>98176566.744921803</v>
      </c>
    </row>
    <row r="21" spans="1:8" ht="16.5" thickBot="1" x14ac:dyDescent="0.3">
      <c r="B21" s="70" t="s">
        <v>225</v>
      </c>
      <c r="C21" s="71">
        <f t="shared" ref="C21:H21" si="2">SUM(C12:C20)</f>
        <v>35091000</v>
      </c>
      <c r="D21" s="71">
        <f t="shared" si="2"/>
        <v>153859012.89208114</v>
      </c>
      <c r="E21" s="71">
        <f t="shared" si="2"/>
        <v>177107090.13208112</v>
      </c>
      <c r="F21" s="71">
        <f t="shared" si="2"/>
        <v>207672776.84488115</v>
      </c>
      <c r="G21" s="71">
        <f t="shared" si="2"/>
        <v>248672036.83204114</v>
      </c>
      <c r="H21" s="71">
        <f t="shared" si="2"/>
        <v>302836477.37068188</v>
      </c>
    </row>
    <row r="22" spans="1:8" ht="15.75" thickBot="1" x14ac:dyDescent="0.3"/>
    <row r="23" spans="1:8" ht="15.75" customHeight="1" thickBot="1" x14ac:dyDescent="0.3">
      <c r="A23" s="239" t="s">
        <v>233</v>
      </c>
      <c r="B23" s="240"/>
      <c r="C23" s="112">
        <f>-C21</f>
        <v>-35091000</v>
      </c>
      <c r="D23" s="71">
        <f>D9-D21</f>
        <v>9436987.1079188585</v>
      </c>
      <c r="E23" s="71">
        <f>E9-E21</f>
        <v>28482573.867918849</v>
      </c>
      <c r="F23" s="71">
        <f>F9-F21</f>
        <v>56921120.723118812</v>
      </c>
      <c r="G23" s="71">
        <f>G9-G21</f>
        <v>101914877.44555879</v>
      </c>
      <c r="H23" s="71">
        <f>H9-H21</f>
        <v>178869942.84674048</v>
      </c>
    </row>
    <row r="25" spans="1:8" x14ac:dyDescent="0.25">
      <c r="B25" s="15" t="s">
        <v>114</v>
      </c>
      <c r="C25" s="3"/>
      <c r="D25" s="3">
        <f>D16</f>
        <v>1640000</v>
      </c>
      <c r="E25" s="3">
        <f>D25</f>
        <v>1640000</v>
      </c>
      <c r="F25" s="3">
        <f t="shared" ref="F25:H25" si="3">E25</f>
        <v>1640000</v>
      </c>
      <c r="G25" s="3">
        <f t="shared" si="3"/>
        <v>1640000</v>
      </c>
      <c r="H25" s="3">
        <f t="shared" si="3"/>
        <v>1640000</v>
      </c>
    </row>
    <row r="26" spans="1:8" ht="15.75" thickBot="1" x14ac:dyDescent="0.3"/>
    <row r="27" spans="1:8" ht="22.5" customHeight="1" thickBot="1" x14ac:dyDescent="0.3">
      <c r="A27" s="222" t="s">
        <v>234</v>
      </c>
      <c r="B27" s="223"/>
      <c r="C27" s="73">
        <f>C23</f>
        <v>-35091000</v>
      </c>
      <c r="D27" s="73">
        <f>D23+D25</f>
        <v>11076987.107918859</v>
      </c>
      <c r="E27" s="73">
        <f t="shared" ref="E27:H27" si="4">E23+E25</f>
        <v>30122573.867918849</v>
      </c>
      <c r="F27" s="73">
        <f t="shared" si="4"/>
        <v>58561120.723118812</v>
      </c>
      <c r="G27" s="73">
        <f t="shared" si="4"/>
        <v>103554877.44555879</v>
      </c>
      <c r="H27" s="73">
        <f t="shared" si="4"/>
        <v>180509942.84674048</v>
      </c>
    </row>
    <row r="36" ht="22.5" customHeight="1" x14ac:dyDescent="0.25"/>
    <row r="37" ht="15" customHeight="1" x14ac:dyDescent="0.25"/>
  </sheetData>
  <mergeCells count="7">
    <mergeCell ref="A23:B23"/>
    <mergeCell ref="A27:B27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showGridLines="0" zoomScale="115" zoomScaleNormal="115" workbookViewId="0">
      <selection activeCell="N12" sqref="N12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26" t="s">
        <v>112</v>
      </c>
      <c r="B1" s="227"/>
      <c r="C1" s="227"/>
      <c r="D1" s="227"/>
      <c r="E1" s="227"/>
      <c r="F1" s="227"/>
      <c r="G1" s="227"/>
      <c r="H1" s="227"/>
    </row>
    <row r="2" spans="1:8" ht="22.5" customHeight="1" thickBot="1" x14ac:dyDescent="0.4">
      <c r="A2" s="228" t="s">
        <v>279</v>
      </c>
      <c r="B2" s="229"/>
      <c r="C2" s="229"/>
      <c r="D2" s="229"/>
      <c r="E2" s="229"/>
      <c r="F2" s="229"/>
      <c r="G2" s="229"/>
      <c r="H2" s="229"/>
    </row>
    <row r="3" spans="1:8" ht="15.75" thickBot="1" x14ac:dyDescent="0.3"/>
    <row r="4" spans="1:8" ht="22.5" customHeight="1" thickBot="1" x14ac:dyDescent="0.3">
      <c r="A4" s="230" t="s">
        <v>90</v>
      </c>
      <c r="B4" s="231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35" t="s">
        <v>113</v>
      </c>
      <c r="B5" s="236"/>
    </row>
    <row r="6" spans="1:8" x14ac:dyDescent="0.25">
      <c r="B6" s="137" t="s">
        <v>232</v>
      </c>
      <c r="C6" s="69">
        <f>'Flujo de Caja'!C27</f>
        <v>-35091000</v>
      </c>
      <c r="D6" s="69">
        <f>'Flujo de Caja'!D27</f>
        <v>11076987.107918859</v>
      </c>
      <c r="E6" s="69">
        <f>'Flujo de Caja'!E27</f>
        <v>30122573.867918849</v>
      </c>
      <c r="F6" s="69">
        <f>'Flujo de Caja'!F27</f>
        <v>58561120.723118812</v>
      </c>
      <c r="G6" s="69">
        <f>'Flujo de Caja'!G27</f>
        <v>103554877.44555879</v>
      </c>
      <c r="H6" s="69">
        <f>'Flujo de Caja'!H27</f>
        <v>180509942.84674048</v>
      </c>
    </row>
    <row r="7" spans="1:8" x14ac:dyDescent="0.25">
      <c r="B7" s="108" t="s">
        <v>292</v>
      </c>
      <c r="C7" s="7">
        <v>0</v>
      </c>
      <c r="D7" s="7">
        <f>'Flujo de Caja'!D16</f>
        <v>1640000</v>
      </c>
      <c r="E7" s="7">
        <f>'Flujo de Caja'!E16</f>
        <v>1640000</v>
      </c>
      <c r="F7" s="7">
        <f>'Flujo de Caja'!F16</f>
        <v>1640000</v>
      </c>
      <c r="G7" s="7">
        <f>'Flujo de Caja'!G16</f>
        <v>1640000</v>
      </c>
      <c r="H7" s="7">
        <f>'Flujo de Caja'!H16</f>
        <v>1640000</v>
      </c>
    </row>
    <row r="8" spans="1:8" x14ac:dyDescent="0.25">
      <c r="B8" s="138" t="s">
        <v>290</v>
      </c>
      <c r="C8" s="7">
        <v>0</v>
      </c>
      <c r="D8" s="7">
        <f>'Amortización y Depreciación'!H4</f>
        <v>3087931.2924325308</v>
      </c>
      <c r="E8" s="7">
        <f>'Amortización y Depreciación'!H5</f>
        <v>3601763.0594933042</v>
      </c>
      <c r="F8" s="7">
        <f>'Amortización y Depreciación'!H6</f>
        <v>4201096.4325929899</v>
      </c>
      <c r="G8" s="7">
        <f>'Amortización y Depreciación'!H7</f>
        <v>4900158.8789764633</v>
      </c>
      <c r="H8" s="7">
        <f>'Amortización y Depreciación'!H8</f>
        <v>-5.5994384038448329E-2</v>
      </c>
    </row>
    <row r="9" spans="1:8" x14ac:dyDescent="0.25">
      <c r="B9" s="138" t="s">
        <v>291</v>
      </c>
      <c r="C9" s="72">
        <v>0</v>
      </c>
      <c r="D9" s="7">
        <f>'Amortización y Depreciación'!F4</f>
        <v>2627614.08</v>
      </c>
      <c r="E9" s="7">
        <f>'Amortización y Depreciación'!F5</f>
        <v>2113782.3129392266</v>
      </c>
      <c r="F9" s="7">
        <f>'Amortización y Depreciación'!F6</f>
        <v>1514448.939839541</v>
      </c>
      <c r="G9" s="7">
        <f>'Amortización y Depreciación'!F7</f>
        <v>815386.49345606752</v>
      </c>
      <c r="H9" s="7">
        <f>'Amortización y Depreciación'!F8</f>
        <v>5.5994384038448329E-2</v>
      </c>
    </row>
    <row r="10" spans="1:8" x14ac:dyDescent="0.25">
      <c r="B10" s="138" t="s">
        <v>231</v>
      </c>
      <c r="C10" s="72">
        <f>'Flujo de Caja'!C20</f>
        <v>0</v>
      </c>
      <c r="D10" s="72">
        <f>'Flujo de Caja'!D20</f>
        <v>5964531.5196486143</v>
      </c>
      <c r="E10" s="72">
        <f>'Flujo de Caja'!E20</f>
        <v>17041755.159648605</v>
      </c>
      <c r="F10" s="72">
        <f>'Flujo de Caja'!F20</f>
        <v>32404133.312448598</v>
      </c>
      <c r="G10" s="72">
        <f>'Flujo de Caja'!G20</f>
        <v>56683814.107608572</v>
      </c>
      <c r="H10" s="72">
        <f>'Flujo de Caja'!H20</f>
        <v>98176566.744921803</v>
      </c>
    </row>
    <row r="11" spans="1:8" x14ac:dyDescent="0.25">
      <c r="B11" s="108" t="s">
        <v>308</v>
      </c>
      <c r="C11" s="7">
        <v>0</v>
      </c>
      <c r="D11" s="7">
        <f>'Costos de Operación Gravables'!J20</f>
        <v>156000</v>
      </c>
      <c r="E11" s="7">
        <f>'Costos de Operación Gravables'!K20</f>
        <v>165360</v>
      </c>
      <c r="F11" s="7">
        <f>'Costos de Operación Gravables'!L20</f>
        <v>175281.6</v>
      </c>
      <c r="G11" s="7">
        <f>'Costos de Operación Gravables'!M20</f>
        <v>185798.49600000001</v>
      </c>
      <c r="H11" s="7">
        <f>'Costos de Operación Gravables'!N20</f>
        <v>196946.40576000002</v>
      </c>
    </row>
    <row r="12" spans="1:8" x14ac:dyDescent="0.25">
      <c r="B12" s="108" t="s">
        <v>309</v>
      </c>
      <c r="C12" s="7">
        <v>0</v>
      </c>
      <c r="D12" s="7">
        <f>'Costos de Operación Gravables'!J24</f>
        <v>1440000</v>
      </c>
      <c r="E12" s="7">
        <f>'Costos de Operación Gravables'!K24</f>
        <v>1526400</v>
      </c>
      <c r="F12" s="7">
        <f>'Costos de Operación Gravables'!L24</f>
        <v>1617984</v>
      </c>
      <c r="G12" s="7">
        <f>'Costos de Operación Gravables'!M24</f>
        <v>1715063.04</v>
      </c>
      <c r="H12" s="7">
        <f>'Costos de Operación Gravables'!N24</f>
        <v>1817966.8224000002</v>
      </c>
    </row>
    <row r="13" spans="1:8" ht="16.5" thickBot="1" x14ac:dyDescent="0.3">
      <c r="B13" s="141" t="s">
        <v>115</v>
      </c>
      <c r="C13" s="142">
        <f>SUM(C6:C12)</f>
        <v>-35091000</v>
      </c>
      <c r="D13" s="142">
        <f>SUM(D6:D12)</f>
        <v>25993064.000000004</v>
      </c>
      <c r="E13" s="142">
        <f t="shared" ref="E13:H13" si="0">SUM(E6:E12)</f>
        <v>56211634.399999984</v>
      </c>
      <c r="F13" s="142">
        <f t="shared" si="0"/>
        <v>100114065.00799993</v>
      </c>
      <c r="G13" s="142">
        <f t="shared" si="0"/>
        <v>169495098.46159986</v>
      </c>
      <c r="H13" s="142">
        <f t="shared" si="0"/>
        <v>282341422.81982225</v>
      </c>
    </row>
    <row r="14" spans="1:8" ht="15.75" thickBot="1" x14ac:dyDescent="0.3"/>
    <row r="15" spans="1:8" ht="15.75" thickBot="1" x14ac:dyDescent="0.3">
      <c r="A15" s="235" t="s">
        <v>116</v>
      </c>
      <c r="B15" s="236"/>
    </row>
    <row r="16" spans="1:8" ht="15.75" thickBot="1" x14ac:dyDescent="0.3">
      <c r="B16" s="108" t="s">
        <v>227</v>
      </c>
      <c r="C16" s="69">
        <f>'Inversión Inicial'!B5</f>
        <v>8200000</v>
      </c>
      <c r="D16" s="3">
        <f>0</f>
        <v>0</v>
      </c>
      <c r="E16" s="3">
        <f>0</f>
        <v>0</v>
      </c>
      <c r="F16" s="3">
        <f>0</f>
        <v>0</v>
      </c>
      <c r="G16" s="3">
        <f>0</f>
        <v>0</v>
      </c>
      <c r="H16" s="3">
        <f>0</f>
        <v>0</v>
      </c>
    </row>
    <row r="17" spans="1:8" ht="16.5" thickBot="1" x14ac:dyDescent="0.3">
      <c r="B17" s="70" t="s">
        <v>117</v>
      </c>
      <c r="C17" s="71">
        <f t="shared" ref="C17:H17" si="1">SUM(C16:C16)</f>
        <v>8200000</v>
      </c>
      <c r="D17" s="71">
        <f t="shared" si="1"/>
        <v>0</v>
      </c>
      <c r="E17" s="71">
        <f t="shared" si="1"/>
        <v>0</v>
      </c>
      <c r="F17" s="71">
        <f t="shared" si="1"/>
        <v>0</v>
      </c>
      <c r="G17" s="71">
        <f t="shared" si="1"/>
        <v>0</v>
      </c>
      <c r="H17" s="71">
        <f t="shared" si="1"/>
        <v>0</v>
      </c>
    </row>
    <row r="18" spans="1:8" ht="15.75" thickBot="1" x14ac:dyDescent="0.3"/>
    <row r="19" spans="1:8" ht="15.75" thickBot="1" x14ac:dyDescent="0.3">
      <c r="A19" s="235" t="s">
        <v>118</v>
      </c>
      <c r="B19" s="236"/>
    </row>
    <row r="20" spans="1:8" x14ac:dyDescent="0.25">
      <c r="B20" s="137" t="s">
        <v>230</v>
      </c>
      <c r="C20" s="7">
        <f>'Proyección de Ventas e Incremen'!B17</f>
        <v>19300050</v>
      </c>
      <c r="D20" s="7">
        <f>0</f>
        <v>0</v>
      </c>
      <c r="E20" s="7">
        <f>0</f>
        <v>0</v>
      </c>
      <c r="F20" s="7">
        <f>0</f>
        <v>0</v>
      </c>
      <c r="G20" s="7">
        <f>0</f>
        <v>0</v>
      </c>
      <c r="H20" s="7">
        <f>0</f>
        <v>0</v>
      </c>
    </row>
    <row r="21" spans="1:8" x14ac:dyDescent="0.25">
      <c r="B21" s="108" t="s">
        <v>228</v>
      </c>
      <c r="C21" s="7">
        <f>'Proyección de Ventas e Incremen'!B16</f>
        <v>15790950</v>
      </c>
      <c r="D21" s="7">
        <f>0</f>
        <v>0</v>
      </c>
      <c r="E21" s="7">
        <f>0</f>
        <v>0</v>
      </c>
      <c r="F21" s="7">
        <f>0</f>
        <v>0</v>
      </c>
      <c r="G21" s="7">
        <f>0</f>
        <v>0</v>
      </c>
      <c r="H21" s="7">
        <f>0</f>
        <v>0</v>
      </c>
    </row>
    <row r="22" spans="1:8" x14ac:dyDescent="0.25">
      <c r="B22" s="108" t="s">
        <v>119</v>
      </c>
      <c r="C22" s="7">
        <f t="shared" ref="C22:H23" si="2">C8</f>
        <v>0</v>
      </c>
      <c r="D22" s="7">
        <f t="shared" si="2"/>
        <v>3087931.2924325308</v>
      </c>
      <c r="E22" s="7">
        <f t="shared" si="2"/>
        <v>3601763.0594933042</v>
      </c>
      <c r="F22" s="7">
        <f t="shared" si="2"/>
        <v>4201096.4325929899</v>
      </c>
      <c r="G22" s="7">
        <f t="shared" si="2"/>
        <v>4900158.8789764633</v>
      </c>
      <c r="H22" s="7">
        <f t="shared" si="2"/>
        <v>-5.5994384038448329E-2</v>
      </c>
    </row>
    <row r="23" spans="1:8" x14ac:dyDescent="0.25">
      <c r="B23" s="108" t="s">
        <v>111</v>
      </c>
      <c r="C23" s="7">
        <f t="shared" si="2"/>
        <v>0</v>
      </c>
      <c r="D23" s="7">
        <f t="shared" si="2"/>
        <v>2627614.08</v>
      </c>
      <c r="E23" s="7">
        <f t="shared" si="2"/>
        <v>2113782.3129392266</v>
      </c>
      <c r="F23" s="7">
        <f t="shared" si="2"/>
        <v>1514448.939839541</v>
      </c>
      <c r="G23" s="7">
        <f t="shared" si="2"/>
        <v>815386.49345606752</v>
      </c>
      <c r="H23" s="7">
        <f t="shared" si="2"/>
        <v>5.5994384038448329E-2</v>
      </c>
    </row>
    <row r="24" spans="1:8" ht="15.75" thickBot="1" x14ac:dyDescent="0.3">
      <c r="B24" s="108" t="s">
        <v>229</v>
      </c>
      <c r="C24" s="7">
        <v>0</v>
      </c>
      <c r="D24" s="7">
        <f>ABS('Balance General'!$D$31-'Balance General'!D31)</f>
        <v>0</v>
      </c>
      <c r="E24" s="7">
        <f>ABS('Balance General'!$D$31-'Balance General'!E31)</f>
        <v>11001823</v>
      </c>
      <c r="F24" s="7">
        <f>ABS('Balance General'!$D$31-'Balance General'!F31)</f>
        <v>26272618</v>
      </c>
      <c r="G24" s="7">
        <f>ABS('Balance General'!$D$31-'Balance General'!G31)</f>
        <v>50455219</v>
      </c>
      <c r="H24" s="7">
        <f>ABS('Balance General'!$D$31-'Balance General'!H31)</f>
        <v>91845068</v>
      </c>
    </row>
    <row r="25" spans="1:8" ht="16.5" thickBot="1" x14ac:dyDescent="0.3">
      <c r="B25" s="70" t="s">
        <v>120</v>
      </c>
      <c r="C25" s="71">
        <f>SUM(C20:C24)</f>
        <v>35091000</v>
      </c>
      <c r="D25" s="71">
        <f t="shared" ref="D25:H25" si="3">SUM(D20:D24)</f>
        <v>5715545.3724325309</v>
      </c>
      <c r="E25" s="71">
        <f t="shared" si="3"/>
        <v>16717368.37243253</v>
      </c>
      <c r="F25" s="71">
        <f t="shared" si="3"/>
        <v>31988163.37243253</v>
      </c>
      <c r="G25" s="71">
        <f t="shared" si="3"/>
        <v>56170764.37243253</v>
      </c>
      <c r="H25" s="71">
        <f t="shared" si="3"/>
        <v>91845068</v>
      </c>
    </row>
  </sheetData>
  <mergeCells count="6">
    <mergeCell ref="A19:B19"/>
    <mergeCell ref="A1:H1"/>
    <mergeCell ref="A2:H2"/>
    <mergeCell ref="A4:B4"/>
    <mergeCell ref="A5:B5"/>
    <mergeCell ref="A15:B15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zoomScale="115" zoomScaleNormal="115" workbookViewId="0">
      <selection activeCell="C22" sqref="C22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  <col min="8" max="8" width="17" customWidth="1"/>
    <col min="9" max="9" width="23.42578125" customWidth="1"/>
    <col min="10" max="10" width="16.140625" customWidth="1"/>
  </cols>
  <sheetData>
    <row r="1" spans="1:10" ht="15.75" thickBot="1" x14ac:dyDescent="0.3"/>
    <row r="2" spans="1:10" ht="15.75" thickBot="1" x14ac:dyDescent="0.3">
      <c r="B2" s="241" t="s">
        <v>135</v>
      </c>
      <c r="C2" s="242"/>
      <c r="G2" s="249" t="s">
        <v>142</v>
      </c>
      <c r="H2" s="250"/>
      <c r="I2" s="250"/>
      <c r="J2" s="251"/>
    </row>
    <row r="3" spans="1:10" x14ac:dyDescent="0.25">
      <c r="B3" s="15" t="s">
        <v>235</v>
      </c>
      <c r="C3" s="125">
        <f>'Proyección de Ventas e Incremen'!J21</f>
        <v>2752.2935779816517</v>
      </c>
      <c r="G3" s="247" t="s">
        <v>121</v>
      </c>
      <c r="H3" s="248"/>
      <c r="I3" s="130" t="s">
        <v>122</v>
      </c>
      <c r="J3" s="130" t="s">
        <v>123</v>
      </c>
    </row>
    <row r="4" spans="1:10" x14ac:dyDescent="0.25">
      <c r="A4" s="75"/>
      <c r="B4" s="15" t="s">
        <v>236</v>
      </c>
      <c r="C4" s="93">
        <f>SUM('Proyección de Ventas e Incremen'!J18:J19)*12</f>
        <v>59330.879999999997</v>
      </c>
      <c r="G4" s="252" t="s">
        <v>124</v>
      </c>
      <c r="H4" s="253"/>
      <c r="I4" s="78">
        <v>0</v>
      </c>
      <c r="J4" s="78">
        <f>'Costos de Operación Gravables'!J15</f>
        <v>140393936</v>
      </c>
    </row>
    <row r="5" spans="1:10" x14ac:dyDescent="0.25">
      <c r="B5" s="15" t="s">
        <v>237</v>
      </c>
      <c r="C5" s="125">
        <f>C3*C4</f>
        <v>163296000</v>
      </c>
      <c r="G5" s="133" t="s">
        <v>125</v>
      </c>
      <c r="H5" s="78">
        <f>J4</f>
        <v>140393936</v>
      </c>
      <c r="I5" s="78">
        <v>0</v>
      </c>
      <c r="J5" s="78">
        <v>0</v>
      </c>
    </row>
    <row r="6" spans="1:10" x14ac:dyDescent="0.25">
      <c r="B6" s="15" t="s">
        <v>238</v>
      </c>
      <c r="C6" s="125">
        <f>'Costos de Operación Gravables'!J29</f>
        <v>141989936</v>
      </c>
      <c r="G6" s="252" t="s">
        <v>126</v>
      </c>
      <c r="H6" s="253"/>
      <c r="I6" s="78">
        <f>'Costos de Operación Gravables'!J26</f>
        <v>1596000</v>
      </c>
      <c r="J6" s="78">
        <v>0</v>
      </c>
    </row>
    <row r="7" spans="1:10" x14ac:dyDescent="0.25">
      <c r="B7" s="15" t="s">
        <v>239</v>
      </c>
      <c r="C7" s="125">
        <f>C6/C4</f>
        <v>2393.1877632693127</v>
      </c>
      <c r="G7" s="252" t="s">
        <v>132</v>
      </c>
      <c r="H7" s="253"/>
      <c r="I7" s="78">
        <v>0</v>
      </c>
      <c r="J7" s="78">
        <f>'Amortización y Depreciación'!G18</f>
        <v>1640000</v>
      </c>
    </row>
    <row r="8" spans="1:10" x14ac:dyDescent="0.25">
      <c r="B8" s="15" t="s">
        <v>268</v>
      </c>
      <c r="C8" s="125"/>
      <c r="G8" s="252" t="s">
        <v>133</v>
      </c>
      <c r="H8" s="253"/>
      <c r="I8" s="78">
        <v>0</v>
      </c>
      <c r="J8" s="78">
        <v>0</v>
      </c>
    </row>
    <row r="9" spans="1:10" x14ac:dyDescent="0.25">
      <c r="B9" s="15" t="s">
        <v>240</v>
      </c>
      <c r="C9" s="15"/>
      <c r="G9" s="245" t="s">
        <v>127</v>
      </c>
      <c r="H9" s="246"/>
      <c r="I9" s="81">
        <f>SUM(I4:I8)</f>
        <v>1596000</v>
      </c>
      <c r="J9" s="81">
        <f>SUM(J4:J8)</f>
        <v>142033936</v>
      </c>
    </row>
    <row r="10" spans="1:10" x14ac:dyDescent="0.25">
      <c r="G10" s="80" t="s">
        <v>128</v>
      </c>
      <c r="H10" s="79">
        <v>0.1</v>
      </c>
      <c r="I10" s="78">
        <f>I9*$H$10</f>
        <v>159600</v>
      </c>
      <c r="J10" s="78">
        <f>J9*$H$10</f>
        <v>14203393.600000001</v>
      </c>
    </row>
    <row r="11" spans="1:10" x14ac:dyDescent="0.25">
      <c r="G11" s="131" t="s">
        <v>28</v>
      </c>
      <c r="H11" s="132"/>
      <c r="I11" s="82">
        <f>I9+I10</f>
        <v>1755600</v>
      </c>
      <c r="J11" s="82">
        <f>J9+J10</f>
        <v>156237329.59999999</v>
      </c>
    </row>
    <row r="16" spans="1:10" ht="15.75" thickBot="1" x14ac:dyDescent="0.3"/>
    <row r="17" spans="2:8" ht="15.75" thickBot="1" x14ac:dyDescent="0.3">
      <c r="B17" s="243" t="s">
        <v>129</v>
      </c>
      <c r="C17" s="244"/>
      <c r="G17" s="243" t="s">
        <v>129</v>
      </c>
      <c r="H17" s="244"/>
    </row>
    <row r="18" spans="2:8" x14ac:dyDescent="0.25">
      <c r="B18" s="84" t="s">
        <v>130</v>
      </c>
      <c r="C18" s="134">
        <f>C4</f>
        <v>59330.879999999997</v>
      </c>
      <c r="G18" s="84" t="s">
        <v>130</v>
      </c>
      <c r="H18" s="134">
        <f>'[1]Proyección de Ventas e Incremen'!J18</f>
        <v>408.24</v>
      </c>
    </row>
    <row r="19" spans="2:8" x14ac:dyDescent="0.25">
      <c r="B19" s="85" t="s">
        <v>131</v>
      </c>
      <c r="C19" s="78">
        <f>J11/C18</f>
        <v>2633.3223036637919</v>
      </c>
      <c r="G19" s="85" t="s">
        <v>131</v>
      </c>
      <c r="H19" s="78">
        <f>J11/H18</f>
        <v>382709.50813247106</v>
      </c>
    </row>
    <row r="20" spans="2:8" x14ac:dyDescent="0.25">
      <c r="B20" s="85" t="s">
        <v>136</v>
      </c>
      <c r="C20" s="78">
        <f>SUM(I11:J11)/C18</f>
        <v>2662.9122912048497</v>
      </c>
      <c r="G20" s="85" t="s">
        <v>136</v>
      </c>
      <c r="H20" s="78">
        <f>SUM(I11:J11)/H18</f>
        <v>387009.91965510481</v>
      </c>
    </row>
    <row r="21" spans="2:8" x14ac:dyDescent="0.25">
      <c r="B21" s="85" t="s">
        <v>134</v>
      </c>
      <c r="C21" s="78">
        <f>C20*0.19</f>
        <v>505.95333532892147</v>
      </c>
      <c r="G21" s="85" t="s">
        <v>134</v>
      </c>
      <c r="H21" s="78">
        <f>H20*0.19</f>
        <v>73531.884734469917</v>
      </c>
    </row>
    <row r="22" spans="2:8" x14ac:dyDescent="0.25">
      <c r="B22" s="85" t="s">
        <v>137</v>
      </c>
      <c r="C22" s="78">
        <f>C20+C21</f>
        <v>3168.8656265337713</v>
      </c>
      <c r="G22" s="85" t="s">
        <v>137</v>
      </c>
      <c r="H22" s="78">
        <f>SUM(H20:H21)</f>
        <v>460541.80438957474</v>
      </c>
    </row>
    <row r="23" spans="2:8" x14ac:dyDescent="0.25">
      <c r="B23" s="85" t="s">
        <v>135</v>
      </c>
      <c r="C23" s="113">
        <f>((C20-C19)*C18)/(C22-C20)</f>
        <v>3469.8852194712263</v>
      </c>
      <c r="G23" s="85" t="s">
        <v>135</v>
      </c>
      <c r="H23" s="113">
        <f>((H20-H19)*H18)/(H22-H20)</f>
        <v>23.87535701471036</v>
      </c>
    </row>
    <row r="24" spans="2:8" ht="15.75" thickBot="1" x14ac:dyDescent="0.3"/>
    <row r="25" spans="2:8" ht="15.75" thickBot="1" x14ac:dyDescent="0.3">
      <c r="B25" s="243" t="s">
        <v>138</v>
      </c>
      <c r="C25" s="244"/>
      <c r="G25" s="243" t="s">
        <v>138</v>
      </c>
      <c r="H25" s="244"/>
    </row>
    <row r="26" spans="2:8" x14ac:dyDescent="0.25">
      <c r="B26" s="84" t="s">
        <v>140</v>
      </c>
      <c r="C26" s="86">
        <f>C22</f>
        <v>3168.8656265337713</v>
      </c>
      <c r="G26" s="84" t="s">
        <v>140</v>
      </c>
      <c r="H26" s="86">
        <f>H22</f>
        <v>460541.80438957474</v>
      </c>
    </row>
    <row r="27" spans="2:8" x14ac:dyDescent="0.25">
      <c r="B27" s="85" t="s">
        <v>139</v>
      </c>
      <c r="C27" s="113">
        <f>C18</f>
        <v>59330.879999999997</v>
      </c>
      <c r="G27" s="85" t="s">
        <v>139</v>
      </c>
      <c r="H27" s="113">
        <f>H18</f>
        <v>408.24</v>
      </c>
    </row>
    <row r="28" spans="2:8" x14ac:dyDescent="0.25">
      <c r="B28" s="85" t="s">
        <v>141</v>
      </c>
      <c r="C28" s="78">
        <f>C26*C27</f>
        <v>188011586.22400001</v>
      </c>
      <c r="G28" s="85" t="s">
        <v>141</v>
      </c>
      <c r="H28" s="78">
        <f>H26*H27</f>
        <v>188011586.22400001</v>
      </c>
    </row>
  </sheetData>
  <mergeCells count="12">
    <mergeCell ref="B2:C2"/>
    <mergeCell ref="B25:C25"/>
    <mergeCell ref="G9:H9"/>
    <mergeCell ref="G3:H3"/>
    <mergeCell ref="B17:C17"/>
    <mergeCell ref="G2:J2"/>
    <mergeCell ref="G6:H6"/>
    <mergeCell ref="G4:H4"/>
    <mergeCell ref="G7:H7"/>
    <mergeCell ref="G8:H8"/>
    <mergeCell ref="G17:H17"/>
    <mergeCell ref="G25:H25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5004"/>
  <sheetViews>
    <sheetView showGridLines="0" zoomScale="85" zoomScaleNormal="85" workbookViewId="0">
      <selection activeCell="M45" sqref="M45"/>
    </sheetView>
  </sheetViews>
  <sheetFormatPr baseColWidth="10" defaultRowHeight="15" x14ac:dyDescent="0.25"/>
  <cols>
    <col min="2" max="2" width="11.42578125" style="90"/>
    <col min="3" max="3" width="12.5703125" bestFit="1" customWidth="1"/>
    <col min="4" max="4" width="12.5703125" style="87" bestFit="1" customWidth="1"/>
  </cols>
  <sheetData>
    <row r="1" spans="2:4" x14ac:dyDescent="0.25">
      <c r="C1" s="88">
        <f>'Costos Fijos y Punto de Equil.'!I11</f>
        <v>1755600</v>
      </c>
      <c r="D1" s="60"/>
    </row>
    <row r="2" spans="2:4" x14ac:dyDescent="0.25">
      <c r="C2" s="89">
        <f>'Costos Fijos y Punto de Equil.'!C20</f>
        <v>2662.9122912048497</v>
      </c>
      <c r="D2" s="89">
        <f>'Costos Fijos y Punto de Equil.'!C22</f>
        <v>3168.8656265337713</v>
      </c>
    </row>
    <row r="3" spans="2:4" x14ac:dyDescent="0.25">
      <c r="C3" s="91" t="s">
        <v>143</v>
      </c>
      <c r="D3" s="92" t="s">
        <v>144</v>
      </c>
    </row>
    <row r="4" spans="2:4" x14ac:dyDescent="0.25">
      <c r="B4" s="90">
        <v>0</v>
      </c>
      <c r="C4" s="39">
        <f>($C$2*B4)+$C$1</f>
        <v>1755600</v>
      </c>
      <c r="D4" s="39">
        <f>$D$2*B4</f>
        <v>0</v>
      </c>
    </row>
    <row r="5" spans="2:4" x14ac:dyDescent="0.25">
      <c r="B5" s="90">
        <v>1</v>
      </c>
      <c r="C5" s="39">
        <f t="shared" ref="C5:C68" si="0">($C$2*B5)+$C$1</f>
        <v>1758262.9122912048</v>
      </c>
      <c r="D5" s="39">
        <f t="shared" ref="D5:D68" si="1">$D$2*B5</f>
        <v>3168.8656265337713</v>
      </c>
    </row>
    <row r="6" spans="2:4" x14ac:dyDescent="0.25">
      <c r="B6" s="90">
        <v>2</v>
      </c>
      <c r="C6" s="39">
        <f t="shared" si="0"/>
        <v>1760925.8245824098</v>
      </c>
      <c r="D6" s="39">
        <f t="shared" si="1"/>
        <v>6337.7312530675426</v>
      </c>
    </row>
    <row r="7" spans="2:4" x14ac:dyDescent="0.25">
      <c r="B7" s="90">
        <v>3</v>
      </c>
      <c r="C7" s="39">
        <f t="shared" si="0"/>
        <v>1763588.7368736146</v>
      </c>
      <c r="D7" s="39">
        <f t="shared" si="1"/>
        <v>9506.5968796013149</v>
      </c>
    </row>
    <row r="8" spans="2:4" x14ac:dyDescent="0.25">
      <c r="B8" s="90">
        <v>4</v>
      </c>
      <c r="C8" s="39">
        <f t="shared" si="0"/>
        <v>1766251.6491648194</v>
      </c>
      <c r="D8" s="39">
        <f t="shared" si="1"/>
        <v>12675.462506135085</v>
      </c>
    </row>
    <row r="9" spans="2:4" x14ac:dyDescent="0.25">
      <c r="B9" s="90">
        <v>5</v>
      </c>
      <c r="C9" s="39">
        <f t="shared" si="0"/>
        <v>1768914.5614560242</v>
      </c>
      <c r="D9" s="39">
        <f t="shared" si="1"/>
        <v>15844.328132668856</v>
      </c>
    </row>
    <row r="10" spans="2:4" x14ac:dyDescent="0.25">
      <c r="B10" s="90">
        <v>6</v>
      </c>
      <c r="C10" s="39">
        <f t="shared" si="0"/>
        <v>1771577.4737472292</v>
      </c>
      <c r="D10" s="39">
        <f t="shared" si="1"/>
        <v>19013.19375920263</v>
      </c>
    </row>
    <row r="11" spans="2:4" x14ac:dyDescent="0.25">
      <c r="B11" s="90">
        <v>7</v>
      </c>
      <c r="C11" s="39">
        <f t="shared" si="0"/>
        <v>1774240.386038434</v>
      </c>
      <c r="D11" s="39">
        <f t="shared" si="1"/>
        <v>22182.0593857364</v>
      </c>
    </row>
    <row r="12" spans="2:4" x14ac:dyDescent="0.25">
      <c r="B12" s="90">
        <v>8</v>
      </c>
      <c r="C12" s="39">
        <f t="shared" si="0"/>
        <v>1776903.2983296388</v>
      </c>
      <c r="D12" s="39">
        <f t="shared" si="1"/>
        <v>25350.925012270171</v>
      </c>
    </row>
    <row r="13" spans="2:4" x14ac:dyDescent="0.25">
      <c r="B13" s="90">
        <v>9</v>
      </c>
      <c r="C13" s="39">
        <f t="shared" si="0"/>
        <v>1779566.2106208436</v>
      </c>
      <c r="D13" s="39">
        <f t="shared" si="1"/>
        <v>28519.790638803941</v>
      </c>
    </row>
    <row r="14" spans="2:4" x14ac:dyDescent="0.25">
      <c r="B14" s="90">
        <v>10</v>
      </c>
      <c r="C14" s="39">
        <f t="shared" si="0"/>
        <v>1782229.1229120486</v>
      </c>
      <c r="D14" s="39">
        <f t="shared" si="1"/>
        <v>31688.656265337711</v>
      </c>
    </row>
    <row r="15" spans="2:4" x14ac:dyDescent="0.25">
      <c r="B15" s="90">
        <v>11</v>
      </c>
      <c r="C15" s="39">
        <f t="shared" si="0"/>
        <v>1784892.0352032534</v>
      </c>
      <c r="D15" s="39">
        <f t="shared" si="1"/>
        <v>34857.521891871482</v>
      </c>
    </row>
    <row r="16" spans="2:4" x14ac:dyDescent="0.25">
      <c r="B16" s="90">
        <v>12</v>
      </c>
      <c r="C16" s="39">
        <f t="shared" si="0"/>
        <v>1787554.9474944582</v>
      </c>
      <c r="D16" s="39">
        <f t="shared" si="1"/>
        <v>38026.387518405259</v>
      </c>
    </row>
    <row r="17" spans="2:4" x14ac:dyDescent="0.25">
      <c r="B17" s="90">
        <v>13</v>
      </c>
      <c r="C17" s="39">
        <f t="shared" si="0"/>
        <v>1790217.859785663</v>
      </c>
      <c r="D17" s="39">
        <f t="shared" si="1"/>
        <v>41195.25314493903</v>
      </c>
    </row>
    <row r="18" spans="2:4" x14ac:dyDescent="0.25">
      <c r="B18" s="90">
        <v>14</v>
      </c>
      <c r="C18" s="39">
        <f t="shared" si="0"/>
        <v>1792880.772076868</v>
      </c>
      <c r="D18" s="39">
        <f t="shared" si="1"/>
        <v>44364.1187714728</v>
      </c>
    </row>
    <row r="19" spans="2:4" x14ac:dyDescent="0.25">
      <c r="B19" s="90">
        <v>15</v>
      </c>
      <c r="C19" s="39">
        <f t="shared" si="0"/>
        <v>1795543.6843680728</v>
      </c>
      <c r="D19" s="39">
        <f t="shared" si="1"/>
        <v>47532.984398006571</v>
      </c>
    </row>
    <row r="20" spans="2:4" x14ac:dyDescent="0.25">
      <c r="B20" s="90">
        <v>16</v>
      </c>
      <c r="C20" s="39">
        <f t="shared" si="0"/>
        <v>1798206.5966592776</v>
      </c>
      <c r="D20" s="39">
        <f t="shared" si="1"/>
        <v>50701.850024540341</v>
      </c>
    </row>
    <row r="21" spans="2:4" x14ac:dyDescent="0.25">
      <c r="B21" s="90">
        <v>17</v>
      </c>
      <c r="C21" s="39">
        <f t="shared" si="0"/>
        <v>1800869.5089504824</v>
      </c>
      <c r="D21" s="39">
        <f t="shared" si="1"/>
        <v>53870.715651074112</v>
      </c>
    </row>
    <row r="22" spans="2:4" x14ac:dyDescent="0.25">
      <c r="B22" s="90">
        <v>18</v>
      </c>
      <c r="C22" s="39">
        <f t="shared" si="0"/>
        <v>1803532.4212416874</v>
      </c>
      <c r="D22" s="39">
        <f t="shared" si="1"/>
        <v>57039.581277607882</v>
      </c>
    </row>
    <row r="23" spans="2:4" x14ac:dyDescent="0.25">
      <c r="B23" s="90">
        <v>19</v>
      </c>
      <c r="C23" s="39">
        <f t="shared" si="0"/>
        <v>1806195.3335328922</v>
      </c>
      <c r="D23" s="39">
        <f t="shared" si="1"/>
        <v>60208.446904141652</v>
      </c>
    </row>
    <row r="24" spans="2:4" x14ac:dyDescent="0.25">
      <c r="B24" s="90">
        <v>20</v>
      </c>
      <c r="C24" s="39">
        <f t="shared" si="0"/>
        <v>1808858.245824097</v>
      </c>
      <c r="D24" s="39">
        <f t="shared" si="1"/>
        <v>63377.312530675423</v>
      </c>
    </row>
    <row r="25" spans="2:4" x14ac:dyDescent="0.25">
      <c r="B25" s="90">
        <v>21</v>
      </c>
      <c r="C25" s="39">
        <f t="shared" si="0"/>
        <v>1811521.1581153017</v>
      </c>
      <c r="D25" s="39">
        <f t="shared" si="1"/>
        <v>66546.1781572092</v>
      </c>
    </row>
    <row r="26" spans="2:4" x14ac:dyDescent="0.25">
      <c r="B26" s="90">
        <v>22</v>
      </c>
      <c r="C26" s="39">
        <f t="shared" si="0"/>
        <v>1814184.0704065068</v>
      </c>
      <c r="D26" s="39">
        <f t="shared" si="1"/>
        <v>69715.043783742964</v>
      </c>
    </row>
    <row r="27" spans="2:4" x14ac:dyDescent="0.25">
      <c r="B27" s="90">
        <v>23</v>
      </c>
      <c r="C27" s="39">
        <f t="shared" si="0"/>
        <v>1816846.9826977116</v>
      </c>
      <c r="D27" s="39">
        <f t="shared" si="1"/>
        <v>72883.909410276741</v>
      </c>
    </row>
    <row r="28" spans="2:4" x14ac:dyDescent="0.25">
      <c r="B28" s="90">
        <v>24</v>
      </c>
      <c r="C28" s="39">
        <f t="shared" si="0"/>
        <v>1819509.8949889163</v>
      </c>
      <c r="D28" s="39">
        <f t="shared" si="1"/>
        <v>76052.775036810519</v>
      </c>
    </row>
    <row r="29" spans="2:4" x14ac:dyDescent="0.25">
      <c r="B29" s="90">
        <v>25</v>
      </c>
      <c r="C29" s="39">
        <f t="shared" si="0"/>
        <v>1822172.8072801211</v>
      </c>
      <c r="D29" s="39">
        <f t="shared" si="1"/>
        <v>79221.640663344282</v>
      </c>
    </row>
    <row r="30" spans="2:4" x14ac:dyDescent="0.25">
      <c r="B30" s="90">
        <v>26</v>
      </c>
      <c r="C30" s="39">
        <f t="shared" si="0"/>
        <v>1824835.7195713262</v>
      </c>
      <c r="D30" s="39">
        <f t="shared" si="1"/>
        <v>82390.50628987806</v>
      </c>
    </row>
    <row r="31" spans="2:4" x14ac:dyDescent="0.25">
      <c r="B31" s="90">
        <v>27</v>
      </c>
      <c r="C31" s="39">
        <f t="shared" si="0"/>
        <v>1827498.631862531</v>
      </c>
      <c r="D31" s="39">
        <f t="shared" si="1"/>
        <v>85559.371916411823</v>
      </c>
    </row>
    <row r="32" spans="2:4" x14ac:dyDescent="0.25">
      <c r="B32" s="90">
        <v>28</v>
      </c>
      <c r="C32" s="39">
        <f t="shared" si="0"/>
        <v>1830161.5441537357</v>
      </c>
      <c r="D32" s="39">
        <f t="shared" si="1"/>
        <v>88728.237542945601</v>
      </c>
    </row>
    <row r="33" spans="2:4" x14ac:dyDescent="0.25">
      <c r="B33" s="90">
        <v>29</v>
      </c>
      <c r="C33" s="39">
        <f t="shared" si="0"/>
        <v>1832824.4564449405</v>
      </c>
      <c r="D33" s="39">
        <f t="shared" si="1"/>
        <v>91897.103169479364</v>
      </c>
    </row>
    <row r="34" spans="2:4" x14ac:dyDescent="0.25">
      <c r="B34" s="90">
        <v>30</v>
      </c>
      <c r="C34" s="39">
        <f t="shared" si="0"/>
        <v>1835487.3687361456</v>
      </c>
      <c r="D34" s="39">
        <f t="shared" si="1"/>
        <v>95065.968796013141</v>
      </c>
    </row>
    <row r="35" spans="2:4" x14ac:dyDescent="0.25">
      <c r="B35" s="90">
        <v>31</v>
      </c>
      <c r="C35" s="39">
        <f t="shared" si="0"/>
        <v>1838150.2810273503</v>
      </c>
      <c r="D35" s="39">
        <f t="shared" si="1"/>
        <v>98234.834422546905</v>
      </c>
    </row>
    <row r="36" spans="2:4" x14ac:dyDescent="0.25">
      <c r="B36" s="90">
        <v>32</v>
      </c>
      <c r="C36" s="39">
        <f t="shared" si="0"/>
        <v>1840813.1933185551</v>
      </c>
      <c r="D36" s="39">
        <f t="shared" si="1"/>
        <v>101403.70004908068</v>
      </c>
    </row>
    <row r="37" spans="2:4" x14ac:dyDescent="0.25">
      <c r="B37" s="90">
        <v>33</v>
      </c>
      <c r="C37" s="39">
        <f t="shared" si="0"/>
        <v>1843476.1056097602</v>
      </c>
      <c r="D37" s="39">
        <f t="shared" si="1"/>
        <v>104572.56567561446</v>
      </c>
    </row>
    <row r="38" spans="2:4" x14ac:dyDescent="0.25">
      <c r="B38" s="90">
        <v>34</v>
      </c>
      <c r="C38" s="39">
        <f t="shared" si="0"/>
        <v>1846139.0179009649</v>
      </c>
      <c r="D38" s="39">
        <f t="shared" si="1"/>
        <v>107741.43130214822</v>
      </c>
    </row>
    <row r="39" spans="2:4" x14ac:dyDescent="0.25">
      <c r="B39" s="90">
        <v>35</v>
      </c>
      <c r="C39" s="39">
        <f t="shared" si="0"/>
        <v>1848801.9301921697</v>
      </c>
      <c r="D39" s="39">
        <f t="shared" si="1"/>
        <v>110910.296928682</v>
      </c>
    </row>
    <row r="40" spans="2:4" x14ac:dyDescent="0.25">
      <c r="B40" s="90">
        <v>36</v>
      </c>
      <c r="C40" s="39">
        <f t="shared" si="0"/>
        <v>1851464.8424833745</v>
      </c>
      <c r="D40" s="39">
        <f t="shared" si="1"/>
        <v>114079.16255521576</v>
      </c>
    </row>
    <row r="41" spans="2:4" x14ac:dyDescent="0.25">
      <c r="B41" s="90">
        <v>37</v>
      </c>
      <c r="C41" s="39">
        <f t="shared" si="0"/>
        <v>1854127.7547745795</v>
      </c>
      <c r="D41" s="39">
        <f t="shared" si="1"/>
        <v>117248.02818174954</v>
      </c>
    </row>
    <row r="42" spans="2:4" x14ac:dyDescent="0.25">
      <c r="B42" s="90">
        <v>38</v>
      </c>
      <c r="C42" s="39">
        <f t="shared" si="0"/>
        <v>1856790.6670657843</v>
      </c>
      <c r="D42" s="39">
        <f t="shared" si="1"/>
        <v>120416.8938082833</v>
      </c>
    </row>
    <row r="43" spans="2:4" x14ac:dyDescent="0.25">
      <c r="B43" s="90">
        <v>39</v>
      </c>
      <c r="C43" s="39">
        <f t="shared" si="0"/>
        <v>1859453.5793569891</v>
      </c>
      <c r="D43" s="39">
        <f t="shared" si="1"/>
        <v>123585.75943481708</v>
      </c>
    </row>
    <row r="44" spans="2:4" x14ac:dyDescent="0.25">
      <c r="B44" s="90">
        <v>40</v>
      </c>
      <c r="C44" s="39">
        <f t="shared" si="0"/>
        <v>1862116.4916481939</v>
      </c>
      <c r="D44" s="39">
        <f t="shared" si="1"/>
        <v>126754.62506135085</v>
      </c>
    </row>
    <row r="45" spans="2:4" x14ac:dyDescent="0.25">
      <c r="B45" s="90">
        <v>41</v>
      </c>
      <c r="C45" s="39">
        <f t="shared" si="0"/>
        <v>1864779.4039393989</v>
      </c>
      <c r="D45" s="39">
        <f t="shared" si="1"/>
        <v>129923.49068788462</v>
      </c>
    </row>
    <row r="46" spans="2:4" x14ac:dyDescent="0.25">
      <c r="B46" s="90">
        <v>42</v>
      </c>
      <c r="C46" s="39">
        <f t="shared" si="0"/>
        <v>1867442.3162306037</v>
      </c>
      <c r="D46" s="39">
        <f t="shared" si="1"/>
        <v>133092.3563144184</v>
      </c>
    </row>
    <row r="47" spans="2:4" x14ac:dyDescent="0.25">
      <c r="B47" s="90">
        <v>43</v>
      </c>
      <c r="C47" s="39">
        <f t="shared" si="0"/>
        <v>1870105.2285218085</v>
      </c>
      <c r="D47" s="39">
        <f t="shared" si="1"/>
        <v>136261.22194095218</v>
      </c>
    </row>
    <row r="48" spans="2:4" x14ac:dyDescent="0.25">
      <c r="B48" s="90">
        <v>44</v>
      </c>
      <c r="C48" s="39">
        <f t="shared" si="0"/>
        <v>1872768.1408130133</v>
      </c>
      <c r="D48" s="39">
        <f t="shared" si="1"/>
        <v>139430.08756748593</v>
      </c>
    </row>
    <row r="49" spans="2:4" x14ac:dyDescent="0.25">
      <c r="B49" s="90">
        <v>45</v>
      </c>
      <c r="C49" s="39">
        <f t="shared" si="0"/>
        <v>1875431.0531042183</v>
      </c>
      <c r="D49" s="39">
        <f t="shared" si="1"/>
        <v>142598.9531940197</v>
      </c>
    </row>
    <row r="50" spans="2:4" x14ac:dyDescent="0.25">
      <c r="B50" s="90">
        <v>46</v>
      </c>
      <c r="C50" s="39">
        <f t="shared" si="0"/>
        <v>1878093.9653954231</v>
      </c>
      <c r="D50" s="39">
        <f t="shared" si="1"/>
        <v>145767.81882055348</v>
      </c>
    </row>
    <row r="51" spans="2:4" x14ac:dyDescent="0.25">
      <c r="B51" s="90">
        <v>47</v>
      </c>
      <c r="C51" s="39">
        <f t="shared" si="0"/>
        <v>1880756.8776866279</v>
      </c>
      <c r="D51" s="39">
        <f t="shared" si="1"/>
        <v>148936.68444708726</v>
      </c>
    </row>
    <row r="52" spans="2:4" x14ac:dyDescent="0.25">
      <c r="B52" s="90">
        <v>48</v>
      </c>
      <c r="C52" s="39">
        <f t="shared" si="0"/>
        <v>1883419.7899778327</v>
      </c>
      <c r="D52" s="39">
        <f t="shared" si="1"/>
        <v>152105.55007362104</v>
      </c>
    </row>
    <row r="53" spans="2:4" x14ac:dyDescent="0.25">
      <c r="B53" s="90">
        <v>49</v>
      </c>
      <c r="C53" s="39">
        <f t="shared" si="0"/>
        <v>1886082.7022690377</v>
      </c>
      <c r="D53" s="39">
        <f t="shared" si="1"/>
        <v>155274.41570015479</v>
      </c>
    </row>
    <row r="54" spans="2:4" x14ac:dyDescent="0.25">
      <c r="B54" s="90">
        <v>50</v>
      </c>
      <c r="C54" s="39">
        <f t="shared" si="0"/>
        <v>1888745.6145602425</v>
      </c>
      <c r="D54" s="39">
        <f t="shared" si="1"/>
        <v>158443.28132668856</v>
      </c>
    </row>
    <row r="55" spans="2:4" x14ac:dyDescent="0.25">
      <c r="B55" s="90">
        <v>51</v>
      </c>
      <c r="C55" s="39">
        <f t="shared" si="0"/>
        <v>1891408.5268514473</v>
      </c>
      <c r="D55" s="39">
        <f t="shared" si="1"/>
        <v>161612.14695322234</v>
      </c>
    </row>
    <row r="56" spans="2:4" x14ac:dyDescent="0.25">
      <c r="B56" s="90">
        <v>52</v>
      </c>
      <c r="C56" s="39">
        <f t="shared" si="0"/>
        <v>1894071.4391426521</v>
      </c>
      <c r="D56" s="39">
        <f t="shared" si="1"/>
        <v>164781.01257975612</v>
      </c>
    </row>
    <row r="57" spans="2:4" x14ac:dyDescent="0.25">
      <c r="B57" s="90">
        <v>53</v>
      </c>
      <c r="C57" s="39">
        <f t="shared" si="0"/>
        <v>1896734.3514338571</v>
      </c>
      <c r="D57" s="39">
        <f t="shared" si="1"/>
        <v>167949.87820628987</v>
      </c>
    </row>
    <row r="58" spans="2:4" x14ac:dyDescent="0.25">
      <c r="B58" s="90">
        <v>54</v>
      </c>
      <c r="C58" s="39">
        <f t="shared" si="0"/>
        <v>1899397.2637250619</v>
      </c>
      <c r="D58" s="39">
        <f t="shared" si="1"/>
        <v>171118.74383282365</v>
      </c>
    </row>
    <row r="59" spans="2:4" x14ac:dyDescent="0.25">
      <c r="B59" s="90">
        <v>55</v>
      </c>
      <c r="C59" s="39">
        <f t="shared" si="0"/>
        <v>1902060.1760162667</v>
      </c>
      <c r="D59" s="39">
        <f t="shared" si="1"/>
        <v>174287.60945935742</v>
      </c>
    </row>
    <row r="60" spans="2:4" x14ac:dyDescent="0.25">
      <c r="B60" s="90">
        <v>56</v>
      </c>
      <c r="C60" s="39">
        <f t="shared" si="0"/>
        <v>1904723.0883074715</v>
      </c>
      <c r="D60" s="39">
        <f t="shared" si="1"/>
        <v>177456.4750858912</v>
      </c>
    </row>
    <row r="61" spans="2:4" x14ac:dyDescent="0.25">
      <c r="B61" s="90">
        <v>57</v>
      </c>
      <c r="C61" s="39">
        <f t="shared" si="0"/>
        <v>1907386.0005986765</v>
      </c>
      <c r="D61" s="39">
        <f t="shared" si="1"/>
        <v>180625.34071242498</v>
      </c>
    </row>
    <row r="62" spans="2:4" x14ac:dyDescent="0.25">
      <c r="B62" s="90">
        <v>58</v>
      </c>
      <c r="C62" s="39">
        <f t="shared" si="0"/>
        <v>1910048.9128898813</v>
      </c>
      <c r="D62" s="39">
        <f t="shared" si="1"/>
        <v>183794.20633895873</v>
      </c>
    </row>
    <row r="63" spans="2:4" x14ac:dyDescent="0.25">
      <c r="B63" s="90">
        <v>59</v>
      </c>
      <c r="C63" s="39">
        <f t="shared" si="0"/>
        <v>1912711.8251810861</v>
      </c>
      <c r="D63" s="39">
        <f t="shared" si="1"/>
        <v>186963.07196549251</v>
      </c>
    </row>
    <row r="64" spans="2:4" x14ac:dyDescent="0.25">
      <c r="B64" s="90">
        <v>60</v>
      </c>
      <c r="C64" s="39">
        <f t="shared" si="0"/>
        <v>1915374.7374722911</v>
      </c>
      <c r="D64" s="39">
        <f t="shared" si="1"/>
        <v>190131.93759202628</v>
      </c>
    </row>
    <row r="65" spans="2:4" x14ac:dyDescent="0.25">
      <c r="B65" s="90">
        <v>61</v>
      </c>
      <c r="C65" s="39">
        <f t="shared" si="0"/>
        <v>1918037.6497634959</v>
      </c>
      <c r="D65" s="39">
        <f t="shared" si="1"/>
        <v>193300.80321856006</v>
      </c>
    </row>
    <row r="66" spans="2:4" x14ac:dyDescent="0.25">
      <c r="B66" s="90">
        <v>62</v>
      </c>
      <c r="C66" s="39">
        <f t="shared" si="0"/>
        <v>1920700.5620547007</v>
      </c>
      <c r="D66" s="39">
        <f t="shared" si="1"/>
        <v>196469.66884509381</v>
      </c>
    </row>
    <row r="67" spans="2:4" x14ac:dyDescent="0.25">
      <c r="B67" s="90">
        <v>63</v>
      </c>
      <c r="C67" s="39">
        <f t="shared" si="0"/>
        <v>1923363.4743459055</v>
      </c>
      <c r="D67" s="39">
        <f t="shared" si="1"/>
        <v>199638.53447162759</v>
      </c>
    </row>
    <row r="68" spans="2:4" x14ac:dyDescent="0.25">
      <c r="B68" s="90">
        <v>64</v>
      </c>
      <c r="C68" s="39">
        <f t="shared" si="0"/>
        <v>1926026.3866371103</v>
      </c>
      <c r="D68" s="39">
        <f t="shared" si="1"/>
        <v>202807.40009816136</v>
      </c>
    </row>
    <row r="69" spans="2:4" x14ac:dyDescent="0.25">
      <c r="B69" s="90">
        <v>65</v>
      </c>
      <c r="C69" s="39">
        <f t="shared" ref="C69:C132" si="2">($C$2*B69)+$C$1</f>
        <v>1928689.2989283153</v>
      </c>
      <c r="D69" s="39">
        <f t="shared" ref="D69:D132" si="3">$D$2*B69</f>
        <v>205976.26572469514</v>
      </c>
    </row>
    <row r="70" spans="2:4" x14ac:dyDescent="0.25">
      <c r="B70" s="90">
        <v>66</v>
      </c>
      <c r="C70" s="39">
        <f t="shared" si="2"/>
        <v>1931352.2112195201</v>
      </c>
      <c r="D70" s="39">
        <f t="shared" si="3"/>
        <v>209145.13135122892</v>
      </c>
    </row>
    <row r="71" spans="2:4" x14ac:dyDescent="0.25">
      <c r="B71" s="90">
        <v>67</v>
      </c>
      <c r="C71" s="39">
        <f t="shared" si="2"/>
        <v>1934015.1235107249</v>
      </c>
      <c r="D71" s="39">
        <f t="shared" si="3"/>
        <v>212313.99697776267</v>
      </c>
    </row>
    <row r="72" spans="2:4" x14ac:dyDescent="0.25">
      <c r="B72" s="90">
        <v>68</v>
      </c>
      <c r="C72" s="39">
        <f t="shared" si="2"/>
        <v>1936678.0358019299</v>
      </c>
      <c r="D72" s="39">
        <f t="shared" si="3"/>
        <v>215482.86260429645</v>
      </c>
    </row>
    <row r="73" spans="2:4" x14ac:dyDescent="0.25">
      <c r="B73" s="90">
        <v>69</v>
      </c>
      <c r="C73" s="39">
        <f t="shared" si="2"/>
        <v>1939340.9480931347</v>
      </c>
      <c r="D73" s="39">
        <f t="shared" si="3"/>
        <v>218651.72823083022</v>
      </c>
    </row>
    <row r="74" spans="2:4" x14ac:dyDescent="0.25">
      <c r="B74" s="90">
        <v>70</v>
      </c>
      <c r="C74" s="39">
        <f t="shared" si="2"/>
        <v>1942003.8603843395</v>
      </c>
      <c r="D74" s="39">
        <f t="shared" si="3"/>
        <v>221820.593857364</v>
      </c>
    </row>
    <row r="75" spans="2:4" x14ac:dyDescent="0.25">
      <c r="B75" s="90">
        <v>71</v>
      </c>
      <c r="C75" s="39">
        <f t="shared" si="2"/>
        <v>1944666.7726755443</v>
      </c>
      <c r="D75" s="39">
        <f t="shared" si="3"/>
        <v>224989.45948389775</v>
      </c>
    </row>
    <row r="76" spans="2:4" x14ac:dyDescent="0.25">
      <c r="B76" s="90">
        <v>72</v>
      </c>
      <c r="C76" s="39">
        <f t="shared" si="2"/>
        <v>1947329.684966749</v>
      </c>
      <c r="D76" s="39">
        <f t="shared" si="3"/>
        <v>228158.32511043153</v>
      </c>
    </row>
    <row r="77" spans="2:4" x14ac:dyDescent="0.25">
      <c r="B77" s="90">
        <v>73</v>
      </c>
      <c r="C77" s="39">
        <f t="shared" si="2"/>
        <v>1949992.5972579541</v>
      </c>
      <c r="D77" s="39">
        <f t="shared" si="3"/>
        <v>231327.19073696531</v>
      </c>
    </row>
    <row r="78" spans="2:4" x14ac:dyDescent="0.25">
      <c r="B78" s="90">
        <v>74</v>
      </c>
      <c r="C78" s="39">
        <f t="shared" si="2"/>
        <v>1952655.5095491589</v>
      </c>
      <c r="D78" s="39">
        <f t="shared" si="3"/>
        <v>234496.05636349908</v>
      </c>
    </row>
    <row r="79" spans="2:4" x14ac:dyDescent="0.25">
      <c r="B79" s="90">
        <v>75</v>
      </c>
      <c r="C79" s="39">
        <f t="shared" si="2"/>
        <v>1955318.4218403636</v>
      </c>
      <c r="D79" s="39">
        <f t="shared" si="3"/>
        <v>237664.92199003286</v>
      </c>
    </row>
    <row r="80" spans="2:4" x14ac:dyDescent="0.25">
      <c r="B80" s="90">
        <v>76</v>
      </c>
      <c r="C80" s="39">
        <f t="shared" si="2"/>
        <v>1957981.3341315687</v>
      </c>
      <c r="D80" s="39">
        <f t="shared" si="3"/>
        <v>240833.78761656661</v>
      </c>
    </row>
    <row r="81" spans="2:4" x14ac:dyDescent="0.25">
      <c r="B81" s="90">
        <v>77</v>
      </c>
      <c r="C81" s="39">
        <f t="shared" si="2"/>
        <v>1960644.2464227735</v>
      </c>
      <c r="D81" s="39">
        <f t="shared" si="3"/>
        <v>244002.65324310039</v>
      </c>
    </row>
    <row r="82" spans="2:4" x14ac:dyDescent="0.25">
      <c r="B82" s="90">
        <v>78</v>
      </c>
      <c r="C82" s="39">
        <f t="shared" si="2"/>
        <v>1963307.1587139782</v>
      </c>
      <c r="D82" s="39">
        <f t="shared" si="3"/>
        <v>247171.51886963416</v>
      </c>
    </row>
    <row r="83" spans="2:4" x14ac:dyDescent="0.25">
      <c r="B83" s="90">
        <v>79</v>
      </c>
      <c r="C83" s="39">
        <f t="shared" si="2"/>
        <v>1965970.071005183</v>
      </c>
      <c r="D83" s="39">
        <f t="shared" si="3"/>
        <v>250340.38449616794</v>
      </c>
    </row>
    <row r="84" spans="2:4" x14ac:dyDescent="0.25">
      <c r="B84" s="90">
        <v>80</v>
      </c>
      <c r="C84" s="39">
        <f t="shared" si="2"/>
        <v>1968632.9832963881</v>
      </c>
      <c r="D84" s="39">
        <f t="shared" si="3"/>
        <v>253509.25012270169</v>
      </c>
    </row>
    <row r="85" spans="2:4" x14ac:dyDescent="0.25">
      <c r="B85" s="90">
        <v>81</v>
      </c>
      <c r="C85" s="39">
        <f t="shared" si="2"/>
        <v>1971295.8955875929</v>
      </c>
      <c r="D85" s="39">
        <f t="shared" si="3"/>
        <v>256678.11574923547</v>
      </c>
    </row>
    <row r="86" spans="2:4" x14ac:dyDescent="0.25">
      <c r="B86" s="90">
        <v>82</v>
      </c>
      <c r="C86" s="39">
        <f t="shared" si="2"/>
        <v>1973958.8078787976</v>
      </c>
      <c r="D86" s="39">
        <f t="shared" si="3"/>
        <v>259846.98137576925</v>
      </c>
    </row>
    <row r="87" spans="2:4" x14ac:dyDescent="0.25">
      <c r="B87" s="90">
        <v>83</v>
      </c>
      <c r="C87" s="39">
        <f t="shared" si="2"/>
        <v>1976621.7201700024</v>
      </c>
      <c r="D87" s="39">
        <f t="shared" si="3"/>
        <v>263015.84700230299</v>
      </c>
    </row>
    <row r="88" spans="2:4" x14ac:dyDescent="0.25">
      <c r="B88" s="90">
        <v>84</v>
      </c>
      <c r="C88" s="39">
        <f t="shared" si="2"/>
        <v>1979284.6324612075</v>
      </c>
      <c r="D88" s="39">
        <f t="shared" si="3"/>
        <v>266184.7126288368</v>
      </c>
    </row>
    <row r="89" spans="2:4" x14ac:dyDescent="0.25">
      <c r="B89" s="90">
        <v>85</v>
      </c>
      <c r="C89" s="39">
        <f t="shared" si="2"/>
        <v>1981947.5447524122</v>
      </c>
      <c r="D89" s="39">
        <f t="shared" si="3"/>
        <v>269353.57825537055</v>
      </c>
    </row>
    <row r="90" spans="2:4" x14ac:dyDescent="0.25">
      <c r="B90" s="90">
        <v>86</v>
      </c>
      <c r="C90" s="39">
        <f t="shared" si="2"/>
        <v>1984610.457043617</v>
      </c>
      <c r="D90" s="39">
        <f t="shared" si="3"/>
        <v>272522.44388190436</v>
      </c>
    </row>
    <row r="91" spans="2:4" x14ac:dyDescent="0.25">
      <c r="B91" s="90">
        <v>87</v>
      </c>
      <c r="C91" s="39">
        <f t="shared" si="2"/>
        <v>1987273.3693348218</v>
      </c>
      <c r="D91" s="39">
        <f t="shared" si="3"/>
        <v>275691.30950843811</v>
      </c>
    </row>
    <row r="92" spans="2:4" x14ac:dyDescent="0.25">
      <c r="B92" s="90">
        <v>88</v>
      </c>
      <c r="C92" s="39">
        <f t="shared" si="2"/>
        <v>1989936.2816260268</v>
      </c>
      <c r="D92" s="39">
        <f t="shared" si="3"/>
        <v>278860.17513497185</v>
      </c>
    </row>
    <row r="93" spans="2:4" x14ac:dyDescent="0.25">
      <c r="B93" s="90">
        <v>89</v>
      </c>
      <c r="C93" s="39">
        <f t="shared" si="2"/>
        <v>1992599.1939172316</v>
      </c>
      <c r="D93" s="39">
        <f t="shared" si="3"/>
        <v>282029.04076150566</v>
      </c>
    </row>
    <row r="94" spans="2:4" x14ac:dyDescent="0.25">
      <c r="B94" s="90">
        <v>90</v>
      </c>
      <c r="C94" s="39">
        <f t="shared" si="2"/>
        <v>1995262.1062084364</v>
      </c>
      <c r="D94" s="39">
        <f t="shared" si="3"/>
        <v>285197.90638803941</v>
      </c>
    </row>
    <row r="95" spans="2:4" x14ac:dyDescent="0.25">
      <c r="B95" s="90">
        <v>91</v>
      </c>
      <c r="C95" s="39">
        <f t="shared" si="2"/>
        <v>1997925.0184996412</v>
      </c>
      <c r="D95" s="39">
        <f t="shared" si="3"/>
        <v>288366.77201457322</v>
      </c>
    </row>
    <row r="96" spans="2:4" x14ac:dyDescent="0.25">
      <c r="B96" s="90">
        <v>92</v>
      </c>
      <c r="C96" s="39">
        <f t="shared" si="2"/>
        <v>2000587.9307908462</v>
      </c>
      <c r="D96" s="39">
        <f t="shared" si="3"/>
        <v>291535.63764110697</v>
      </c>
    </row>
    <row r="97" spans="2:4" x14ac:dyDescent="0.25">
      <c r="B97" s="90">
        <v>93</v>
      </c>
      <c r="C97" s="39">
        <f t="shared" si="2"/>
        <v>2003250.843082051</v>
      </c>
      <c r="D97" s="39">
        <f t="shared" si="3"/>
        <v>294704.50326764071</v>
      </c>
    </row>
    <row r="98" spans="2:4" x14ac:dyDescent="0.25">
      <c r="B98" s="90">
        <v>94</v>
      </c>
      <c r="C98" s="39">
        <f t="shared" si="2"/>
        <v>2005913.7553732558</v>
      </c>
      <c r="D98" s="39">
        <f t="shared" si="3"/>
        <v>297873.36889417452</v>
      </c>
    </row>
    <row r="99" spans="2:4" x14ac:dyDescent="0.25">
      <c r="B99" s="90">
        <v>95</v>
      </c>
      <c r="C99" s="39">
        <f t="shared" si="2"/>
        <v>2008576.6676644608</v>
      </c>
      <c r="D99" s="39">
        <f t="shared" si="3"/>
        <v>301042.23452070827</v>
      </c>
    </row>
    <row r="100" spans="2:4" x14ac:dyDescent="0.25">
      <c r="B100" s="90">
        <v>96</v>
      </c>
      <c r="C100" s="39">
        <f t="shared" si="2"/>
        <v>2011239.5799556656</v>
      </c>
      <c r="D100" s="39">
        <f t="shared" si="3"/>
        <v>304211.10014724208</v>
      </c>
    </row>
    <row r="101" spans="2:4" x14ac:dyDescent="0.25">
      <c r="B101" s="90">
        <v>97</v>
      </c>
      <c r="C101" s="39">
        <f t="shared" si="2"/>
        <v>2013902.4922468704</v>
      </c>
      <c r="D101" s="39">
        <f t="shared" si="3"/>
        <v>307379.96577377582</v>
      </c>
    </row>
    <row r="102" spans="2:4" x14ac:dyDescent="0.25">
      <c r="B102" s="90">
        <v>98</v>
      </c>
      <c r="C102" s="39">
        <f t="shared" si="2"/>
        <v>2016565.4045380752</v>
      </c>
      <c r="D102" s="39">
        <f t="shared" si="3"/>
        <v>310548.83140030957</v>
      </c>
    </row>
    <row r="103" spans="2:4" x14ac:dyDescent="0.25">
      <c r="B103" s="90">
        <v>99</v>
      </c>
      <c r="C103" s="39">
        <f t="shared" si="2"/>
        <v>2019228.31682928</v>
      </c>
      <c r="D103" s="39">
        <f t="shared" si="3"/>
        <v>313717.69702684338</v>
      </c>
    </row>
    <row r="104" spans="2:4" x14ac:dyDescent="0.25">
      <c r="B104" s="90">
        <v>100</v>
      </c>
      <c r="C104" s="39">
        <f t="shared" si="2"/>
        <v>2021891.229120485</v>
      </c>
      <c r="D104" s="39">
        <f t="shared" si="3"/>
        <v>316886.56265337713</v>
      </c>
    </row>
    <row r="105" spans="2:4" x14ac:dyDescent="0.25">
      <c r="B105" s="90">
        <v>101</v>
      </c>
      <c r="C105" s="39">
        <f t="shared" si="2"/>
        <v>2024554.1414116898</v>
      </c>
      <c r="D105" s="39">
        <f t="shared" si="3"/>
        <v>320055.42827991088</v>
      </c>
    </row>
    <row r="106" spans="2:4" x14ac:dyDescent="0.25">
      <c r="B106" s="90">
        <v>102</v>
      </c>
      <c r="C106" s="39">
        <f t="shared" si="2"/>
        <v>2027217.0537028946</v>
      </c>
      <c r="D106" s="39">
        <f t="shared" si="3"/>
        <v>323224.29390644468</v>
      </c>
    </row>
    <row r="107" spans="2:4" x14ac:dyDescent="0.25">
      <c r="B107" s="90">
        <v>103</v>
      </c>
      <c r="C107" s="39">
        <f t="shared" si="2"/>
        <v>2029879.9659940996</v>
      </c>
      <c r="D107" s="39">
        <f t="shared" si="3"/>
        <v>326393.15953297843</v>
      </c>
    </row>
    <row r="108" spans="2:4" x14ac:dyDescent="0.25">
      <c r="B108" s="90">
        <v>104</v>
      </c>
      <c r="C108" s="39">
        <f t="shared" si="2"/>
        <v>2032542.8782853044</v>
      </c>
      <c r="D108" s="39">
        <f t="shared" si="3"/>
        <v>329562.02515951224</v>
      </c>
    </row>
    <row r="109" spans="2:4" x14ac:dyDescent="0.25">
      <c r="B109" s="90">
        <v>105</v>
      </c>
      <c r="C109" s="39">
        <f t="shared" si="2"/>
        <v>2035205.7905765092</v>
      </c>
      <c r="D109" s="39">
        <f t="shared" si="3"/>
        <v>332730.89078604599</v>
      </c>
    </row>
    <row r="110" spans="2:4" x14ac:dyDescent="0.25">
      <c r="B110" s="90">
        <v>106</v>
      </c>
      <c r="C110" s="39">
        <f t="shared" si="2"/>
        <v>2037868.702867714</v>
      </c>
      <c r="D110" s="39">
        <f t="shared" si="3"/>
        <v>335899.75641257974</v>
      </c>
    </row>
    <row r="111" spans="2:4" x14ac:dyDescent="0.25">
      <c r="B111" s="90">
        <v>107</v>
      </c>
      <c r="C111" s="39">
        <f t="shared" si="2"/>
        <v>2040531.6151589188</v>
      </c>
      <c r="D111" s="39">
        <f t="shared" si="3"/>
        <v>339068.62203911354</v>
      </c>
    </row>
    <row r="112" spans="2:4" x14ac:dyDescent="0.25">
      <c r="B112" s="90">
        <v>108</v>
      </c>
      <c r="C112" s="39">
        <f t="shared" si="2"/>
        <v>2043194.5274501238</v>
      </c>
      <c r="D112" s="39">
        <f t="shared" si="3"/>
        <v>342237.48766564729</v>
      </c>
    </row>
    <row r="113" spans="2:4" x14ac:dyDescent="0.25">
      <c r="B113" s="90">
        <v>109</v>
      </c>
      <c r="C113" s="39">
        <f t="shared" si="2"/>
        <v>2045857.4397413286</v>
      </c>
      <c r="D113" s="39">
        <f t="shared" si="3"/>
        <v>345406.3532921811</v>
      </c>
    </row>
    <row r="114" spans="2:4" x14ac:dyDescent="0.25">
      <c r="B114" s="90">
        <v>110</v>
      </c>
      <c r="C114" s="39">
        <f t="shared" si="2"/>
        <v>2048520.3520325334</v>
      </c>
      <c r="D114" s="39">
        <f t="shared" si="3"/>
        <v>348575.21891871485</v>
      </c>
    </row>
    <row r="115" spans="2:4" x14ac:dyDescent="0.25">
      <c r="B115" s="90">
        <v>111</v>
      </c>
      <c r="C115" s="39">
        <f t="shared" si="2"/>
        <v>2051183.2643237384</v>
      </c>
      <c r="D115" s="39">
        <f t="shared" si="3"/>
        <v>351744.0845452486</v>
      </c>
    </row>
    <row r="116" spans="2:4" x14ac:dyDescent="0.25">
      <c r="B116" s="90">
        <v>112</v>
      </c>
      <c r="C116" s="39">
        <f t="shared" si="2"/>
        <v>2053846.1766149432</v>
      </c>
      <c r="D116" s="39">
        <f t="shared" si="3"/>
        <v>354912.9501717824</v>
      </c>
    </row>
    <row r="117" spans="2:4" x14ac:dyDescent="0.25">
      <c r="B117" s="90">
        <v>113</v>
      </c>
      <c r="C117" s="39">
        <f t="shared" si="2"/>
        <v>2056509.088906148</v>
      </c>
      <c r="D117" s="39">
        <f t="shared" si="3"/>
        <v>358081.81579831615</v>
      </c>
    </row>
    <row r="118" spans="2:4" x14ac:dyDescent="0.25">
      <c r="B118" s="90">
        <v>114</v>
      </c>
      <c r="C118" s="39">
        <f t="shared" si="2"/>
        <v>2059172.001197353</v>
      </c>
      <c r="D118" s="39">
        <f t="shared" si="3"/>
        <v>361250.68142484996</v>
      </c>
    </row>
    <row r="119" spans="2:4" x14ac:dyDescent="0.25">
      <c r="B119" s="90">
        <v>115</v>
      </c>
      <c r="C119" s="39">
        <f t="shared" si="2"/>
        <v>2061834.9134885578</v>
      </c>
      <c r="D119" s="39">
        <f t="shared" si="3"/>
        <v>364419.54705138371</v>
      </c>
    </row>
    <row r="120" spans="2:4" x14ac:dyDescent="0.25">
      <c r="B120" s="90">
        <v>116</v>
      </c>
      <c r="C120" s="39">
        <f t="shared" si="2"/>
        <v>2064497.8257797626</v>
      </c>
      <c r="D120" s="39">
        <f t="shared" si="3"/>
        <v>367588.41267791745</v>
      </c>
    </row>
    <row r="121" spans="2:4" x14ac:dyDescent="0.25">
      <c r="B121" s="90">
        <v>117</v>
      </c>
      <c r="C121" s="39">
        <f t="shared" si="2"/>
        <v>2067160.7380709674</v>
      </c>
      <c r="D121" s="39">
        <f t="shared" si="3"/>
        <v>370757.27830445126</v>
      </c>
    </row>
    <row r="122" spans="2:4" x14ac:dyDescent="0.25">
      <c r="B122" s="90">
        <v>118</v>
      </c>
      <c r="C122" s="39">
        <f t="shared" si="2"/>
        <v>2069823.6503621722</v>
      </c>
      <c r="D122" s="39">
        <f t="shared" si="3"/>
        <v>373926.14393098501</v>
      </c>
    </row>
    <row r="123" spans="2:4" x14ac:dyDescent="0.25">
      <c r="B123" s="90">
        <v>119</v>
      </c>
      <c r="C123" s="39">
        <f t="shared" si="2"/>
        <v>2072486.5626533772</v>
      </c>
      <c r="D123" s="39">
        <f t="shared" si="3"/>
        <v>377095.00955751876</v>
      </c>
    </row>
    <row r="124" spans="2:4" x14ac:dyDescent="0.25">
      <c r="B124" s="90">
        <v>120</v>
      </c>
      <c r="C124" s="39">
        <f t="shared" si="2"/>
        <v>2075149.474944582</v>
      </c>
      <c r="D124" s="39">
        <f t="shared" si="3"/>
        <v>380263.87518405257</v>
      </c>
    </row>
    <row r="125" spans="2:4" x14ac:dyDescent="0.25">
      <c r="B125" s="90">
        <v>121</v>
      </c>
      <c r="C125" s="39">
        <f t="shared" si="2"/>
        <v>2077812.3872357868</v>
      </c>
      <c r="D125" s="39">
        <f t="shared" si="3"/>
        <v>383432.74081058631</v>
      </c>
    </row>
    <row r="126" spans="2:4" x14ac:dyDescent="0.25">
      <c r="B126" s="90">
        <v>122</v>
      </c>
      <c r="C126" s="39">
        <f t="shared" si="2"/>
        <v>2080475.2995269918</v>
      </c>
      <c r="D126" s="39">
        <f t="shared" si="3"/>
        <v>386601.60643712012</v>
      </c>
    </row>
    <row r="127" spans="2:4" x14ac:dyDescent="0.25">
      <c r="B127" s="90">
        <v>123</v>
      </c>
      <c r="C127" s="39">
        <f t="shared" si="2"/>
        <v>2083138.2118181966</v>
      </c>
      <c r="D127" s="39">
        <f t="shared" si="3"/>
        <v>389770.47206365387</v>
      </c>
    </row>
    <row r="128" spans="2:4" x14ac:dyDescent="0.25">
      <c r="B128" s="90">
        <v>124</v>
      </c>
      <c r="C128" s="39">
        <f t="shared" si="2"/>
        <v>2085801.1241094014</v>
      </c>
      <c r="D128" s="39">
        <f t="shared" si="3"/>
        <v>392939.33769018762</v>
      </c>
    </row>
    <row r="129" spans="2:4" x14ac:dyDescent="0.25">
      <c r="B129" s="90">
        <v>125</v>
      </c>
      <c r="C129" s="39">
        <f t="shared" si="2"/>
        <v>2088464.0364006062</v>
      </c>
      <c r="D129" s="39">
        <f t="shared" si="3"/>
        <v>396108.20331672142</v>
      </c>
    </row>
    <row r="130" spans="2:4" x14ac:dyDescent="0.25">
      <c r="B130" s="90">
        <v>126</v>
      </c>
      <c r="C130" s="39">
        <f t="shared" si="2"/>
        <v>2091126.9486918109</v>
      </c>
      <c r="D130" s="39">
        <f t="shared" si="3"/>
        <v>399277.06894325517</v>
      </c>
    </row>
    <row r="131" spans="2:4" x14ac:dyDescent="0.25">
      <c r="B131" s="90">
        <v>127</v>
      </c>
      <c r="C131" s="39">
        <f t="shared" si="2"/>
        <v>2093789.860983016</v>
      </c>
      <c r="D131" s="39">
        <f t="shared" si="3"/>
        <v>402445.93456978898</v>
      </c>
    </row>
    <row r="132" spans="2:4" x14ac:dyDescent="0.25">
      <c r="B132" s="90">
        <v>128</v>
      </c>
      <c r="C132" s="39">
        <f t="shared" si="2"/>
        <v>2096452.7732742208</v>
      </c>
      <c r="D132" s="39">
        <f t="shared" si="3"/>
        <v>405614.80019632273</v>
      </c>
    </row>
    <row r="133" spans="2:4" x14ac:dyDescent="0.25">
      <c r="B133" s="90">
        <v>129</v>
      </c>
      <c r="C133" s="39">
        <f t="shared" ref="C133:C196" si="4">($C$2*B133)+$C$1</f>
        <v>2099115.6855654255</v>
      </c>
      <c r="D133" s="39">
        <f t="shared" ref="D133:D196" si="5">$D$2*B133</f>
        <v>408783.66582285648</v>
      </c>
    </row>
    <row r="134" spans="2:4" x14ac:dyDescent="0.25">
      <c r="B134" s="90">
        <v>130</v>
      </c>
      <c r="C134" s="39">
        <f t="shared" si="4"/>
        <v>2101778.5978566306</v>
      </c>
      <c r="D134" s="39">
        <f t="shared" si="5"/>
        <v>411952.53144939028</v>
      </c>
    </row>
    <row r="135" spans="2:4" x14ac:dyDescent="0.25">
      <c r="B135" s="90">
        <v>131</v>
      </c>
      <c r="C135" s="39">
        <f t="shared" si="4"/>
        <v>2104441.5101478351</v>
      </c>
      <c r="D135" s="39">
        <f t="shared" si="5"/>
        <v>415121.39707592403</v>
      </c>
    </row>
    <row r="136" spans="2:4" x14ac:dyDescent="0.25">
      <c r="B136" s="90">
        <v>132</v>
      </c>
      <c r="C136" s="39">
        <f t="shared" si="4"/>
        <v>2107104.4224390402</v>
      </c>
      <c r="D136" s="39">
        <f t="shared" si="5"/>
        <v>418290.26270245784</v>
      </c>
    </row>
    <row r="137" spans="2:4" x14ac:dyDescent="0.25">
      <c r="B137" s="90">
        <v>133</v>
      </c>
      <c r="C137" s="39">
        <f t="shared" si="4"/>
        <v>2109767.3347302452</v>
      </c>
      <c r="D137" s="39">
        <f t="shared" si="5"/>
        <v>421459.12832899159</v>
      </c>
    </row>
    <row r="138" spans="2:4" x14ac:dyDescent="0.25">
      <c r="B138" s="90">
        <v>134</v>
      </c>
      <c r="C138" s="39">
        <f t="shared" si="4"/>
        <v>2112430.2470214497</v>
      </c>
      <c r="D138" s="39">
        <f t="shared" si="5"/>
        <v>424627.99395552534</v>
      </c>
    </row>
    <row r="139" spans="2:4" x14ac:dyDescent="0.25">
      <c r="B139" s="90">
        <v>135</v>
      </c>
      <c r="C139" s="39">
        <f t="shared" si="4"/>
        <v>2115093.1593126548</v>
      </c>
      <c r="D139" s="39">
        <f t="shared" si="5"/>
        <v>427796.85958205914</v>
      </c>
    </row>
    <row r="140" spans="2:4" x14ac:dyDescent="0.25">
      <c r="B140" s="90">
        <v>136</v>
      </c>
      <c r="C140" s="39">
        <f t="shared" si="4"/>
        <v>2117756.0716038598</v>
      </c>
      <c r="D140" s="39">
        <f t="shared" si="5"/>
        <v>430965.72520859289</v>
      </c>
    </row>
    <row r="141" spans="2:4" x14ac:dyDescent="0.25">
      <c r="B141" s="90">
        <v>137</v>
      </c>
      <c r="C141" s="39">
        <f t="shared" si="4"/>
        <v>2120418.9838950643</v>
      </c>
      <c r="D141" s="39">
        <f t="shared" si="5"/>
        <v>434134.5908351267</v>
      </c>
    </row>
    <row r="142" spans="2:4" x14ac:dyDescent="0.25">
      <c r="B142" s="90">
        <v>138</v>
      </c>
      <c r="C142" s="39">
        <f t="shared" si="4"/>
        <v>2123081.8961862694</v>
      </c>
      <c r="D142" s="39">
        <f t="shared" si="5"/>
        <v>437303.45646166045</v>
      </c>
    </row>
    <row r="143" spans="2:4" x14ac:dyDescent="0.25">
      <c r="B143" s="90">
        <v>139</v>
      </c>
      <c r="C143" s="39">
        <f t="shared" si="4"/>
        <v>2125744.8084774739</v>
      </c>
      <c r="D143" s="39">
        <f t="shared" si="5"/>
        <v>440472.3220881942</v>
      </c>
    </row>
    <row r="144" spans="2:4" x14ac:dyDescent="0.25">
      <c r="B144" s="90">
        <v>140</v>
      </c>
      <c r="C144" s="39">
        <f t="shared" si="4"/>
        <v>2128407.7207686789</v>
      </c>
      <c r="D144" s="39">
        <f t="shared" si="5"/>
        <v>443641.187714728</v>
      </c>
    </row>
    <row r="145" spans="2:4" x14ac:dyDescent="0.25">
      <c r="B145" s="90">
        <v>141</v>
      </c>
      <c r="C145" s="39">
        <f t="shared" si="4"/>
        <v>2131070.633059884</v>
      </c>
      <c r="D145" s="39">
        <f t="shared" si="5"/>
        <v>446810.05334126175</v>
      </c>
    </row>
    <row r="146" spans="2:4" x14ac:dyDescent="0.25">
      <c r="B146" s="90">
        <v>142</v>
      </c>
      <c r="C146" s="39">
        <f t="shared" si="4"/>
        <v>2133733.5453510885</v>
      </c>
      <c r="D146" s="39">
        <f t="shared" si="5"/>
        <v>449978.9189677955</v>
      </c>
    </row>
    <row r="147" spans="2:4" x14ac:dyDescent="0.25">
      <c r="B147" s="90">
        <v>143</v>
      </c>
      <c r="C147" s="39">
        <f t="shared" si="4"/>
        <v>2136396.4576422935</v>
      </c>
      <c r="D147" s="39">
        <f t="shared" si="5"/>
        <v>453147.78459432931</v>
      </c>
    </row>
    <row r="148" spans="2:4" x14ac:dyDescent="0.25">
      <c r="B148" s="90">
        <v>144</v>
      </c>
      <c r="C148" s="39">
        <f t="shared" si="4"/>
        <v>2139059.3699334981</v>
      </c>
      <c r="D148" s="39">
        <f t="shared" si="5"/>
        <v>456316.65022086306</v>
      </c>
    </row>
    <row r="149" spans="2:4" x14ac:dyDescent="0.25">
      <c r="B149" s="90">
        <v>145</v>
      </c>
      <c r="C149" s="39">
        <f t="shared" si="4"/>
        <v>2141722.2822247031</v>
      </c>
      <c r="D149" s="39">
        <f t="shared" si="5"/>
        <v>459485.51584739686</v>
      </c>
    </row>
    <row r="150" spans="2:4" x14ac:dyDescent="0.25">
      <c r="B150" s="90">
        <v>146</v>
      </c>
      <c r="C150" s="39">
        <f t="shared" si="4"/>
        <v>2144385.1945159081</v>
      </c>
      <c r="D150" s="39">
        <f t="shared" si="5"/>
        <v>462654.38147393061</v>
      </c>
    </row>
    <row r="151" spans="2:4" x14ac:dyDescent="0.25">
      <c r="B151" s="90">
        <v>147</v>
      </c>
      <c r="C151" s="39">
        <f t="shared" si="4"/>
        <v>2147048.1068071127</v>
      </c>
      <c r="D151" s="39">
        <f t="shared" si="5"/>
        <v>465823.24710046436</v>
      </c>
    </row>
    <row r="152" spans="2:4" x14ac:dyDescent="0.25">
      <c r="B152" s="90">
        <v>148</v>
      </c>
      <c r="C152" s="39">
        <f t="shared" si="4"/>
        <v>2149711.0190983177</v>
      </c>
      <c r="D152" s="39">
        <f t="shared" si="5"/>
        <v>468992.11272699817</v>
      </c>
    </row>
    <row r="153" spans="2:4" x14ac:dyDescent="0.25">
      <c r="B153" s="90">
        <v>149</v>
      </c>
      <c r="C153" s="39">
        <f t="shared" si="4"/>
        <v>2152373.9313895227</v>
      </c>
      <c r="D153" s="39">
        <f t="shared" si="5"/>
        <v>472160.97835353191</v>
      </c>
    </row>
    <row r="154" spans="2:4" x14ac:dyDescent="0.25">
      <c r="B154" s="90">
        <v>150</v>
      </c>
      <c r="C154" s="39">
        <f t="shared" si="4"/>
        <v>2155036.8436807273</v>
      </c>
      <c r="D154" s="39">
        <f t="shared" si="5"/>
        <v>475329.84398006572</v>
      </c>
    </row>
    <row r="155" spans="2:4" x14ac:dyDescent="0.25">
      <c r="B155" s="90">
        <v>151</v>
      </c>
      <c r="C155" s="39">
        <f t="shared" si="4"/>
        <v>2157699.7559719323</v>
      </c>
      <c r="D155" s="39">
        <f t="shared" si="5"/>
        <v>478498.70960659947</v>
      </c>
    </row>
    <row r="156" spans="2:4" x14ac:dyDescent="0.25">
      <c r="B156" s="90">
        <v>152</v>
      </c>
      <c r="C156" s="39">
        <f t="shared" si="4"/>
        <v>2160362.6682631373</v>
      </c>
      <c r="D156" s="39">
        <f t="shared" si="5"/>
        <v>481667.57523313322</v>
      </c>
    </row>
    <row r="157" spans="2:4" x14ac:dyDescent="0.25">
      <c r="B157" s="90">
        <v>153</v>
      </c>
      <c r="C157" s="39">
        <f t="shared" si="4"/>
        <v>2163025.5805543419</v>
      </c>
      <c r="D157" s="39">
        <f t="shared" si="5"/>
        <v>484836.44085966703</v>
      </c>
    </row>
    <row r="158" spans="2:4" x14ac:dyDescent="0.25">
      <c r="B158" s="90">
        <v>154</v>
      </c>
      <c r="C158" s="39">
        <f t="shared" si="4"/>
        <v>2165688.4928455469</v>
      </c>
      <c r="D158" s="39">
        <f t="shared" si="5"/>
        <v>488005.30648620077</v>
      </c>
    </row>
    <row r="159" spans="2:4" x14ac:dyDescent="0.25">
      <c r="B159" s="90">
        <v>155</v>
      </c>
      <c r="C159" s="39">
        <f t="shared" si="4"/>
        <v>2168351.4051367519</v>
      </c>
      <c r="D159" s="39">
        <f t="shared" si="5"/>
        <v>491174.17211273458</v>
      </c>
    </row>
    <row r="160" spans="2:4" x14ac:dyDescent="0.25">
      <c r="B160" s="90">
        <v>156</v>
      </c>
      <c r="C160" s="39">
        <f t="shared" si="4"/>
        <v>2171014.3174279565</v>
      </c>
      <c r="D160" s="39">
        <f t="shared" si="5"/>
        <v>494343.03773926833</v>
      </c>
    </row>
    <row r="161" spans="2:4" x14ac:dyDescent="0.25">
      <c r="B161" s="90">
        <v>157</v>
      </c>
      <c r="C161" s="39">
        <f t="shared" si="4"/>
        <v>2173677.2297191615</v>
      </c>
      <c r="D161" s="39">
        <f t="shared" si="5"/>
        <v>497511.90336580208</v>
      </c>
    </row>
    <row r="162" spans="2:4" x14ac:dyDescent="0.25">
      <c r="B162" s="90">
        <v>158</v>
      </c>
      <c r="C162" s="39">
        <f t="shared" si="4"/>
        <v>2176340.1420103661</v>
      </c>
      <c r="D162" s="39">
        <f t="shared" si="5"/>
        <v>500680.76899233588</v>
      </c>
    </row>
    <row r="163" spans="2:4" x14ac:dyDescent="0.25">
      <c r="B163" s="90">
        <v>159</v>
      </c>
      <c r="C163" s="39">
        <f t="shared" si="4"/>
        <v>2179003.0543015711</v>
      </c>
      <c r="D163" s="39">
        <f t="shared" si="5"/>
        <v>503849.63461886963</v>
      </c>
    </row>
    <row r="164" spans="2:4" x14ac:dyDescent="0.25">
      <c r="B164" s="90">
        <v>160</v>
      </c>
      <c r="C164" s="39">
        <f t="shared" si="4"/>
        <v>2181665.9665927761</v>
      </c>
      <c r="D164" s="39">
        <f t="shared" si="5"/>
        <v>507018.50024540338</v>
      </c>
    </row>
    <row r="165" spans="2:4" x14ac:dyDescent="0.25">
      <c r="B165" s="90">
        <v>161</v>
      </c>
      <c r="C165" s="39">
        <f t="shared" si="4"/>
        <v>2184328.8788839807</v>
      </c>
      <c r="D165" s="39">
        <f t="shared" si="5"/>
        <v>510187.36587193719</v>
      </c>
    </row>
    <row r="166" spans="2:4" x14ac:dyDescent="0.25">
      <c r="B166" s="90">
        <v>162</v>
      </c>
      <c r="C166" s="39">
        <f t="shared" si="4"/>
        <v>2186991.7911751857</v>
      </c>
      <c r="D166" s="39">
        <f t="shared" si="5"/>
        <v>513356.23149847094</v>
      </c>
    </row>
    <row r="167" spans="2:4" x14ac:dyDescent="0.25">
      <c r="B167" s="90">
        <v>163</v>
      </c>
      <c r="C167" s="39">
        <f t="shared" si="4"/>
        <v>2189654.7034663903</v>
      </c>
      <c r="D167" s="39">
        <f t="shared" si="5"/>
        <v>516525.09712500474</v>
      </c>
    </row>
    <row r="168" spans="2:4" x14ac:dyDescent="0.25">
      <c r="B168" s="90">
        <v>164</v>
      </c>
      <c r="C168" s="39">
        <f t="shared" si="4"/>
        <v>2192317.6157575953</v>
      </c>
      <c r="D168" s="39">
        <f t="shared" si="5"/>
        <v>519693.96275153849</v>
      </c>
    </row>
    <row r="169" spans="2:4" x14ac:dyDescent="0.25">
      <c r="B169" s="90">
        <v>165</v>
      </c>
      <c r="C169" s="39">
        <f t="shared" si="4"/>
        <v>2194980.5280488003</v>
      </c>
      <c r="D169" s="39">
        <f t="shared" si="5"/>
        <v>522862.82837807224</v>
      </c>
    </row>
    <row r="170" spans="2:4" x14ac:dyDescent="0.25">
      <c r="B170" s="90">
        <v>166</v>
      </c>
      <c r="C170" s="39">
        <f t="shared" si="4"/>
        <v>2197643.4403400049</v>
      </c>
      <c r="D170" s="39">
        <f t="shared" si="5"/>
        <v>526031.69400460599</v>
      </c>
    </row>
    <row r="171" spans="2:4" x14ac:dyDescent="0.25">
      <c r="B171" s="90">
        <v>167</v>
      </c>
      <c r="C171" s="39">
        <f t="shared" si="4"/>
        <v>2200306.3526312099</v>
      </c>
      <c r="D171" s="39">
        <f t="shared" si="5"/>
        <v>529200.55963113985</v>
      </c>
    </row>
    <row r="172" spans="2:4" x14ac:dyDescent="0.25">
      <c r="B172" s="90">
        <v>168</v>
      </c>
      <c r="C172" s="39">
        <f t="shared" si="4"/>
        <v>2202969.2649224149</v>
      </c>
      <c r="D172" s="39">
        <f t="shared" si="5"/>
        <v>532369.4252576736</v>
      </c>
    </row>
    <row r="173" spans="2:4" x14ac:dyDescent="0.25">
      <c r="B173" s="90">
        <v>169</v>
      </c>
      <c r="C173" s="39">
        <f t="shared" si="4"/>
        <v>2205632.1772136195</v>
      </c>
      <c r="D173" s="39">
        <f t="shared" si="5"/>
        <v>535538.29088420735</v>
      </c>
    </row>
    <row r="174" spans="2:4" x14ac:dyDescent="0.25">
      <c r="B174" s="90">
        <v>170</v>
      </c>
      <c r="C174" s="39">
        <f t="shared" si="4"/>
        <v>2208295.0895048245</v>
      </c>
      <c r="D174" s="39">
        <f t="shared" si="5"/>
        <v>538707.1565107411</v>
      </c>
    </row>
    <row r="175" spans="2:4" x14ac:dyDescent="0.25">
      <c r="B175" s="90">
        <v>171</v>
      </c>
      <c r="C175" s="39">
        <f t="shared" si="4"/>
        <v>2210958.0017960295</v>
      </c>
      <c r="D175" s="39">
        <f t="shared" si="5"/>
        <v>541876.02213727485</v>
      </c>
    </row>
    <row r="176" spans="2:4" x14ac:dyDescent="0.25">
      <c r="B176" s="90">
        <v>172</v>
      </c>
      <c r="C176" s="39">
        <f t="shared" si="4"/>
        <v>2213620.9140872341</v>
      </c>
      <c r="D176" s="39">
        <f t="shared" si="5"/>
        <v>545044.88776380871</v>
      </c>
    </row>
    <row r="177" spans="2:4" x14ac:dyDescent="0.25">
      <c r="B177" s="90">
        <v>173</v>
      </c>
      <c r="C177" s="39">
        <f t="shared" si="4"/>
        <v>2216283.8263784391</v>
      </c>
      <c r="D177" s="39">
        <f t="shared" si="5"/>
        <v>548213.75339034246</v>
      </c>
    </row>
    <row r="178" spans="2:4" x14ac:dyDescent="0.25">
      <c r="B178" s="90">
        <v>174</v>
      </c>
      <c r="C178" s="39">
        <f t="shared" si="4"/>
        <v>2218946.7386696436</v>
      </c>
      <c r="D178" s="39">
        <f t="shared" si="5"/>
        <v>551382.61901687621</v>
      </c>
    </row>
    <row r="179" spans="2:4" x14ac:dyDescent="0.25">
      <c r="B179" s="90">
        <v>175</v>
      </c>
      <c r="C179" s="39">
        <f t="shared" si="4"/>
        <v>2221609.6509608487</v>
      </c>
      <c r="D179" s="39">
        <f t="shared" si="5"/>
        <v>554551.48464340996</v>
      </c>
    </row>
    <row r="180" spans="2:4" x14ac:dyDescent="0.25">
      <c r="B180" s="90">
        <v>176</v>
      </c>
      <c r="C180" s="39">
        <f t="shared" si="4"/>
        <v>2224272.5632520537</v>
      </c>
      <c r="D180" s="39">
        <f t="shared" si="5"/>
        <v>557720.35026994371</v>
      </c>
    </row>
    <row r="181" spans="2:4" x14ac:dyDescent="0.25">
      <c r="B181" s="90">
        <v>177</v>
      </c>
      <c r="C181" s="39">
        <f t="shared" si="4"/>
        <v>2226935.4755432582</v>
      </c>
      <c r="D181" s="39">
        <f t="shared" si="5"/>
        <v>560889.21589647757</v>
      </c>
    </row>
    <row r="182" spans="2:4" x14ac:dyDescent="0.25">
      <c r="B182" s="90">
        <v>178</v>
      </c>
      <c r="C182" s="39">
        <f t="shared" si="4"/>
        <v>2229598.3878344633</v>
      </c>
      <c r="D182" s="39">
        <f t="shared" si="5"/>
        <v>564058.08152301132</v>
      </c>
    </row>
    <row r="183" spans="2:4" x14ac:dyDescent="0.25">
      <c r="B183" s="90">
        <v>179</v>
      </c>
      <c r="C183" s="39">
        <f t="shared" si="4"/>
        <v>2232261.3001256683</v>
      </c>
      <c r="D183" s="39">
        <f t="shared" si="5"/>
        <v>567226.94714954507</v>
      </c>
    </row>
    <row r="184" spans="2:4" x14ac:dyDescent="0.25">
      <c r="B184" s="90">
        <v>180</v>
      </c>
      <c r="C184" s="39">
        <f t="shared" si="4"/>
        <v>2234924.2124168728</v>
      </c>
      <c r="D184" s="39">
        <f t="shared" si="5"/>
        <v>570395.81277607882</v>
      </c>
    </row>
    <row r="185" spans="2:4" x14ac:dyDescent="0.25">
      <c r="B185" s="90">
        <v>181</v>
      </c>
      <c r="C185" s="39">
        <f t="shared" si="4"/>
        <v>2237587.1247080779</v>
      </c>
      <c r="D185" s="39">
        <f t="shared" si="5"/>
        <v>573564.67840261257</v>
      </c>
    </row>
    <row r="186" spans="2:4" x14ac:dyDescent="0.25">
      <c r="B186" s="90">
        <v>182</v>
      </c>
      <c r="C186" s="39">
        <f t="shared" si="4"/>
        <v>2240250.0369992824</v>
      </c>
      <c r="D186" s="39">
        <f t="shared" si="5"/>
        <v>576733.54402914643</v>
      </c>
    </row>
    <row r="187" spans="2:4" x14ac:dyDescent="0.25">
      <c r="B187" s="90">
        <v>183</v>
      </c>
      <c r="C187" s="39">
        <f t="shared" si="4"/>
        <v>2242912.9492904874</v>
      </c>
      <c r="D187" s="39">
        <f t="shared" si="5"/>
        <v>579902.40965568018</v>
      </c>
    </row>
    <row r="188" spans="2:4" x14ac:dyDescent="0.25">
      <c r="B188" s="90">
        <v>184</v>
      </c>
      <c r="C188" s="39">
        <f t="shared" si="4"/>
        <v>2245575.8615816925</v>
      </c>
      <c r="D188" s="39">
        <f t="shared" si="5"/>
        <v>583071.27528221393</v>
      </c>
    </row>
    <row r="189" spans="2:4" x14ac:dyDescent="0.25">
      <c r="B189" s="90">
        <v>185</v>
      </c>
      <c r="C189" s="39">
        <f t="shared" si="4"/>
        <v>2248238.773872897</v>
      </c>
      <c r="D189" s="39">
        <f t="shared" si="5"/>
        <v>586240.14090874768</v>
      </c>
    </row>
    <row r="190" spans="2:4" x14ac:dyDescent="0.25">
      <c r="B190" s="90">
        <v>186</v>
      </c>
      <c r="C190" s="39">
        <f t="shared" si="4"/>
        <v>2250901.6861641021</v>
      </c>
      <c r="D190" s="39">
        <f t="shared" si="5"/>
        <v>589409.00653528143</v>
      </c>
    </row>
    <row r="191" spans="2:4" x14ac:dyDescent="0.25">
      <c r="B191" s="90">
        <v>187</v>
      </c>
      <c r="C191" s="39">
        <f t="shared" si="4"/>
        <v>2253564.5984553071</v>
      </c>
      <c r="D191" s="39">
        <f t="shared" si="5"/>
        <v>592577.87216181529</v>
      </c>
    </row>
    <row r="192" spans="2:4" x14ac:dyDescent="0.25">
      <c r="B192" s="90">
        <v>188</v>
      </c>
      <c r="C192" s="39">
        <f t="shared" si="4"/>
        <v>2256227.5107465116</v>
      </c>
      <c r="D192" s="39">
        <f t="shared" si="5"/>
        <v>595746.73778834904</v>
      </c>
    </row>
    <row r="193" spans="2:4" x14ac:dyDescent="0.25">
      <c r="B193" s="90">
        <v>189</v>
      </c>
      <c r="C193" s="39">
        <f t="shared" si="4"/>
        <v>2258890.4230377167</v>
      </c>
      <c r="D193" s="39">
        <f t="shared" si="5"/>
        <v>598915.60341488279</v>
      </c>
    </row>
    <row r="194" spans="2:4" x14ac:dyDescent="0.25">
      <c r="B194" s="90">
        <v>190</v>
      </c>
      <c r="C194" s="39">
        <f t="shared" si="4"/>
        <v>2261553.3353289217</v>
      </c>
      <c r="D194" s="39">
        <f t="shared" si="5"/>
        <v>602084.46904141654</v>
      </c>
    </row>
    <row r="195" spans="2:4" x14ac:dyDescent="0.25">
      <c r="B195" s="90">
        <v>191</v>
      </c>
      <c r="C195" s="39">
        <f t="shared" si="4"/>
        <v>2264216.2476201262</v>
      </c>
      <c r="D195" s="39">
        <f t="shared" si="5"/>
        <v>605253.33466795029</v>
      </c>
    </row>
    <row r="196" spans="2:4" x14ac:dyDescent="0.25">
      <c r="B196" s="90">
        <v>192</v>
      </c>
      <c r="C196" s="39">
        <f t="shared" si="4"/>
        <v>2266879.1599113313</v>
      </c>
      <c r="D196" s="39">
        <f t="shared" si="5"/>
        <v>608422.20029448415</v>
      </c>
    </row>
    <row r="197" spans="2:4" x14ac:dyDescent="0.25">
      <c r="B197" s="90">
        <v>193</v>
      </c>
      <c r="C197" s="39">
        <f t="shared" ref="C197:C260" si="6">($C$2*B197)+$C$1</f>
        <v>2269542.0722025358</v>
      </c>
      <c r="D197" s="39">
        <f t="shared" ref="D197:D260" si="7">$D$2*B197</f>
        <v>611591.0659210179</v>
      </c>
    </row>
    <row r="198" spans="2:4" x14ac:dyDescent="0.25">
      <c r="B198" s="90">
        <v>194</v>
      </c>
      <c r="C198" s="39">
        <f t="shared" si="6"/>
        <v>2272204.9844937408</v>
      </c>
      <c r="D198" s="39">
        <f t="shared" si="7"/>
        <v>614759.93154755165</v>
      </c>
    </row>
    <row r="199" spans="2:4" x14ac:dyDescent="0.25">
      <c r="B199" s="90">
        <v>195</v>
      </c>
      <c r="C199" s="39">
        <f t="shared" si="6"/>
        <v>2274867.8967849459</v>
      </c>
      <c r="D199" s="39">
        <f t="shared" si="7"/>
        <v>617928.7971740854</v>
      </c>
    </row>
    <row r="200" spans="2:4" x14ac:dyDescent="0.25">
      <c r="B200" s="90">
        <v>196</v>
      </c>
      <c r="C200" s="39">
        <f t="shared" si="6"/>
        <v>2277530.8090761504</v>
      </c>
      <c r="D200" s="39">
        <f t="shared" si="7"/>
        <v>621097.66280061915</v>
      </c>
    </row>
    <row r="201" spans="2:4" x14ac:dyDescent="0.25">
      <c r="B201" s="90">
        <v>197</v>
      </c>
      <c r="C201" s="39">
        <f t="shared" si="6"/>
        <v>2280193.7213673554</v>
      </c>
      <c r="D201" s="39">
        <f t="shared" si="7"/>
        <v>624266.52842715289</v>
      </c>
    </row>
    <row r="202" spans="2:4" x14ac:dyDescent="0.25">
      <c r="B202" s="90">
        <v>198</v>
      </c>
      <c r="C202" s="39">
        <f t="shared" si="6"/>
        <v>2282856.63365856</v>
      </c>
      <c r="D202" s="39">
        <f t="shared" si="7"/>
        <v>627435.39405368676</v>
      </c>
    </row>
    <row r="203" spans="2:4" x14ac:dyDescent="0.25">
      <c r="B203" s="90">
        <v>199</v>
      </c>
      <c r="C203" s="39">
        <f t="shared" si="6"/>
        <v>2285519.545949765</v>
      </c>
      <c r="D203" s="39">
        <f t="shared" si="7"/>
        <v>630604.25968022051</v>
      </c>
    </row>
    <row r="204" spans="2:4" x14ac:dyDescent="0.25">
      <c r="B204" s="90">
        <v>200</v>
      </c>
      <c r="C204" s="39">
        <f t="shared" si="6"/>
        <v>2288182.45824097</v>
      </c>
      <c r="D204" s="39">
        <f t="shared" si="7"/>
        <v>633773.12530675426</v>
      </c>
    </row>
    <row r="205" spans="2:4" x14ac:dyDescent="0.25">
      <c r="B205" s="90">
        <v>201</v>
      </c>
      <c r="C205" s="39">
        <f t="shared" si="6"/>
        <v>2290845.3705321746</v>
      </c>
      <c r="D205" s="39">
        <f t="shared" si="7"/>
        <v>636941.99093328801</v>
      </c>
    </row>
    <row r="206" spans="2:4" x14ac:dyDescent="0.25">
      <c r="B206" s="90">
        <v>202</v>
      </c>
      <c r="C206" s="39">
        <f t="shared" si="6"/>
        <v>2293508.2828233796</v>
      </c>
      <c r="D206" s="39">
        <f t="shared" si="7"/>
        <v>640110.85655982175</v>
      </c>
    </row>
    <row r="207" spans="2:4" x14ac:dyDescent="0.25">
      <c r="B207" s="90">
        <v>203</v>
      </c>
      <c r="C207" s="39">
        <f t="shared" si="6"/>
        <v>2296171.1951145846</v>
      </c>
      <c r="D207" s="39">
        <f t="shared" si="7"/>
        <v>643279.72218635562</v>
      </c>
    </row>
    <row r="208" spans="2:4" x14ac:dyDescent="0.25">
      <c r="B208" s="90">
        <v>204</v>
      </c>
      <c r="C208" s="39">
        <f t="shared" si="6"/>
        <v>2298834.1074057892</v>
      </c>
      <c r="D208" s="39">
        <f t="shared" si="7"/>
        <v>646448.58781288937</v>
      </c>
    </row>
    <row r="209" spans="2:4" x14ac:dyDescent="0.25">
      <c r="B209" s="90">
        <v>205</v>
      </c>
      <c r="C209" s="39">
        <f t="shared" si="6"/>
        <v>2301497.0196969942</v>
      </c>
      <c r="D209" s="39">
        <f t="shared" si="7"/>
        <v>649617.45343942312</v>
      </c>
    </row>
    <row r="210" spans="2:4" x14ac:dyDescent="0.25">
      <c r="B210" s="90">
        <v>206</v>
      </c>
      <c r="C210" s="39">
        <f t="shared" si="6"/>
        <v>2304159.9319881992</v>
      </c>
      <c r="D210" s="39">
        <f t="shared" si="7"/>
        <v>652786.31906595686</v>
      </c>
    </row>
    <row r="211" spans="2:4" x14ac:dyDescent="0.25">
      <c r="B211" s="90">
        <v>207</v>
      </c>
      <c r="C211" s="39">
        <f t="shared" si="6"/>
        <v>2306822.8442794038</v>
      </c>
      <c r="D211" s="39">
        <f t="shared" si="7"/>
        <v>655955.18469249061</v>
      </c>
    </row>
    <row r="212" spans="2:4" x14ac:dyDescent="0.25">
      <c r="B212" s="90">
        <v>208</v>
      </c>
      <c r="C212" s="39">
        <f t="shared" si="6"/>
        <v>2309485.7565706088</v>
      </c>
      <c r="D212" s="39">
        <f t="shared" si="7"/>
        <v>659124.05031902448</v>
      </c>
    </row>
    <row r="213" spans="2:4" x14ac:dyDescent="0.25">
      <c r="B213" s="90">
        <v>209</v>
      </c>
      <c r="C213" s="39">
        <f t="shared" si="6"/>
        <v>2312148.6688618138</v>
      </c>
      <c r="D213" s="39">
        <f t="shared" si="7"/>
        <v>662292.91594555823</v>
      </c>
    </row>
    <row r="214" spans="2:4" x14ac:dyDescent="0.25">
      <c r="B214" s="90">
        <v>210</v>
      </c>
      <c r="C214" s="39">
        <f t="shared" si="6"/>
        <v>2314811.5811530184</v>
      </c>
      <c r="D214" s="39">
        <f t="shared" si="7"/>
        <v>665461.78157209198</v>
      </c>
    </row>
    <row r="215" spans="2:4" x14ac:dyDescent="0.25">
      <c r="B215" s="90">
        <v>211</v>
      </c>
      <c r="C215" s="39">
        <f t="shared" si="6"/>
        <v>2317474.4934442234</v>
      </c>
      <c r="D215" s="39">
        <f t="shared" si="7"/>
        <v>668630.64719862572</v>
      </c>
    </row>
    <row r="216" spans="2:4" x14ac:dyDescent="0.25">
      <c r="B216" s="90">
        <v>212</v>
      </c>
      <c r="C216" s="39">
        <f t="shared" si="6"/>
        <v>2320137.405735428</v>
      </c>
      <c r="D216" s="39">
        <f t="shared" si="7"/>
        <v>671799.51282515947</v>
      </c>
    </row>
    <row r="217" spans="2:4" x14ac:dyDescent="0.25">
      <c r="B217" s="90">
        <v>213</v>
      </c>
      <c r="C217" s="39">
        <f t="shared" si="6"/>
        <v>2322800.318026633</v>
      </c>
      <c r="D217" s="39">
        <f t="shared" si="7"/>
        <v>674968.37845169334</v>
      </c>
    </row>
    <row r="218" spans="2:4" x14ac:dyDescent="0.25">
      <c r="B218" s="90">
        <v>214</v>
      </c>
      <c r="C218" s="39">
        <f t="shared" si="6"/>
        <v>2325463.2303178376</v>
      </c>
      <c r="D218" s="39">
        <f t="shared" si="7"/>
        <v>678137.24407822709</v>
      </c>
    </row>
    <row r="219" spans="2:4" x14ac:dyDescent="0.25">
      <c r="B219" s="90">
        <v>215</v>
      </c>
      <c r="C219" s="39">
        <f t="shared" si="6"/>
        <v>2328126.1426090426</v>
      </c>
      <c r="D219" s="39">
        <f t="shared" si="7"/>
        <v>681306.10970476083</v>
      </c>
    </row>
    <row r="220" spans="2:4" x14ac:dyDescent="0.25">
      <c r="B220" s="90">
        <v>216</v>
      </c>
      <c r="C220" s="39">
        <f t="shared" si="6"/>
        <v>2330789.0549002476</v>
      </c>
      <c r="D220" s="39">
        <f t="shared" si="7"/>
        <v>684474.97533129458</v>
      </c>
    </row>
    <row r="221" spans="2:4" x14ac:dyDescent="0.25">
      <c r="B221" s="90">
        <v>217</v>
      </c>
      <c r="C221" s="39">
        <f t="shared" si="6"/>
        <v>2333451.9671914522</v>
      </c>
      <c r="D221" s="39">
        <f t="shared" si="7"/>
        <v>687643.84095782833</v>
      </c>
    </row>
    <row r="222" spans="2:4" x14ac:dyDescent="0.25">
      <c r="B222" s="90">
        <v>218</v>
      </c>
      <c r="C222" s="39">
        <f t="shared" si="6"/>
        <v>2336114.8794826572</v>
      </c>
      <c r="D222" s="39">
        <f t="shared" si="7"/>
        <v>690812.7065843622</v>
      </c>
    </row>
    <row r="223" spans="2:4" x14ac:dyDescent="0.25">
      <c r="B223" s="90">
        <v>219</v>
      </c>
      <c r="C223" s="39">
        <f t="shared" si="6"/>
        <v>2338777.7917738622</v>
      </c>
      <c r="D223" s="39">
        <f t="shared" si="7"/>
        <v>693981.57221089595</v>
      </c>
    </row>
    <row r="224" spans="2:4" x14ac:dyDescent="0.25">
      <c r="B224" s="90">
        <v>220</v>
      </c>
      <c r="C224" s="39">
        <f t="shared" si="6"/>
        <v>2341440.7040650668</v>
      </c>
      <c r="D224" s="39">
        <f t="shared" si="7"/>
        <v>697150.43783742969</v>
      </c>
    </row>
    <row r="225" spans="2:4" x14ac:dyDescent="0.25">
      <c r="B225" s="90">
        <v>221</v>
      </c>
      <c r="C225" s="39">
        <f t="shared" si="6"/>
        <v>2344103.6163562718</v>
      </c>
      <c r="D225" s="39">
        <f t="shared" si="7"/>
        <v>700319.30346396344</v>
      </c>
    </row>
    <row r="226" spans="2:4" x14ac:dyDescent="0.25">
      <c r="B226" s="90">
        <v>222</v>
      </c>
      <c r="C226" s="39">
        <f t="shared" si="6"/>
        <v>2346766.5286474768</v>
      </c>
      <c r="D226" s="39">
        <f t="shared" si="7"/>
        <v>703488.16909049719</v>
      </c>
    </row>
    <row r="227" spans="2:4" x14ac:dyDescent="0.25">
      <c r="B227" s="90">
        <v>223</v>
      </c>
      <c r="C227" s="39">
        <f t="shared" si="6"/>
        <v>2349429.4409386814</v>
      </c>
      <c r="D227" s="39">
        <f t="shared" si="7"/>
        <v>706657.03471703106</v>
      </c>
    </row>
    <row r="228" spans="2:4" x14ac:dyDescent="0.25">
      <c r="B228" s="90">
        <v>224</v>
      </c>
      <c r="C228" s="39">
        <f t="shared" si="6"/>
        <v>2352092.3532298864</v>
      </c>
      <c r="D228" s="39">
        <f t="shared" si="7"/>
        <v>709825.9003435648</v>
      </c>
    </row>
    <row r="229" spans="2:4" x14ac:dyDescent="0.25">
      <c r="B229" s="90">
        <v>225</v>
      </c>
      <c r="C229" s="39">
        <f t="shared" si="6"/>
        <v>2354755.2655210914</v>
      </c>
      <c r="D229" s="39">
        <f t="shared" si="7"/>
        <v>712994.76597009855</v>
      </c>
    </row>
    <row r="230" spans="2:4" x14ac:dyDescent="0.25">
      <c r="B230" s="90">
        <v>226</v>
      </c>
      <c r="C230" s="39">
        <f t="shared" si="6"/>
        <v>2357418.177812296</v>
      </c>
      <c r="D230" s="39">
        <f t="shared" si="7"/>
        <v>716163.6315966323</v>
      </c>
    </row>
    <row r="231" spans="2:4" x14ac:dyDescent="0.25">
      <c r="B231" s="90">
        <v>227</v>
      </c>
      <c r="C231" s="39">
        <f t="shared" si="6"/>
        <v>2360081.090103501</v>
      </c>
      <c r="D231" s="39">
        <f t="shared" si="7"/>
        <v>719332.49722316605</v>
      </c>
    </row>
    <row r="232" spans="2:4" x14ac:dyDescent="0.25">
      <c r="B232" s="90">
        <v>228</v>
      </c>
      <c r="C232" s="39">
        <f t="shared" si="6"/>
        <v>2362744.002394706</v>
      </c>
      <c r="D232" s="39">
        <f t="shared" si="7"/>
        <v>722501.36284969992</v>
      </c>
    </row>
    <row r="233" spans="2:4" x14ac:dyDescent="0.25">
      <c r="B233" s="90">
        <v>229</v>
      </c>
      <c r="C233" s="39">
        <f t="shared" si="6"/>
        <v>2365406.9146859106</v>
      </c>
      <c r="D233" s="39">
        <f t="shared" si="7"/>
        <v>725670.22847623366</v>
      </c>
    </row>
    <row r="234" spans="2:4" x14ac:dyDescent="0.25">
      <c r="B234" s="90">
        <v>230</v>
      </c>
      <c r="C234" s="39">
        <f t="shared" si="6"/>
        <v>2368069.8269771156</v>
      </c>
      <c r="D234" s="39">
        <f t="shared" si="7"/>
        <v>728839.09410276741</v>
      </c>
    </row>
    <row r="235" spans="2:4" x14ac:dyDescent="0.25">
      <c r="B235" s="90">
        <v>231</v>
      </c>
      <c r="C235" s="39">
        <f t="shared" si="6"/>
        <v>2370732.7392683201</v>
      </c>
      <c r="D235" s="39">
        <f t="shared" si="7"/>
        <v>732007.95972930116</v>
      </c>
    </row>
    <row r="236" spans="2:4" x14ac:dyDescent="0.25">
      <c r="B236" s="90">
        <v>232</v>
      </c>
      <c r="C236" s="39">
        <f t="shared" si="6"/>
        <v>2373395.6515595252</v>
      </c>
      <c r="D236" s="39">
        <f t="shared" si="7"/>
        <v>735176.82535583491</v>
      </c>
    </row>
    <row r="237" spans="2:4" x14ac:dyDescent="0.25">
      <c r="B237" s="90">
        <v>233</v>
      </c>
      <c r="C237" s="39">
        <f t="shared" si="6"/>
        <v>2376058.5638507297</v>
      </c>
      <c r="D237" s="39">
        <f t="shared" si="7"/>
        <v>738345.69098236877</v>
      </c>
    </row>
    <row r="238" spans="2:4" x14ac:dyDescent="0.25">
      <c r="B238" s="90">
        <v>234</v>
      </c>
      <c r="C238" s="39">
        <f t="shared" si="6"/>
        <v>2378721.4761419347</v>
      </c>
      <c r="D238" s="39">
        <f t="shared" si="7"/>
        <v>741514.55660890252</v>
      </c>
    </row>
    <row r="239" spans="2:4" x14ac:dyDescent="0.25">
      <c r="B239" s="90">
        <v>235</v>
      </c>
      <c r="C239" s="39">
        <f t="shared" si="6"/>
        <v>2381384.3884331398</v>
      </c>
      <c r="D239" s="39">
        <f t="shared" si="7"/>
        <v>744683.42223543627</v>
      </c>
    </row>
    <row r="240" spans="2:4" x14ac:dyDescent="0.25">
      <c r="B240" s="90">
        <v>236</v>
      </c>
      <c r="C240" s="39">
        <f t="shared" si="6"/>
        <v>2384047.3007243443</v>
      </c>
      <c r="D240" s="39">
        <f t="shared" si="7"/>
        <v>747852.28786197002</v>
      </c>
    </row>
    <row r="241" spans="2:4" x14ac:dyDescent="0.25">
      <c r="B241" s="90">
        <v>237</v>
      </c>
      <c r="C241" s="39">
        <f t="shared" si="6"/>
        <v>2386710.2130155494</v>
      </c>
      <c r="D241" s="39">
        <f t="shared" si="7"/>
        <v>751021.15348850377</v>
      </c>
    </row>
    <row r="242" spans="2:4" x14ac:dyDescent="0.25">
      <c r="B242" s="90">
        <v>238</v>
      </c>
      <c r="C242" s="39">
        <f t="shared" si="6"/>
        <v>2389373.1253067544</v>
      </c>
      <c r="D242" s="39">
        <f t="shared" si="7"/>
        <v>754190.01911503752</v>
      </c>
    </row>
    <row r="243" spans="2:4" x14ac:dyDescent="0.25">
      <c r="B243" s="90">
        <v>239</v>
      </c>
      <c r="C243" s="39">
        <f t="shared" si="6"/>
        <v>2392036.0375979589</v>
      </c>
      <c r="D243" s="39">
        <f t="shared" si="7"/>
        <v>757358.88474157138</v>
      </c>
    </row>
    <row r="244" spans="2:4" x14ac:dyDescent="0.25">
      <c r="B244" s="90">
        <v>240</v>
      </c>
      <c r="C244" s="39">
        <f t="shared" si="6"/>
        <v>2394698.949889164</v>
      </c>
      <c r="D244" s="39">
        <f t="shared" si="7"/>
        <v>760527.75036810513</v>
      </c>
    </row>
    <row r="245" spans="2:4" x14ac:dyDescent="0.25">
      <c r="B245" s="90">
        <v>241</v>
      </c>
      <c r="C245" s="39">
        <f t="shared" si="6"/>
        <v>2397361.862180369</v>
      </c>
      <c r="D245" s="39">
        <f t="shared" si="7"/>
        <v>763696.61599463888</v>
      </c>
    </row>
    <row r="246" spans="2:4" x14ac:dyDescent="0.25">
      <c r="B246" s="90">
        <v>242</v>
      </c>
      <c r="C246" s="39">
        <f t="shared" si="6"/>
        <v>2400024.7744715735</v>
      </c>
      <c r="D246" s="39">
        <f t="shared" si="7"/>
        <v>766865.48162117263</v>
      </c>
    </row>
    <row r="247" spans="2:4" x14ac:dyDescent="0.25">
      <c r="B247" s="90">
        <v>243</v>
      </c>
      <c r="C247" s="39">
        <f t="shared" si="6"/>
        <v>2402687.6867627786</v>
      </c>
      <c r="D247" s="39">
        <f t="shared" si="7"/>
        <v>770034.34724770638</v>
      </c>
    </row>
    <row r="248" spans="2:4" x14ac:dyDescent="0.25">
      <c r="B248" s="90">
        <v>244</v>
      </c>
      <c r="C248" s="39">
        <f t="shared" si="6"/>
        <v>2405350.5990539836</v>
      </c>
      <c r="D248" s="39">
        <f t="shared" si="7"/>
        <v>773203.21287424024</v>
      </c>
    </row>
    <row r="249" spans="2:4" x14ac:dyDescent="0.25">
      <c r="B249" s="90">
        <v>245</v>
      </c>
      <c r="C249" s="39">
        <f t="shared" si="6"/>
        <v>2408013.5113451881</v>
      </c>
      <c r="D249" s="39">
        <f t="shared" si="7"/>
        <v>776372.07850077399</v>
      </c>
    </row>
    <row r="250" spans="2:4" x14ac:dyDescent="0.25">
      <c r="B250" s="90">
        <v>246</v>
      </c>
      <c r="C250" s="39">
        <f t="shared" si="6"/>
        <v>2410676.4236363932</v>
      </c>
      <c r="D250" s="39">
        <f t="shared" si="7"/>
        <v>779540.94412730774</v>
      </c>
    </row>
    <row r="251" spans="2:4" x14ac:dyDescent="0.25">
      <c r="B251" s="90">
        <v>247</v>
      </c>
      <c r="C251" s="39">
        <f t="shared" si="6"/>
        <v>2413339.3359275977</v>
      </c>
      <c r="D251" s="39">
        <f t="shared" si="7"/>
        <v>782709.80975384149</v>
      </c>
    </row>
    <row r="252" spans="2:4" x14ac:dyDescent="0.25">
      <c r="B252" s="90">
        <v>248</v>
      </c>
      <c r="C252" s="39">
        <f t="shared" si="6"/>
        <v>2416002.2482188027</v>
      </c>
      <c r="D252" s="39">
        <f t="shared" si="7"/>
        <v>785878.67538037524</v>
      </c>
    </row>
    <row r="253" spans="2:4" x14ac:dyDescent="0.25">
      <c r="B253" s="90">
        <v>249</v>
      </c>
      <c r="C253" s="39">
        <f t="shared" si="6"/>
        <v>2418665.1605100073</v>
      </c>
      <c r="D253" s="39">
        <f t="shared" si="7"/>
        <v>789047.5410069091</v>
      </c>
    </row>
    <row r="254" spans="2:4" x14ac:dyDescent="0.25">
      <c r="B254" s="90">
        <v>250</v>
      </c>
      <c r="C254" s="39">
        <f t="shared" si="6"/>
        <v>2421328.0728012123</v>
      </c>
      <c r="D254" s="39">
        <f t="shared" si="7"/>
        <v>792216.40663344285</v>
      </c>
    </row>
    <row r="255" spans="2:4" x14ac:dyDescent="0.25">
      <c r="B255" s="90">
        <v>251</v>
      </c>
      <c r="C255" s="39">
        <f t="shared" si="6"/>
        <v>2423990.9850924173</v>
      </c>
      <c r="D255" s="39">
        <f t="shared" si="7"/>
        <v>795385.2722599766</v>
      </c>
    </row>
    <row r="256" spans="2:4" x14ac:dyDescent="0.25">
      <c r="B256" s="90">
        <v>252</v>
      </c>
      <c r="C256" s="39">
        <f t="shared" si="6"/>
        <v>2426653.8973836219</v>
      </c>
      <c r="D256" s="39">
        <f t="shared" si="7"/>
        <v>798554.13788651035</v>
      </c>
    </row>
    <row r="257" spans="2:4" x14ac:dyDescent="0.25">
      <c r="B257" s="90">
        <v>253</v>
      </c>
      <c r="C257" s="39">
        <f t="shared" si="6"/>
        <v>2429316.8096748269</v>
      </c>
      <c r="D257" s="39">
        <f t="shared" si="7"/>
        <v>801723.0035130441</v>
      </c>
    </row>
    <row r="258" spans="2:4" x14ac:dyDescent="0.25">
      <c r="B258" s="90">
        <v>254</v>
      </c>
      <c r="C258" s="39">
        <f t="shared" si="6"/>
        <v>2431979.7219660319</v>
      </c>
      <c r="D258" s="39">
        <f t="shared" si="7"/>
        <v>804891.86913957796</v>
      </c>
    </row>
    <row r="259" spans="2:4" x14ac:dyDescent="0.25">
      <c r="B259" s="90">
        <v>255</v>
      </c>
      <c r="C259" s="39">
        <f t="shared" si="6"/>
        <v>2434642.6342572365</v>
      </c>
      <c r="D259" s="39">
        <f t="shared" si="7"/>
        <v>808060.73476611171</v>
      </c>
    </row>
    <row r="260" spans="2:4" x14ac:dyDescent="0.25">
      <c r="B260" s="90">
        <v>256</v>
      </c>
      <c r="C260" s="39">
        <f t="shared" si="6"/>
        <v>2437305.5465484415</v>
      </c>
      <c r="D260" s="39">
        <f t="shared" si="7"/>
        <v>811229.60039264546</v>
      </c>
    </row>
    <row r="261" spans="2:4" x14ac:dyDescent="0.25">
      <c r="B261" s="90">
        <v>257</v>
      </c>
      <c r="C261" s="39">
        <f t="shared" ref="C261:C304" si="8">($C$2*B261)+$C$1</f>
        <v>2439968.4588396465</v>
      </c>
      <c r="D261" s="39">
        <f t="shared" ref="D261:D304" si="9">$D$2*B261</f>
        <v>814398.46601917921</v>
      </c>
    </row>
    <row r="262" spans="2:4" x14ac:dyDescent="0.25">
      <c r="B262" s="90">
        <v>258</v>
      </c>
      <c r="C262" s="39">
        <f t="shared" si="8"/>
        <v>2442631.3711308511</v>
      </c>
      <c r="D262" s="39">
        <f t="shared" si="9"/>
        <v>817567.33164571295</v>
      </c>
    </row>
    <row r="263" spans="2:4" x14ac:dyDescent="0.25">
      <c r="B263" s="90">
        <v>259</v>
      </c>
      <c r="C263" s="39">
        <f t="shared" si="8"/>
        <v>2445294.2834220561</v>
      </c>
      <c r="D263" s="39">
        <f t="shared" si="9"/>
        <v>820736.19727224682</v>
      </c>
    </row>
    <row r="264" spans="2:4" x14ac:dyDescent="0.25">
      <c r="B264" s="90">
        <v>260</v>
      </c>
      <c r="C264" s="39">
        <f t="shared" si="8"/>
        <v>2447957.1957132611</v>
      </c>
      <c r="D264" s="39">
        <f t="shared" si="9"/>
        <v>823905.06289878057</v>
      </c>
    </row>
    <row r="265" spans="2:4" x14ac:dyDescent="0.25">
      <c r="B265" s="90">
        <v>261</v>
      </c>
      <c r="C265" s="39">
        <f t="shared" si="8"/>
        <v>2450620.1080044657</v>
      </c>
      <c r="D265" s="39">
        <f t="shared" si="9"/>
        <v>827073.92852531432</v>
      </c>
    </row>
    <row r="266" spans="2:4" x14ac:dyDescent="0.25">
      <c r="B266" s="90">
        <v>262</v>
      </c>
      <c r="C266" s="39">
        <f t="shared" si="8"/>
        <v>2453283.0202956707</v>
      </c>
      <c r="D266" s="39">
        <f t="shared" si="9"/>
        <v>830242.79415184807</v>
      </c>
    </row>
    <row r="267" spans="2:4" x14ac:dyDescent="0.25">
      <c r="B267" s="90">
        <v>263</v>
      </c>
      <c r="C267" s="39">
        <f t="shared" si="8"/>
        <v>2455945.9325868757</v>
      </c>
      <c r="D267" s="39">
        <f t="shared" si="9"/>
        <v>833411.65977838181</v>
      </c>
    </row>
    <row r="268" spans="2:4" x14ac:dyDescent="0.25">
      <c r="B268" s="90">
        <v>264</v>
      </c>
      <c r="C268" s="39">
        <f t="shared" si="8"/>
        <v>2458608.8448780803</v>
      </c>
      <c r="D268" s="39">
        <f t="shared" si="9"/>
        <v>836580.52540491568</v>
      </c>
    </row>
    <row r="269" spans="2:4" x14ac:dyDescent="0.25">
      <c r="B269" s="90">
        <v>265</v>
      </c>
      <c r="C269" s="39">
        <f t="shared" si="8"/>
        <v>2461271.7571692853</v>
      </c>
      <c r="D269" s="39">
        <f t="shared" si="9"/>
        <v>839749.39103144943</v>
      </c>
    </row>
    <row r="270" spans="2:4" x14ac:dyDescent="0.25">
      <c r="B270" s="90">
        <v>266</v>
      </c>
      <c r="C270" s="39">
        <f t="shared" si="8"/>
        <v>2463934.6694604899</v>
      </c>
      <c r="D270" s="39">
        <f t="shared" si="9"/>
        <v>842918.25665798318</v>
      </c>
    </row>
    <row r="271" spans="2:4" x14ac:dyDescent="0.25">
      <c r="B271" s="90">
        <v>267</v>
      </c>
      <c r="C271" s="39">
        <f t="shared" si="8"/>
        <v>2466597.5817516949</v>
      </c>
      <c r="D271" s="39">
        <f t="shared" si="9"/>
        <v>846087.12228451692</v>
      </c>
    </row>
    <row r="272" spans="2:4" x14ac:dyDescent="0.25">
      <c r="B272" s="90">
        <v>268</v>
      </c>
      <c r="C272" s="39">
        <f t="shared" si="8"/>
        <v>2469260.4940428995</v>
      </c>
      <c r="D272" s="39">
        <f t="shared" si="9"/>
        <v>849255.98791105067</v>
      </c>
    </row>
    <row r="273" spans="2:4" x14ac:dyDescent="0.25">
      <c r="B273" s="90">
        <v>269</v>
      </c>
      <c r="C273" s="39">
        <f t="shared" si="8"/>
        <v>2471923.4063341045</v>
      </c>
      <c r="D273" s="39">
        <f t="shared" si="9"/>
        <v>852424.85353758454</v>
      </c>
    </row>
    <row r="274" spans="2:4" x14ac:dyDescent="0.25">
      <c r="B274" s="90">
        <v>270</v>
      </c>
      <c r="C274" s="39">
        <f t="shared" si="8"/>
        <v>2474586.3186253095</v>
      </c>
      <c r="D274" s="39">
        <f t="shared" si="9"/>
        <v>855593.71916411829</v>
      </c>
    </row>
    <row r="275" spans="2:4" x14ac:dyDescent="0.25">
      <c r="B275" s="90">
        <v>271</v>
      </c>
      <c r="C275" s="39">
        <f t="shared" si="8"/>
        <v>2477249.2309165141</v>
      </c>
      <c r="D275" s="39">
        <f t="shared" si="9"/>
        <v>858762.58479065204</v>
      </c>
    </row>
    <row r="276" spans="2:4" x14ac:dyDescent="0.25">
      <c r="B276" s="90">
        <v>272</v>
      </c>
      <c r="C276" s="39">
        <f t="shared" si="8"/>
        <v>2479912.1432077191</v>
      </c>
      <c r="D276" s="39">
        <f t="shared" si="9"/>
        <v>861931.45041718578</v>
      </c>
    </row>
    <row r="277" spans="2:4" x14ac:dyDescent="0.25">
      <c r="B277" s="90">
        <v>273</v>
      </c>
      <c r="C277" s="39">
        <f t="shared" si="8"/>
        <v>2482575.0554989241</v>
      </c>
      <c r="D277" s="39">
        <f t="shared" si="9"/>
        <v>865100.31604371953</v>
      </c>
    </row>
    <row r="278" spans="2:4" x14ac:dyDescent="0.25">
      <c r="B278" s="90">
        <v>274</v>
      </c>
      <c r="C278" s="39">
        <f t="shared" si="8"/>
        <v>2485237.9677901287</v>
      </c>
      <c r="D278" s="39">
        <f t="shared" si="9"/>
        <v>868269.1816702534</v>
      </c>
    </row>
    <row r="279" spans="2:4" x14ac:dyDescent="0.25">
      <c r="B279" s="90">
        <v>275</v>
      </c>
      <c r="C279" s="39">
        <f t="shared" si="8"/>
        <v>2487900.8800813337</v>
      </c>
      <c r="D279" s="39">
        <f t="shared" si="9"/>
        <v>871438.04729678715</v>
      </c>
    </row>
    <row r="280" spans="2:4" x14ac:dyDescent="0.25">
      <c r="B280" s="90">
        <v>276</v>
      </c>
      <c r="C280" s="39">
        <f t="shared" si="8"/>
        <v>2490563.7923725387</v>
      </c>
      <c r="D280" s="39">
        <f t="shared" si="9"/>
        <v>874606.9129233209</v>
      </c>
    </row>
    <row r="281" spans="2:4" x14ac:dyDescent="0.25">
      <c r="B281" s="90">
        <v>277</v>
      </c>
      <c r="C281" s="39">
        <f t="shared" si="8"/>
        <v>2493226.7046637433</v>
      </c>
      <c r="D281" s="39">
        <f t="shared" si="9"/>
        <v>877775.77854985464</v>
      </c>
    </row>
    <row r="282" spans="2:4" x14ac:dyDescent="0.25">
      <c r="B282" s="90">
        <v>278</v>
      </c>
      <c r="C282" s="39">
        <f t="shared" si="8"/>
        <v>2495889.6169549483</v>
      </c>
      <c r="D282" s="39">
        <f t="shared" si="9"/>
        <v>880944.64417638839</v>
      </c>
    </row>
    <row r="283" spans="2:4" x14ac:dyDescent="0.25">
      <c r="B283" s="90">
        <v>279</v>
      </c>
      <c r="C283" s="39">
        <f t="shared" si="8"/>
        <v>2498552.5292461533</v>
      </c>
      <c r="D283" s="39">
        <f t="shared" si="9"/>
        <v>884113.50980292214</v>
      </c>
    </row>
    <row r="284" spans="2:4" x14ac:dyDescent="0.25">
      <c r="B284" s="90">
        <v>280</v>
      </c>
      <c r="C284" s="39">
        <f t="shared" si="8"/>
        <v>2501215.4415373579</v>
      </c>
      <c r="D284" s="39">
        <f t="shared" si="9"/>
        <v>887282.37542945601</v>
      </c>
    </row>
    <row r="285" spans="2:4" x14ac:dyDescent="0.25">
      <c r="B285" s="90">
        <v>281</v>
      </c>
      <c r="C285" s="39">
        <f t="shared" si="8"/>
        <v>2503878.3538285629</v>
      </c>
      <c r="D285" s="39">
        <f t="shared" si="9"/>
        <v>890451.24105598975</v>
      </c>
    </row>
    <row r="286" spans="2:4" x14ac:dyDescent="0.25">
      <c r="B286" s="90">
        <v>282</v>
      </c>
      <c r="C286" s="39">
        <f t="shared" si="8"/>
        <v>2506541.2661197674</v>
      </c>
      <c r="D286" s="39">
        <f t="shared" si="9"/>
        <v>893620.1066825235</v>
      </c>
    </row>
    <row r="287" spans="2:4" x14ac:dyDescent="0.25">
      <c r="B287" s="90">
        <v>283</v>
      </c>
      <c r="C287" s="39">
        <f t="shared" si="8"/>
        <v>2509204.1784109725</v>
      </c>
      <c r="D287" s="39">
        <f t="shared" si="9"/>
        <v>896788.97230905725</v>
      </c>
    </row>
    <row r="288" spans="2:4" x14ac:dyDescent="0.25">
      <c r="B288" s="90">
        <v>284</v>
      </c>
      <c r="C288" s="39">
        <f t="shared" si="8"/>
        <v>2511867.090702177</v>
      </c>
      <c r="D288" s="39">
        <f t="shared" si="9"/>
        <v>899957.837935591</v>
      </c>
    </row>
    <row r="289" spans="2:4" x14ac:dyDescent="0.25">
      <c r="B289" s="90">
        <v>285</v>
      </c>
      <c r="C289" s="39">
        <f t="shared" si="8"/>
        <v>2514530.002993382</v>
      </c>
      <c r="D289" s="39">
        <f t="shared" si="9"/>
        <v>903126.70356212487</v>
      </c>
    </row>
    <row r="290" spans="2:4" x14ac:dyDescent="0.25">
      <c r="B290" s="90">
        <v>286</v>
      </c>
      <c r="C290" s="39">
        <f t="shared" si="8"/>
        <v>2517192.9152845871</v>
      </c>
      <c r="D290" s="39">
        <f t="shared" si="9"/>
        <v>906295.56918865861</v>
      </c>
    </row>
    <row r="291" spans="2:4" x14ac:dyDescent="0.25">
      <c r="B291" s="90">
        <v>287</v>
      </c>
      <c r="C291" s="39">
        <f t="shared" si="8"/>
        <v>2519855.8275757916</v>
      </c>
      <c r="D291" s="39">
        <f t="shared" si="9"/>
        <v>909464.43481519236</v>
      </c>
    </row>
    <row r="292" spans="2:4" x14ac:dyDescent="0.25">
      <c r="B292" s="90">
        <v>288</v>
      </c>
      <c r="C292" s="39">
        <f t="shared" si="8"/>
        <v>2522518.7398669966</v>
      </c>
      <c r="D292" s="39">
        <f t="shared" si="9"/>
        <v>912633.30044172611</v>
      </c>
    </row>
    <row r="293" spans="2:4" x14ac:dyDescent="0.25">
      <c r="B293" s="90">
        <v>289</v>
      </c>
      <c r="C293" s="39">
        <f t="shared" si="8"/>
        <v>2525181.6521582017</v>
      </c>
      <c r="D293" s="39">
        <f t="shared" si="9"/>
        <v>915802.16606825986</v>
      </c>
    </row>
    <row r="294" spans="2:4" x14ac:dyDescent="0.25">
      <c r="B294" s="90">
        <v>290</v>
      </c>
      <c r="C294" s="39">
        <f t="shared" si="8"/>
        <v>2527844.5644494062</v>
      </c>
      <c r="D294" s="39">
        <f t="shared" si="9"/>
        <v>918971.03169479372</v>
      </c>
    </row>
    <row r="295" spans="2:4" x14ac:dyDescent="0.25">
      <c r="B295" s="90">
        <v>291</v>
      </c>
      <c r="C295" s="39">
        <f t="shared" si="8"/>
        <v>2530507.4767406113</v>
      </c>
      <c r="D295" s="39">
        <f t="shared" si="9"/>
        <v>922139.89732132747</v>
      </c>
    </row>
    <row r="296" spans="2:4" x14ac:dyDescent="0.25">
      <c r="B296" s="90">
        <v>292</v>
      </c>
      <c r="C296" s="39">
        <f t="shared" si="8"/>
        <v>2533170.3890318163</v>
      </c>
      <c r="D296" s="39">
        <f t="shared" si="9"/>
        <v>925308.76294786122</v>
      </c>
    </row>
    <row r="297" spans="2:4" x14ac:dyDescent="0.25">
      <c r="B297" s="90">
        <v>293</v>
      </c>
      <c r="C297" s="39">
        <f t="shared" si="8"/>
        <v>2535833.3013230208</v>
      </c>
      <c r="D297" s="39">
        <f t="shared" si="9"/>
        <v>928477.62857439497</v>
      </c>
    </row>
    <row r="298" spans="2:4" x14ac:dyDescent="0.25">
      <c r="B298" s="90">
        <v>294</v>
      </c>
      <c r="C298" s="39">
        <f t="shared" si="8"/>
        <v>2538496.2136142259</v>
      </c>
      <c r="D298" s="39">
        <f t="shared" si="9"/>
        <v>931646.49420092872</v>
      </c>
    </row>
    <row r="299" spans="2:4" x14ac:dyDescent="0.25">
      <c r="B299" s="90">
        <v>295</v>
      </c>
      <c r="C299" s="39">
        <f t="shared" si="8"/>
        <v>2541159.1259054309</v>
      </c>
      <c r="D299" s="39">
        <f t="shared" si="9"/>
        <v>934815.35982746258</v>
      </c>
    </row>
    <row r="300" spans="2:4" x14ac:dyDescent="0.25">
      <c r="B300" s="90">
        <v>296</v>
      </c>
      <c r="C300" s="39">
        <f t="shared" si="8"/>
        <v>2543822.0381966354</v>
      </c>
      <c r="D300" s="39">
        <f t="shared" si="9"/>
        <v>937984.22545399633</v>
      </c>
    </row>
    <row r="301" spans="2:4" x14ac:dyDescent="0.25">
      <c r="B301" s="90">
        <v>297</v>
      </c>
      <c r="C301" s="39">
        <f t="shared" si="8"/>
        <v>2546484.9504878405</v>
      </c>
      <c r="D301" s="39">
        <f t="shared" si="9"/>
        <v>941153.09108053008</v>
      </c>
    </row>
    <row r="302" spans="2:4" x14ac:dyDescent="0.25">
      <c r="B302" s="90">
        <v>298</v>
      </c>
      <c r="C302" s="39">
        <f t="shared" si="8"/>
        <v>2549147.8627790455</v>
      </c>
      <c r="D302" s="39">
        <f t="shared" si="9"/>
        <v>944321.95670706383</v>
      </c>
    </row>
    <row r="303" spans="2:4" x14ac:dyDescent="0.25">
      <c r="B303" s="90">
        <v>299</v>
      </c>
      <c r="C303" s="39">
        <f t="shared" si="8"/>
        <v>2551810.77507025</v>
      </c>
      <c r="D303" s="39">
        <f t="shared" si="9"/>
        <v>947490.82233359758</v>
      </c>
    </row>
    <row r="304" spans="2:4" x14ac:dyDescent="0.25">
      <c r="B304" s="90">
        <v>300</v>
      </c>
      <c r="C304" s="39">
        <f t="shared" si="8"/>
        <v>2554473.6873614551</v>
      </c>
      <c r="D304" s="39">
        <f t="shared" si="9"/>
        <v>950659.68796013144</v>
      </c>
    </row>
    <row r="305" spans="2:4" x14ac:dyDescent="0.25">
      <c r="B305" s="90">
        <v>301</v>
      </c>
      <c r="C305" s="39">
        <f t="shared" ref="C305:C368" si="10">($C$2*B305)+$C$1</f>
        <v>2557136.5996526596</v>
      </c>
      <c r="D305" s="39">
        <f t="shared" ref="D305:D368" si="11">$D$2*B305</f>
        <v>953828.55358666519</v>
      </c>
    </row>
    <row r="306" spans="2:4" x14ac:dyDescent="0.25">
      <c r="B306" s="90">
        <v>302</v>
      </c>
      <c r="C306" s="39">
        <f t="shared" si="10"/>
        <v>2559799.5119438646</v>
      </c>
      <c r="D306" s="39">
        <f t="shared" si="11"/>
        <v>956997.41921319894</v>
      </c>
    </row>
    <row r="307" spans="2:4" x14ac:dyDescent="0.25">
      <c r="B307" s="90">
        <v>303</v>
      </c>
      <c r="C307" s="39">
        <f t="shared" si="10"/>
        <v>2562462.4242350692</v>
      </c>
      <c r="D307" s="39">
        <f t="shared" si="11"/>
        <v>960166.28483973269</v>
      </c>
    </row>
    <row r="308" spans="2:4" x14ac:dyDescent="0.25">
      <c r="B308" s="90">
        <v>304</v>
      </c>
      <c r="C308" s="39">
        <f t="shared" si="10"/>
        <v>2565125.3365262742</v>
      </c>
      <c r="D308" s="39">
        <f t="shared" si="11"/>
        <v>963335.15046626644</v>
      </c>
    </row>
    <row r="309" spans="2:4" x14ac:dyDescent="0.25">
      <c r="B309" s="90">
        <v>305</v>
      </c>
      <c r="C309" s="39">
        <f t="shared" si="10"/>
        <v>2567788.2488174792</v>
      </c>
      <c r="D309" s="39">
        <f t="shared" si="11"/>
        <v>966504.0160928003</v>
      </c>
    </row>
    <row r="310" spans="2:4" x14ac:dyDescent="0.25">
      <c r="B310" s="90">
        <v>306</v>
      </c>
      <c r="C310" s="39">
        <f t="shared" si="10"/>
        <v>2570451.1611086838</v>
      </c>
      <c r="D310" s="39">
        <f t="shared" si="11"/>
        <v>969672.88171933405</v>
      </c>
    </row>
    <row r="311" spans="2:4" x14ac:dyDescent="0.25">
      <c r="B311" s="90">
        <v>307</v>
      </c>
      <c r="C311" s="39">
        <f t="shared" si="10"/>
        <v>2573114.0733998888</v>
      </c>
      <c r="D311" s="39">
        <f t="shared" si="11"/>
        <v>972841.7473458678</v>
      </c>
    </row>
    <row r="312" spans="2:4" x14ac:dyDescent="0.25">
      <c r="B312" s="90">
        <v>308</v>
      </c>
      <c r="C312" s="39">
        <f t="shared" si="10"/>
        <v>2575776.9856910938</v>
      </c>
      <c r="D312" s="39">
        <f t="shared" si="11"/>
        <v>976010.61297240155</v>
      </c>
    </row>
    <row r="313" spans="2:4" x14ac:dyDescent="0.25">
      <c r="B313" s="90">
        <v>309</v>
      </c>
      <c r="C313" s="39">
        <f t="shared" si="10"/>
        <v>2578439.8979822984</v>
      </c>
      <c r="D313" s="39">
        <f t="shared" si="11"/>
        <v>979179.4785989353</v>
      </c>
    </row>
    <row r="314" spans="2:4" x14ac:dyDescent="0.25">
      <c r="B314" s="90">
        <v>310</v>
      </c>
      <c r="C314" s="39">
        <f t="shared" si="10"/>
        <v>2581102.8102735034</v>
      </c>
      <c r="D314" s="39">
        <f t="shared" si="11"/>
        <v>982348.34422546916</v>
      </c>
    </row>
    <row r="315" spans="2:4" x14ac:dyDescent="0.25">
      <c r="B315" s="90">
        <v>311</v>
      </c>
      <c r="C315" s="39">
        <f t="shared" si="10"/>
        <v>2583765.7225647084</v>
      </c>
      <c r="D315" s="39">
        <f t="shared" si="11"/>
        <v>985517.20985200291</v>
      </c>
    </row>
    <row r="316" spans="2:4" x14ac:dyDescent="0.25">
      <c r="B316" s="90">
        <v>312</v>
      </c>
      <c r="C316" s="39">
        <f t="shared" si="10"/>
        <v>2586428.634855913</v>
      </c>
      <c r="D316" s="39">
        <f t="shared" si="11"/>
        <v>988686.07547853666</v>
      </c>
    </row>
    <row r="317" spans="2:4" x14ac:dyDescent="0.25">
      <c r="B317" s="90">
        <v>313</v>
      </c>
      <c r="C317" s="39">
        <f t="shared" si="10"/>
        <v>2589091.547147118</v>
      </c>
      <c r="D317" s="39">
        <f t="shared" si="11"/>
        <v>991854.94110507041</v>
      </c>
    </row>
    <row r="318" spans="2:4" x14ac:dyDescent="0.25">
      <c r="B318" s="90">
        <v>314</v>
      </c>
      <c r="C318" s="39">
        <f t="shared" si="10"/>
        <v>2591754.459438323</v>
      </c>
      <c r="D318" s="39">
        <f t="shared" si="11"/>
        <v>995023.80673160416</v>
      </c>
    </row>
    <row r="319" spans="2:4" x14ac:dyDescent="0.25">
      <c r="B319" s="90">
        <v>315</v>
      </c>
      <c r="C319" s="39">
        <f t="shared" si="10"/>
        <v>2594417.3717295276</v>
      </c>
      <c r="D319" s="39">
        <f t="shared" si="11"/>
        <v>998192.67235813802</v>
      </c>
    </row>
    <row r="320" spans="2:4" x14ac:dyDescent="0.25">
      <c r="B320" s="90">
        <v>316</v>
      </c>
      <c r="C320" s="39">
        <f t="shared" si="10"/>
        <v>2597080.2840207326</v>
      </c>
      <c r="D320" s="39">
        <f t="shared" si="11"/>
        <v>1001361.5379846718</v>
      </c>
    </row>
    <row r="321" spans="2:4" x14ac:dyDescent="0.25">
      <c r="B321" s="90">
        <v>317</v>
      </c>
      <c r="C321" s="39">
        <f t="shared" si="10"/>
        <v>2599743.1963119372</v>
      </c>
      <c r="D321" s="39">
        <f t="shared" si="11"/>
        <v>1004530.4036112055</v>
      </c>
    </row>
    <row r="322" spans="2:4" x14ac:dyDescent="0.25">
      <c r="B322" s="90">
        <v>318</v>
      </c>
      <c r="C322" s="39">
        <f t="shared" si="10"/>
        <v>2602406.1086031422</v>
      </c>
      <c r="D322" s="39">
        <f t="shared" si="11"/>
        <v>1007699.2692377393</v>
      </c>
    </row>
    <row r="323" spans="2:4" x14ac:dyDescent="0.25">
      <c r="B323" s="90">
        <v>319</v>
      </c>
      <c r="C323" s="39">
        <f t="shared" si="10"/>
        <v>2605069.0208943468</v>
      </c>
      <c r="D323" s="39">
        <f t="shared" si="11"/>
        <v>1010868.134864273</v>
      </c>
    </row>
    <row r="324" spans="2:4" x14ac:dyDescent="0.25">
      <c r="B324" s="90">
        <v>320</v>
      </c>
      <c r="C324" s="39">
        <f t="shared" si="10"/>
        <v>2607731.9331855518</v>
      </c>
      <c r="D324" s="39">
        <f t="shared" si="11"/>
        <v>1014037.0004908068</v>
      </c>
    </row>
    <row r="325" spans="2:4" x14ac:dyDescent="0.25">
      <c r="B325" s="90">
        <v>321</v>
      </c>
      <c r="C325" s="39">
        <f t="shared" si="10"/>
        <v>2610394.8454767568</v>
      </c>
      <c r="D325" s="39">
        <f t="shared" si="11"/>
        <v>1017205.8661173406</v>
      </c>
    </row>
    <row r="326" spans="2:4" x14ac:dyDescent="0.25">
      <c r="B326" s="90">
        <v>322</v>
      </c>
      <c r="C326" s="39">
        <f t="shared" si="10"/>
        <v>2613057.7577679614</v>
      </c>
      <c r="D326" s="39">
        <f t="shared" si="11"/>
        <v>1020374.7317438744</v>
      </c>
    </row>
    <row r="327" spans="2:4" x14ac:dyDescent="0.25">
      <c r="B327" s="90">
        <v>323</v>
      </c>
      <c r="C327" s="39">
        <f t="shared" si="10"/>
        <v>2615720.6700591664</v>
      </c>
      <c r="D327" s="39">
        <f t="shared" si="11"/>
        <v>1023543.5973704081</v>
      </c>
    </row>
    <row r="328" spans="2:4" x14ac:dyDescent="0.25">
      <c r="B328" s="90">
        <v>324</v>
      </c>
      <c r="C328" s="39">
        <f t="shared" si="10"/>
        <v>2618383.5823503714</v>
      </c>
      <c r="D328" s="39">
        <f t="shared" si="11"/>
        <v>1026712.4629969419</v>
      </c>
    </row>
    <row r="329" spans="2:4" x14ac:dyDescent="0.25">
      <c r="B329" s="90">
        <v>325</v>
      </c>
      <c r="C329" s="39">
        <f t="shared" si="10"/>
        <v>2621046.494641576</v>
      </c>
      <c r="D329" s="39">
        <f t="shared" si="11"/>
        <v>1029881.3286234756</v>
      </c>
    </row>
    <row r="330" spans="2:4" x14ac:dyDescent="0.25">
      <c r="B330" s="90">
        <v>326</v>
      </c>
      <c r="C330" s="39">
        <f t="shared" si="10"/>
        <v>2623709.406932781</v>
      </c>
      <c r="D330" s="39">
        <f t="shared" si="11"/>
        <v>1033050.1942500095</v>
      </c>
    </row>
    <row r="331" spans="2:4" x14ac:dyDescent="0.25">
      <c r="B331" s="90">
        <v>327</v>
      </c>
      <c r="C331" s="39">
        <f t="shared" si="10"/>
        <v>2626372.319223986</v>
      </c>
      <c r="D331" s="39">
        <f t="shared" si="11"/>
        <v>1036219.0598765432</v>
      </c>
    </row>
    <row r="332" spans="2:4" x14ac:dyDescent="0.25">
      <c r="B332" s="90">
        <v>328</v>
      </c>
      <c r="C332" s="39">
        <f t="shared" si="10"/>
        <v>2629035.2315151906</v>
      </c>
      <c r="D332" s="39">
        <f t="shared" si="11"/>
        <v>1039387.925503077</v>
      </c>
    </row>
    <row r="333" spans="2:4" x14ac:dyDescent="0.25">
      <c r="B333" s="90">
        <v>329</v>
      </c>
      <c r="C333" s="39">
        <f t="shared" si="10"/>
        <v>2631698.1438063956</v>
      </c>
      <c r="D333" s="39">
        <f t="shared" si="11"/>
        <v>1042556.7911296107</v>
      </c>
    </row>
    <row r="334" spans="2:4" x14ac:dyDescent="0.25">
      <c r="B334" s="90">
        <v>330</v>
      </c>
      <c r="C334" s="39">
        <f t="shared" si="10"/>
        <v>2634361.0560976006</v>
      </c>
      <c r="D334" s="39">
        <f t="shared" si="11"/>
        <v>1045725.6567561445</v>
      </c>
    </row>
    <row r="335" spans="2:4" x14ac:dyDescent="0.25">
      <c r="B335" s="90">
        <v>331</v>
      </c>
      <c r="C335" s="39">
        <f t="shared" si="10"/>
        <v>2637023.9683888052</v>
      </c>
      <c r="D335" s="39">
        <f t="shared" si="11"/>
        <v>1048894.5223826782</v>
      </c>
    </row>
    <row r="336" spans="2:4" x14ac:dyDescent="0.25">
      <c r="B336" s="90">
        <v>332</v>
      </c>
      <c r="C336" s="39">
        <f t="shared" si="10"/>
        <v>2639686.8806800102</v>
      </c>
      <c r="D336" s="39">
        <f t="shared" si="11"/>
        <v>1052063.388009212</v>
      </c>
    </row>
    <row r="337" spans="2:4" x14ac:dyDescent="0.25">
      <c r="B337" s="90">
        <v>333</v>
      </c>
      <c r="C337" s="39">
        <f t="shared" si="10"/>
        <v>2642349.7929712152</v>
      </c>
      <c r="D337" s="39">
        <f t="shared" si="11"/>
        <v>1055232.253635746</v>
      </c>
    </row>
    <row r="338" spans="2:4" x14ac:dyDescent="0.25">
      <c r="B338" s="90">
        <v>334</v>
      </c>
      <c r="C338" s="39">
        <f t="shared" si="10"/>
        <v>2645012.7052624198</v>
      </c>
      <c r="D338" s="39">
        <f t="shared" si="11"/>
        <v>1058401.1192622797</v>
      </c>
    </row>
    <row r="339" spans="2:4" x14ac:dyDescent="0.25">
      <c r="B339" s="90">
        <v>335</v>
      </c>
      <c r="C339" s="39">
        <f t="shared" si="10"/>
        <v>2647675.6175536248</v>
      </c>
      <c r="D339" s="39">
        <f t="shared" si="11"/>
        <v>1061569.9848888135</v>
      </c>
    </row>
    <row r="340" spans="2:4" x14ac:dyDescent="0.25">
      <c r="B340" s="90">
        <v>336</v>
      </c>
      <c r="C340" s="39">
        <f t="shared" si="10"/>
        <v>2650338.5298448293</v>
      </c>
      <c r="D340" s="39">
        <f t="shared" si="11"/>
        <v>1064738.8505153472</v>
      </c>
    </row>
    <row r="341" spans="2:4" x14ac:dyDescent="0.25">
      <c r="B341" s="90">
        <v>337</v>
      </c>
      <c r="C341" s="39">
        <f t="shared" si="10"/>
        <v>2653001.4421360344</v>
      </c>
      <c r="D341" s="39">
        <f t="shared" si="11"/>
        <v>1067907.716141881</v>
      </c>
    </row>
    <row r="342" spans="2:4" x14ac:dyDescent="0.25">
      <c r="B342" s="90">
        <v>338</v>
      </c>
      <c r="C342" s="39">
        <f t="shared" si="10"/>
        <v>2655664.3544272389</v>
      </c>
      <c r="D342" s="39">
        <f t="shared" si="11"/>
        <v>1071076.5817684147</v>
      </c>
    </row>
    <row r="343" spans="2:4" x14ac:dyDescent="0.25">
      <c r="B343" s="90">
        <v>339</v>
      </c>
      <c r="C343" s="39">
        <f t="shared" si="10"/>
        <v>2658327.2667184439</v>
      </c>
      <c r="D343" s="39">
        <f t="shared" si="11"/>
        <v>1074245.4473949485</v>
      </c>
    </row>
    <row r="344" spans="2:4" x14ac:dyDescent="0.25">
      <c r="B344" s="90">
        <v>340</v>
      </c>
      <c r="C344" s="39">
        <f t="shared" si="10"/>
        <v>2660990.179009649</v>
      </c>
      <c r="D344" s="39">
        <f t="shared" si="11"/>
        <v>1077414.3130214822</v>
      </c>
    </row>
    <row r="345" spans="2:4" x14ac:dyDescent="0.25">
      <c r="B345" s="90">
        <v>341</v>
      </c>
      <c r="C345" s="39">
        <f t="shared" si="10"/>
        <v>2663653.0913008535</v>
      </c>
      <c r="D345" s="39">
        <f t="shared" si="11"/>
        <v>1080583.1786480159</v>
      </c>
    </row>
    <row r="346" spans="2:4" x14ac:dyDescent="0.25">
      <c r="B346" s="90">
        <v>342</v>
      </c>
      <c r="C346" s="39">
        <f t="shared" si="10"/>
        <v>2666316.0035920586</v>
      </c>
      <c r="D346" s="39">
        <f t="shared" si="11"/>
        <v>1083752.0442745497</v>
      </c>
    </row>
    <row r="347" spans="2:4" x14ac:dyDescent="0.25">
      <c r="B347" s="90">
        <v>343</v>
      </c>
      <c r="C347" s="39">
        <f t="shared" si="10"/>
        <v>2668978.9158832636</v>
      </c>
      <c r="D347" s="39">
        <f t="shared" si="11"/>
        <v>1086920.9099010834</v>
      </c>
    </row>
    <row r="348" spans="2:4" x14ac:dyDescent="0.25">
      <c r="B348" s="90">
        <v>344</v>
      </c>
      <c r="C348" s="39">
        <f t="shared" si="10"/>
        <v>2671641.8281744681</v>
      </c>
      <c r="D348" s="39">
        <f t="shared" si="11"/>
        <v>1090089.7755276174</v>
      </c>
    </row>
    <row r="349" spans="2:4" x14ac:dyDescent="0.25">
      <c r="B349" s="90">
        <v>345</v>
      </c>
      <c r="C349" s="39">
        <f t="shared" si="10"/>
        <v>2674304.7404656732</v>
      </c>
      <c r="D349" s="39">
        <f t="shared" si="11"/>
        <v>1093258.6411541512</v>
      </c>
    </row>
    <row r="350" spans="2:4" x14ac:dyDescent="0.25">
      <c r="B350" s="90">
        <v>346</v>
      </c>
      <c r="C350" s="39">
        <f t="shared" si="10"/>
        <v>2676967.6527568782</v>
      </c>
      <c r="D350" s="39">
        <f t="shared" si="11"/>
        <v>1096427.5067806849</v>
      </c>
    </row>
    <row r="351" spans="2:4" x14ac:dyDescent="0.25">
      <c r="B351" s="90">
        <v>347</v>
      </c>
      <c r="C351" s="39">
        <f t="shared" si="10"/>
        <v>2679630.5650480827</v>
      </c>
      <c r="D351" s="39">
        <f t="shared" si="11"/>
        <v>1099596.3724072187</v>
      </c>
    </row>
    <row r="352" spans="2:4" x14ac:dyDescent="0.25">
      <c r="B352" s="90">
        <v>348</v>
      </c>
      <c r="C352" s="39">
        <f t="shared" si="10"/>
        <v>2682293.4773392878</v>
      </c>
      <c r="D352" s="39">
        <f t="shared" si="11"/>
        <v>1102765.2380337524</v>
      </c>
    </row>
    <row r="353" spans="2:4" x14ac:dyDescent="0.25">
      <c r="B353" s="90">
        <v>349</v>
      </c>
      <c r="C353" s="39">
        <f t="shared" si="10"/>
        <v>2684956.3896304928</v>
      </c>
      <c r="D353" s="39">
        <f t="shared" si="11"/>
        <v>1105934.1036602862</v>
      </c>
    </row>
    <row r="354" spans="2:4" x14ac:dyDescent="0.25">
      <c r="B354" s="90">
        <v>350</v>
      </c>
      <c r="C354" s="39">
        <f t="shared" si="10"/>
        <v>2687619.3019216973</v>
      </c>
      <c r="D354" s="39">
        <f t="shared" si="11"/>
        <v>1109102.9692868199</v>
      </c>
    </row>
    <row r="355" spans="2:4" x14ac:dyDescent="0.25">
      <c r="B355" s="90">
        <v>351</v>
      </c>
      <c r="C355" s="39">
        <f t="shared" si="10"/>
        <v>2690282.2142129024</v>
      </c>
      <c r="D355" s="39">
        <f t="shared" si="11"/>
        <v>1112271.8349133537</v>
      </c>
    </row>
    <row r="356" spans="2:4" x14ac:dyDescent="0.25">
      <c r="B356" s="90">
        <v>352</v>
      </c>
      <c r="C356" s="39">
        <f t="shared" si="10"/>
        <v>2692945.1265041074</v>
      </c>
      <c r="D356" s="39">
        <f t="shared" si="11"/>
        <v>1115440.7005398874</v>
      </c>
    </row>
    <row r="357" spans="2:4" x14ac:dyDescent="0.25">
      <c r="B357" s="90">
        <v>353</v>
      </c>
      <c r="C357" s="39">
        <f t="shared" si="10"/>
        <v>2695608.0387953119</v>
      </c>
      <c r="D357" s="39">
        <f t="shared" si="11"/>
        <v>1118609.5661664212</v>
      </c>
    </row>
    <row r="358" spans="2:4" x14ac:dyDescent="0.25">
      <c r="B358" s="90">
        <v>354</v>
      </c>
      <c r="C358" s="39">
        <f t="shared" si="10"/>
        <v>2698270.951086517</v>
      </c>
      <c r="D358" s="39">
        <f t="shared" si="11"/>
        <v>1121778.4317929551</v>
      </c>
    </row>
    <row r="359" spans="2:4" x14ac:dyDescent="0.25">
      <c r="B359" s="90">
        <v>355</v>
      </c>
      <c r="C359" s="39">
        <f t="shared" si="10"/>
        <v>2700933.8633777215</v>
      </c>
      <c r="D359" s="39">
        <f t="shared" si="11"/>
        <v>1124947.2974194889</v>
      </c>
    </row>
    <row r="360" spans="2:4" x14ac:dyDescent="0.25">
      <c r="B360" s="90">
        <v>356</v>
      </c>
      <c r="C360" s="39">
        <f t="shared" si="10"/>
        <v>2703596.7756689265</v>
      </c>
      <c r="D360" s="39">
        <f t="shared" si="11"/>
        <v>1128116.1630460226</v>
      </c>
    </row>
    <row r="361" spans="2:4" x14ac:dyDescent="0.25">
      <c r="B361" s="90">
        <v>357</v>
      </c>
      <c r="C361" s="39">
        <f t="shared" si="10"/>
        <v>2706259.6879601311</v>
      </c>
      <c r="D361" s="39">
        <f t="shared" si="11"/>
        <v>1131285.0286725564</v>
      </c>
    </row>
    <row r="362" spans="2:4" x14ac:dyDescent="0.25">
      <c r="B362" s="90">
        <v>358</v>
      </c>
      <c r="C362" s="39">
        <f t="shared" si="10"/>
        <v>2708922.6002513361</v>
      </c>
      <c r="D362" s="39">
        <f t="shared" si="11"/>
        <v>1134453.8942990901</v>
      </c>
    </row>
    <row r="363" spans="2:4" x14ac:dyDescent="0.25">
      <c r="B363" s="90">
        <v>359</v>
      </c>
      <c r="C363" s="39">
        <f t="shared" si="10"/>
        <v>2711585.5125425411</v>
      </c>
      <c r="D363" s="39">
        <f t="shared" si="11"/>
        <v>1137622.7599256239</v>
      </c>
    </row>
    <row r="364" spans="2:4" x14ac:dyDescent="0.25">
      <c r="B364" s="90">
        <v>360</v>
      </c>
      <c r="C364" s="39">
        <f t="shared" si="10"/>
        <v>2714248.4248337457</v>
      </c>
      <c r="D364" s="39">
        <f t="shared" si="11"/>
        <v>1140791.6255521576</v>
      </c>
    </row>
    <row r="365" spans="2:4" x14ac:dyDescent="0.25">
      <c r="B365" s="90">
        <v>361</v>
      </c>
      <c r="C365" s="39">
        <f t="shared" si="10"/>
        <v>2716911.3371249507</v>
      </c>
      <c r="D365" s="39">
        <f t="shared" si="11"/>
        <v>1143960.4911786914</v>
      </c>
    </row>
    <row r="366" spans="2:4" x14ac:dyDescent="0.25">
      <c r="B366" s="90">
        <v>362</v>
      </c>
      <c r="C366" s="39">
        <f t="shared" si="10"/>
        <v>2719574.2494161557</v>
      </c>
      <c r="D366" s="39">
        <f t="shared" si="11"/>
        <v>1147129.3568052251</v>
      </c>
    </row>
    <row r="367" spans="2:4" x14ac:dyDescent="0.25">
      <c r="B367" s="90">
        <v>363</v>
      </c>
      <c r="C367" s="39">
        <f t="shared" si="10"/>
        <v>2722237.1617073603</v>
      </c>
      <c r="D367" s="39">
        <f t="shared" si="11"/>
        <v>1150298.2224317589</v>
      </c>
    </row>
    <row r="368" spans="2:4" x14ac:dyDescent="0.25">
      <c r="B368" s="90">
        <v>364</v>
      </c>
      <c r="C368" s="39">
        <f t="shared" si="10"/>
        <v>2724900.0739985653</v>
      </c>
      <c r="D368" s="39">
        <f t="shared" si="11"/>
        <v>1153467.0880582929</v>
      </c>
    </row>
    <row r="369" spans="2:4" x14ac:dyDescent="0.25">
      <c r="B369" s="90">
        <v>365</v>
      </c>
      <c r="C369" s="39">
        <f t="shared" ref="C369:C432" si="12">($C$2*B369)+$C$1</f>
        <v>2727562.9862897703</v>
      </c>
      <c r="D369" s="39">
        <f t="shared" ref="D369:D432" si="13">$D$2*B369</f>
        <v>1156635.9536848266</v>
      </c>
    </row>
    <row r="370" spans="2:4" x14ac:dyDescent="0.25">
      <c r="B370" s="90">
        <v>366</v>
      </c>
      <c r="C370" s="39">
        <f t="shared" si="12"/>
        <v>2730225.8985809749</v>
      </c>
      <c r="D370" s="39">
        <f t="shared" si="13"/>
        <v>1159804.8193113604</v>
      </c>
    </row>
    <row r="371" spans="2:4" x14ac:dyDescent="0.25">
      <c r="B371" s="90">
        <v>367</v>
      </c>
      <c r="C371" s="39">
        <f t="shared" si="12"/>
        <v>2732888.8108721799</v>
      </c>
      <c r="D371" s="39">
        <f t="shared" si="13"/>
        <v>1162973.6849378941</v>
      </c>
    </row>
    <row r="372" spans="2:4" x14ac:dyDescent="0.25">
      <c r="B372" s="90">
        <v>368</v>
      </c>
      <c r="C372" s="39">
        <f t="shared" si="12"/>
        <v>2735551.7231633849</v>
      </c>
      <c r="D372" s="39">
        <f t="shared" si="13"/>
        <v>1166142.5505644279</v>
      </c>
    </row>
    <row r="373" spans="2:4" x14ac:dyDescent="0.25">
      <c r="B373" s="90">
        <v>369</v>
      </c>
      <c r="C373" s="39">
        <f t="shared" si="12"/>
        <v>2738214.6354545895</v>
      </c>
      <c r="D373" s="39">
        <f t="shared" si="13"/>
        <v>1169311.4161909616</v>
      </c>
    </row>
    <row r="374" spans="2:4" x14ac:dyDescent="0.25">
      <c r="B374" s="90">
        <v>370</v>
      </c>
      <c r="C374" s="39">
        <f t="shared" si="12"/>
        <v>2740877.5477457945</v>
      </c>
      <c r="D374" s="39">
        <f t="shared" si="13"/>
        <v>1172480.2818174954</v>
      </c>
    </row>
    <row r="375" spans="2:4" x14ac:dyDescent="0.25">
      <c r="B375" s="90">
        <v>371</v>
      </c>
      <c r="C375" s="39">
        <f t="shared" si="12"/>
        <v>2743540.4600369991</v>
      </c>
      <c r="D375" s="39">
        <f t="shared" si="13"/>
        <v>1175649.1474440291</v>
      </c>
    </row>
    <row r="376" spans="2:4" x14ac:dyDescent="0.25">
      <c r="B376" s="90">
        <v>372</v>
      </c>
      <c r="C376" s="39">
        <f t="shared" si="12"/>
        <v>2746203.3723282041</v>
      </c>
      <c r="D376" s="39">
        <f t="shared" si="13"/>
        <v>1178818.0130705629</v>
      </c>
    </row>
    <row r="377" spans="2:4" x14ac:dyDescent="0.25">
      <c r="B377" s="90">
        <v>373</v>
      </c>
      <c r="C377" s="39">
        <f t="shared" si="12"/>
        <v>2748866.2846194087</v>
      </c>
      <c r="D377" s="39">
        <f t="shared" si="13"/>
        <v>1181986.8786970966</v>
      </c>
    </row>
    <row r="378" spans="2:4" x14ac:dyDescent="0.25">
      <c r="B378" s="90">
        <v>374</v>
      </c>
      <c r="C378" s="39">
        <f t="shared" si="12"/>
        <v>2751529.1969106137</v>
      </c>
      <c r="D378" s="39">
        <f t="shared" si="13"/>
        <v>1185155.7443236306</v>
      </c>
    </row>
    <row r="379" spans="2:4" x14ac:dyDescent="0.25">
      <c r="B379" s="90">
        <v>375</v>
      </c>
      <c r="C379" s="39">
        <f t="shared" si="12"/>
        <v>2754192.1092018187</v>
      </c>
      <c r="D379" s="39">
        <f t="shared" si="13"/>
        <v>1188324.6099501643</v>
      </c>
    </row>
    <row r="380" spans="2:4" x14ac:dyDescent="0.25">
      <c r="B380" s="90">
        <v>376</v>
      </c>
      <c r="C380" s="39">
        <f t="shared" si="12"/>
        <v>2756855.0214930233</v>
      </c>
      <c r="D380" s="39">
        <f t="shared" si="13"/>
        <v>1191493.4755766981</v>
      </c>
    </row>
    <row r="381" spans="2:4" x14ac:dyDescent="0.25">
      <c r="B381" s="90">
        <v>377</v>
      </c>
      <c r="C381" s="39">
        <f t="shared" si="12"/>
        <v>2759517.9337842283</v>
      </c>
      <c r="D381" s="39">
        <f t="shared" si="13"/>
        <v>1194662.3412032318</v>
      </c>
    </row>
    <row r="382" spans="2:4" x14ac:dyDescent="0.25">
      <c r="B382" s="90">
        <v>378</v>
      </c>
      <c r="C382" s="39">
        <f t="shared" si="12"/>
        <v>2762180.8460754333</v>
      </c>
      <c r="D382" s="39">
        <f t="shared" si="13"/>
        <v>1197831.2068297656</v>
      </c>
    </row>
    <row r="383" spans="2:4" x14ac:dyDescent="0.25">
      <c r="B383" s="90">
        <v>379</v>
      </c>
      <c r="C383" s="39">
        <f t="shared" si="12"/>
        <v>2764843.7583666379</v>
      </c>
      <c r="D383" s="39">
        <f t="shared" si="13"/>
        <v>1201000.0724562993</v>
      </c>
    </row>
    <row r="384" spans="2:4" x14ac:dyDescent="0.25">
      <c r="B384" s="90">
        <v>380</v>
      </c>
      <c r="C384" s="39">
        <f t="shared" si="12"/>
        <v>2767506.6706578429</v>
      </c>
      <c r="D384" s="39">
        <f t="shared" si="13"/>
        <v>1204168.9380828331</v>
      </c>
    </row>
    <row r="385" spans="2:4" x14ac:dyDescent="0.25">
      <c r="B385" s="90">
        <v>381</v>
      </c>
      <c r="C385" s="39">
        <f t="shared" si="12"/>
        <v>2770169.5829490479</v>
      </c>
      <c r="D385" s="39">
        <f t="shared" si="13"/>
        <v>1207337.8037093668</v>
      </c>
    </row>
    <row r="386" spans="2:4" x14ac:dyDescent="0.25">
      <c r="B386" s="90">
        <v>382</v>
      </c>
      <c r="C386" s="39">
        <f t="shared" si="12"/>
        <v>2772832.4952402525</v>
      </c>
      <c r="D386" s="39">
        <f t="shared" si="13"/>
        <v>1210506.6693359006</v>
      </c>
    </row>
    <row r="387" spans="2:4" x14ac:dyDescent="0.25">
      <c r="B387" s="90">
        <v>383</v>
      </c>
      <c r="C387" s="39">
        <f t="shared" si="12"/>
        <v>2775495.4075314575</v>
      </c>
      <c r="D387" s="39">
        <f t="shared" si="13"/>
        <v>1213675.5349624343</v>
      </c>
    </row>
    <row r="388" spans="2:4" x14ac:dyDescent="0.25">
      <c r="B388" s="90">
        <v>384</v>
      </c>
      <c r="C388" s="39">
        <f t="shared" si="12"/>
        <v>2778158.3198226625</v>
      </c>
      <c r="D388" s="39">
        <f t="shared" si="13"/>
        <v>1216844.4005889683</v>
      </c>
    </row>
    <row r="389" spans="2:4" x14ac:dyDescent="0.25">
      <c r="B389" s="90">
        <v>385</v>
      </c>
      <c r="C389" s="39">
        <f t="shared" si="12"/>
        <v>2780821.2321138671</v>
      </c>
      <c r="D389" s="39">
        <f t="shared" si="13"/>
        <v>1220013.2662155021</v>
      </c>
    </row>
    <row r="390" spans="2:4" x14ac:dyDescent="0.25">
      <c r="B390" s="90">
        <v>386</v>
      </c>
      <c r="C390" s="39">
        <f t="shared" si="12"/>
        <v>2783484.1444050721</v>
      </c>
      <c r="D390" s="39">
        <f t="shared" si="13"/>
        <v>1223182.1318420358</v>
      </c>
    </row>
    <row r="391" spans="2:4" x14ac:dyDescent="0.25">
      <c r="B391" s="90">
        <v>387</v>
      </c>
      <c r="C391" s="39">
        <f t="shared" si="12"/>
        <v>2786147.0566962771</v>
      </c>
      <c r="D391" s="39">
        <f t="shared" si="13"/>
        <v>1226350.9974685695</v>
      </c>
    </row>
    <row r="392" spans="2:4" x14ac:dyDescent="0.25">
      <c r="B392" s="90">
        <v>388</v>
      </c>
      <c r="C392" s="39">
        <f t="shared" si="12"/>
        <v>2788809.9689874817</v>
      </c>
      <c r="D392" s="39">
        <f t="shared" si="13"/>
        <v>1229519.8630951033</v>
      </c>
    </row>
    <row r="393" spans="2:4" x14ac:dyDescent="0.25">
      <c r="B393" s="90">
        <v>389</v>
      </c>
      <c r="C393" s="39">
        <f t="shared" si="12"/>
        <v>2791472.8812786867</v>
      </c>
      <c r="D393" s="39">
        <f t="shared" si="13"/>
        <v>1232688.728721637</v>
      </c>
    </row>
    <row r="394" spans="2:4" x14ac:dyDescent="0.25">
      <c r="B394" s="90">
        <v>390</v>
      </c>
      <c r="C394" s="39">
        <f t="shared" si="12"/>
        <v>2794135.7935698912</v>
      </c>
      <c r="D394" s="39">
        <f t="shared" si="13"/>
        <v>1235857.5943481708</v>
      </c>
    </row>
    <row r="395" spans="2:4" x14ac:dyDescent="0.25">
      <c r="B395" s="90">
        <v>391</v>
      </c>
      <c r="C395" s="39">
        <f t="shared" si="12"/>
        <v>2796798.7058610963</v>
      </c>
      <c r="D395" s="39">
        <f t="shared" si="13"/>
        <v>1239026.4599747045</v>
      </c>
    </row>
    <row r="396" spans="2:4" x14ac:dyDescent="0.25">
      <c r="B396" s="90">
        <v>392</v>
      </c>
      <c r="C396" s="39">
        <f t="shared" si="12"/>
        <v>2799461.6181523008</v>
      </c>
      <c r="D396" s="39">
        <f t="shared" si="13"/>
        <v>1242195.3256012383</v>
      </c>
    </row>
    <row r="397" spans="2:4" x14ac:dyDescent="0.25">
      <c r="B397" s="90">
        <v>393</v>
      </c>
      <c r="C397" s="39">
        <f t="shared" si="12"/>
        <v>2802124.5304435058</v>
      </c>
      <c r="D397" s="39">
        <f t="shared" si="13"/>
        <v>1245364.191227772</v>
      </c>
    </row>
    <row r="398" spans="2:4" x14ac:dyDescent="0.25">
      <c r="B398" s="90">
        <v>394</v>
      </c>
      <c r="C398" s="39">
        <f t="shared" si="12"/>
        <v>2804787.4427347109</v>
      </c>
      <c r="D398" s="39">
        <f t="shared" si="13"/>
        <v>1248533.0568543058</v>
      </c>
    </row>
    <row r="399" spans="2:4" x14ac:dyDescent="0.25">
      <c r="B399" s="90">
        <v>395</v>
      </c>
      <c r="C399" s="39">
        <f t="shared" si="12"/>
        <v>2807450.3550259154</v>
      </c>
      <c r="D399" s="39">
        <f t="shared" si="13"/>
        <v>1251701.9224808398</v>
      </c>
    </row>
    <row r="400" spans="2:4" x14ac:dyDescent="0.25">
      <c r="B400" s="90">
        <v>396</v>
      </c>
      <c r="C400" s="39">
        <f t="shared" si="12"/>
        <v>2810113.2673171205</v>
      </c>
      <c r="D400" s="39">
        <f t="shared" si="13"/>
        <v>1254870.7881073735</v>
      </c>
    </row>
    <row r="401" spans="2:4" x14ac:dyDescent="0.25">
      <c r="B401" s="90">
        <v>397</v>
      </c>
      <c r="C401" s="39">
        <f t="shared" si="12"/>
        <v>2812776.1796083255</v>
      </c>
      <c r="D401" s="39">
        <f t="shared" si="13"/>
        <v>1258039.6537339073</v>
      </c>
    </row>
    <row r="402" spans="2:4" x14ac:dyDescent="0.25">
      <c r="B402" s="90">
        <v>398</v>
      </c>
      <c r="C402" s="39">
        <f t="shared" si="12"/>
        <v>2815439.09189953</v>
      </c>
      <c r="D402" s="39">
        <f t="shared" si="13"/>
        <v>1261208.519360441</v>
      </c>
    </row>
    <row r="403" spans="2:4" x14ac:dyDescent="0.25">
      <c r="B403" s="90">
        <v>399</v>
      </c>
      <c r="C403" s="39">
        <f t="shared" si="12"/>
        <v>2818102.0041907351</v>
      </c>
      <c r="D403" s="39">
        <f t="shared" si="13"/>
        <v>1264377.3849869748</v>
      </c>
    </row>
    <row r="404" spans="2:4" x14ac:dyDescent="0.25">
      <c r="B404" s="90">
        <v>400</v>
      </c>
      <c r="C404" s="39">
        <f t="shared" si="12"/>
        <v>2820764.9164819401</v>
      </c>
      <c r="D404" s="39">
        <f t="shared" si="13"/>
        <v>1267546.2506135085</v>
      </c>
    </row>
    <row r="405" spans="2:4" x14ac:dyDescent="0.25">
      <c r="B405" s="90">
        <v>401</v>
      </c>
      <c r="C405" s="39">
        <f t="shared" si="12"/>
        <v>2823427.8287731446</v>
      </c>
      <c r="D405" s="39">
        <f t="shared" si="13"/>
        <v>1270715.1162400423</v>
      </c>
    </row>
    <row r="406" spans="2:4" x14ac:dyDescent="0.25">
      <c r="B406" s="90">
        <v>402</v>
      </c>
      <c r="C406" s="39">
        <f t="shared" si="12"/>
        <v>2826090.7410643497</v>
      </c>
      <c r="D406" s="39">
        <f t="shared" si="13"/>
        <v>1273883.981866576</v>
      </c>
    </row>
    <row r="407" spans="2:4" x14ac:dyDescent="0.25">
      <c r="B407" s="90">
        <v>403</v>
      </c>
      <c r="C407" s="39">
        <f t="shared" si="12"/>
        <v>2828753.6533555547</v>
      </c>
      <c r="D407" s="39">
        <f t="shared" si="13"/>
        <v>1277052.8474931098</v>
      </c>
    </row>
    <row r="408" spans="2:4" x14ac:dyDescent="0.25">
      <c r="B408" s="90">
        <v>404</v>
      </c>
      <c r="C408" s="39">
        <f t="shared" si="12"/>
        <v>2831416.5656467592</v>
      </c>
      <c r="D408" s="39">
        <f t="shared" si="13"/>
        <v>1280221.7131196435</v>
      </c>
    </row>
    <row r="409" spans="2:4" x14ac:dyDescent="0.25">
      <c r="B409" s="90">
        <v>405</v>
      </c>
      <c r="C409" s="39">
        <f t="shared" si="12"/>
        <v>2834079.4779379638</v>
      </c>
      <c r="D409" s="39">
        <f t="shared" si="13"/>
        <v>1283390.5787461775</v>
      </c>
    </row>
    <row r="410" spans="2:4" x14ac:dyDescent="0.25">
      <c r="B410" s="90">
        <v>406</v>
      </c>
      <c r="C410" s="39">
        <f t="shared" si="12"/>
        <v>2836742.3902291693</v>
      </c>
      <c r="D410" s="39">
        <f t="shared" si="13"/>
        <v>1286559.4443727112</v>
      </c>
    </row>
    <row r="411" spans="2:4" x14ac:dyDescent="0.25">
      <c r="B411" s="90">
        <v>407</v>
      </c>
      <c r="C411" s="39">
        <f t="shared" si="12"/>
        <v>2839405.3025203738</v>
      </c>
      <c r="D411" s="39">
        <f t="shared" si="13"/>
        <v>1289728.309999245</v>
      </c>
    </row>
    <row r="412" spans="2:4" x14ac:dyDescent="0.25">
      <c r="B412" s="90">
        <v>408</v>
      </c>
      <c r="C412" s="39">
        <f t="shared" si="12"/>
        <v>2842068.2148115784</v>
      </c>
      <c r="D412" s="39">
        <f t="shared" si="13"/>
        <v>1292897.1756257787</v>
      </c>
    </row>
    <row r="413" spans="2:4" x14ac:dyDescent="0.25">
      <c r="B413" s="90">
        <v>409</v>
      </c>
      <c r="C413" s="39">
        <f t="shared" si="12"/>
        <v>2844731.1271027834</v>
      </c>
      <c r="D413" s="39">
        <f t="shared" si="13"/>
        <v>1296066.0412523125</v>
      </c>
    </row>
    <row r="414" spans="2:4" x14ac:dyDescent="0.25">
      <c r="B414" s="90">
        <v>410</v>
      </c>
      <c r="C414" s="39">
        <f t="shared" si="12"/>
        <v>2847394.0393939884</v>
      </c>
      <c r="D414" s="39">
        <f t="shared" si="13"/>
        <v>1299234.9068788462</v>
      </c>
    </row>
    <row r="415" spans="2:4" x14ac:dyDescent="0.25">
      <c r="B415" s="90">
        <v>411</v>
      </c>
      <c r="C415" s="39">
        <f t="shared" si="12"/>
        <v>2850056.951685193</v>
      </c>
      <c r="D415" s="39">
        <f t="shared" si="13"/>
        <v>1302403.77250538</v>
      </c>
    </row>
    <row r="416" spans="2:4" x14ac:dyDescent="0.25">
      <c r="B416" s="90">
        <v>412</v>
      </c>
      <c r="C416" s="39">
        <f t="shared" si="12"/>
        <v>2852719.863976398</v>
      </c>
      <c r="D416" s="39">
        <f t="shared" si="13"/>
        <v>1305572.6381319137</v>
      </c>
    </row>
    <row r="417" spans="2:4" x14ac:dyDescent="0.25">
      <c r="B417" s="90">
        <v>413</v>
      </c>
      <c r="C417" s="39">
        <f t="shared" si="12"/>
        <v>2855382.776267603</v>
      </c>
      <c r="D417" s="39">
        <f t="shared" si="13"/>
        <v>1308741.5037584475</v>
      </c>
    </row>
    <row r="418" spans="2:4" x14ac:dyDescent="0.25">
      <c r="B418" s="90">
        <v>414</v>
      </c>
      <c r="C418" s="39">
        <f t="shared" si="12"/>
        <v>2858045.6885588076</v>
      </c>
      <c r="D418" s="39">
        <f t="shared" si="13"/>
        <v>1311910.3693849812</v>
      </c>
    </row>
    <row r="419" spans="2:4" x14ac:dyDescent="0.25">
      <c r="B419" s="90">
        <v>415</v>
      </c>
      <c r="C419" s="39">
        <f t="shared" si="12"/>
        <v>2860708.6008500126</v>
      </c>
      <c r="D419" s="39">
        <f t="shared" si="13"/>
        <v>1315079.2350115152</v>
      </c>
    </row>
    <row r="420" spans="2:4" x14ac:dyDescent="0.25">
      <c r="B420" s="90">
        <v>416</v>
      </c>
      <c r="C420" s="39">
        <f t="shared" si="12"/>
        <v>2863371.5131412176</v>
      </c>
      <c r="D420" s="39">
        <f t="shared" si="13"/>
        <v>1318248.100638049</v>
      </c>
    </row>
    <row r="421" spans="2:4" x14ac:dyDescent="0.25">
      <c r="B421" s="90">
        <v>417</v>
      </c>
      <c r="C421" s="39">
        <f t="shared" si="12"/>
        <v>2866034.4254324222</v>
      </c>
      <c r="D421" s="39">
        <f t="shared" si="13"/>
        <v>1321416.9662645827</v>
      </c>
    </row>
    <row r="422" spans="2:4" x14ac:dyDescent="0.25">
      <c r="B422" s="90">
        <v>418</v>
      </c>
      <c r="C422" s="39">
        <f t="shared" si="12"/>
        <v>2868697.3377236272</v>
      </c>
      <c r="D422" s="39">
        <f t="shared" si="13"/>
        <v>1324585.8318911165</v>
      </c>
    </row>
    <row r="423" spans="2:4" x14ac:dyDescent="0.25">
      <c r="B423" s="90">
        <v>419</v>
      </c>
      <c r="C423" s="39">
        <f t="shared" si="12"/>
        <v>2871360.2500148322</v>
      </c>
      <c r="D423" s="39">
        <f t="shared" si="13"/>
        <v>1327754.6975176502</v>
      </c>
    </row>
    <row r="424" spans="2:4" x14ac:dyDescent="0.25">
      <c r="B424" s="90">
        <v>420</v>
      </c>
      <c r="C424" s="39">
        <f t="shared" si="12"/>
        <v>2874023.1623060368</v>
      </c>
      <c r="D424" s="39">
        <f t="shared" si="13"/>
        <v>1330923.563144184</v>
      </c>
    </row>
    <row r="425" spans="2:4" x14ac:dyDescent="0.25">
      <c r="B425" s="90">
        <v>421</v>
      </c>
      <c r="C425" s="39">
        <f t="shared" si="12"/>
        <v>2876686.0745972418</v>
      </c>
      <c r="D425" s="39">
        <f t="shared" si="13"/>
        <v>1334092.4287707177</v>
      </c>
    </row>
    <row r="426" spans="2:4" x14ac:dyDescent="0.25">
      <c r="B426" s="90">
        <v>422</v>
      </c>
      <c r="C426" s="39">
        <f t="shared" si="12"/>
        <v>2879348.9868884468</v>
      </c>
      <c r="D426" s="39">
        <f t="shared" si="13"/>
        <v>1337261.2943972514</v>
      </c>
    </row>
    <row r="427" spans="2:4" x14ac:dyDescent="0.25">
      <c r="B427" s="90">
        <v>423</v>
      </c>
      <c r="C427" s="39">
        <f t="shared" si="12"/>
        <v>2882011.8991796514</v>
      </c>
      <c r="D427" s="39">
        <f t="shared" si="13"/>
        <v>1340430.1600237852</v>
      </c>
    </row>
    <row r="428" spans="2:4" x14ac:dyDescent="0.25">
      <c r="B428" s="90">
        <v>424</v>
      </c>
      <c r="C428" s="39">
        <f t="shared" si="12"/>
        <v>2884674.811470856</v>
      </c>
      <c r="D428" s="39">
        <f t="shared" si="13"/>
        <v>1343599.0256503189</v>
      </c>
    </row>
    <row r="429" spans="2:4" x14ac:dyDescent="0.25">
      <c r="B429" s="90">
        <v>425</v>
      </c>
      <c r="C429" s="39">
        <f t="shared" si="12"/>
        <v>2887337.7237620614</v>
      </c>
      <c r="D429" s="39">
        <f t="shared" si="13"/>
        <v>1346767.8912768529</v>
      </c>
    </row>
    <row r="430" spans="2:4" x14ac:dyDescent="0.25">
      <c r="B430" s="90">
        <v>426</v>
      </c>
      <c r="C430" s="39">
        <f t="shared" si="12"/>
        <v>2890000.636053266</v>
      </c>
      <c r="D430" s="39">
        <f t="shared" si="13"/>
        <v>1349936.7569033867</v>
      </c>
    </row>
    <row r="431" spans="2:4" x14ac:dyDescent="0.25">
      <c r="B431" s="90">
        <v>427</v>
      </c>
      <c r="C431" s="39">
        <f t="shared" si="12"/>
        <v>2892663.5483444706</v>
      </c>
      <c r="D431" s="39">
        <f t="shared" si="13"/>
        <v>1353105.6225299204</v>
      </c>
    </row>
    <row r="432" spans="2:4" x14ac:dyDescent="0.25">
      <c r="B432" s="90">
        <v>428</v>
      </c>
      <c r="C432" s="39">
        <f t="shared" si="12"/>
        <v>2895326.4606356756</v>
      </c>
      <c r="D432" s="39">
        <f t="shared" si="13"/>
        <v>1356274.4881564542</v>
      </c>
    </row>
    <row r="433" spans="2:4" x14ac:dyDescent="0.25">
      <c r="B433" s="90">
        <v>429</v>
      </c>
      <c r="C433" s="39">
        <f t="shared" ref="C433:C496" si="14">($C$2*B433)+$C$1</f>
        <v>2897989.3729268806</v>
      </c>
      <c r="D433" s="39">
        <f t="shared" ref="D433:D496" si="15">$D$2*B433</f>
        <v>1359443.3537829879</v>
      </c>
    </row>
    <row r="434" spans="2:4" x14ac:dyDescent="0.25">
      <c r="B434" s="90">
        <v>430</v>
      </c>
      <c r="C434" s="39">
        <f t="shared" si="14"/>
        <v>2900652.2852180852</v>
      </c>
      <c r="D434" s="39">
        <f t="shared" si="15"/>
        <v>1362612.2194095217</v>
      </c>
    </row>
    <row r="435" spans="2:4" x14ac:dyDescent="0.25">
      <c r="B435" s="90">
        <v>431</v>
      </c>
      <c r="C435" s="39">
        <f t="shared" si="14"/>
        <v>2903315.1975092902</v>
      </c>
      <c r="D435" s="39">
        <f t="shared" si="15"/>
        <v>1365781.0850360554</v>
      </c>
    </row>
    <row r="436" spans="2:4" x14ac:dyDescent="0.25">
      <c r="B436" s="90">
        <v>432</v>
      </c>
      <c r="C436" s="39">
        <f t="shared" si="14"/>
        <v>2905978.1098004952</v>
      </c>
      <c r="D436" s="39">
        <f t="shared" si="15"/>
        <v>1368949.9506625892</v>
      </c>
    </row>
    <row r="437" spans="2:4" x14ac:dyDescent="0.25">
      <c r="B437" s="90">
        <v>433</v>
      </c>
      <c r="C437" s="39">
        <f t="shared" si="14"/>
        <v>2908641.0220916998</v>
      </c>
      <c r="D437" s="39">
        <f t="shared" si="15"/>
        <v>1372118.8162891229</v>
      </c>
    </row>
    <row r="438" spans="2:4" x14ac:dyDescent="0.25">
      <c r="B438" s="90">
        <v>434</v>
      </c>
      <c r="C438" s="39">
        <f t="shared" si="14"/>
        <v>2911303.9343829048</v>
      </c>
      <c r="D438" s="39">
        <f t="shared" si="15"/>
        <v>1375287.6819156567</v>
      </c>
    </row>
    <row r="439" spans="2:4" x14ac:dyDescent="0.25">
      <c r="B439" s="90">
        <v>435</v>
      </c>
      <c r="C439" s="39">
        <f t="shared" si="14"/>
        <v>2913966.8466741098</v>
      </c>
      <c r="D439" s="39">
        <f t="shared" si="15"/>
        <v>1378456.5475421904</v>
      </c>
    </row>
    <row r="440" spans="2:4" x14ac:dyDescent="0.25">
      <c r="B440" s="90">
        <v>436</v>
      </c>
      <c r="C440" s="39">
        <f t="shared" si="14"/>
        <v>2916629.7589653144</v>
      </c>
      <c r="D440" s="39">
        <f t="shared" si="15"/>
        <v>1381625.4131687244</v>
      </c>
    </row>
    <row r="441" spans="2:4" x14ac:dyDescent="0.25">
      <c r="B441" s="90">
        <v>437</v>
      </c>
      <c r="C441" s="39">
        <f t="shared" si="14"/>
        <v>2919292.6712565194</v>
      </c>
      <c r="D441" s="39">
        <f t="shared" si="15"/>
        <v>1384794.2787952581</v>
      </c>
    </row>
    <row r="442" spans="2:4" x14ac:dyDescent="0.25">
      <c r="B442" s="90">
        <v>438</v>
      </c>
      <c r="C442" s="39">
        <f t="shared" si="14"/>
        <v>2921955.5835477244</v>
      </c>
      <c r="D442" s="39">
        <f t="shared" si="15"/>
        <v>1387963.1444217919</v>
      </c>
    </row>
    <row r="443" spans="2:4" x14ac:dyDescent="0.25">
      <c r="B443" s="90">
        <v>439</v>
      </c>
      <c r="C443" s="39">
        <f t="shared" si="14"/>
        <v>2924618.495838929</v>
      </c>
      <c r="D443" s="39">
        <f t="shared" si="15"/>
        <v>1391132.0100483256</v>
      </c>
    </row>
    <row r="444" spans="2:4" x14ac:dyDescent="0.25">
      <c r="B444" s="90">
        <v>440</v>
      </c>
      <c r="C444" s="39">
        <f t="shared" si="14"/>
        <v>2927281.4081301335</v>
      </c>
      <c r="D444" s="39">
        <f t="shared" si="15"/>
        <v>1394300.8756748594</v>
      </c>
    </row>
    <row r="445" spans="2:4" x14ac:dyDescent="0.25">
      <c r="B445" s="90">
        <v>441</v>
      </c>
      <c r="C445" s="39">
        <f t="shared" si="14"/>
        <v>2929944.320421339</v>
      </c>
      <c r="D445" s="39">
        <f t="shared" si="15"/>
        <v>1397469.7413013931</v>
      </c>
    </row>
    <row r="446" spans="2:4" x14ac:dyDescent="0.25">
      <c r="B446" s="90">
        <v>442</v>
      </c>
      <c r="C446" s="39">
        <f t="shared" si="14"/>
        <v>2932607.2327125436</v>
      </c>
      <c r="D446" s="39">
        <f t="shared" si="15"/>
        <v>1400638.6069279269</v>
      </c>
    </row>
    <row r="447" spans="2:4" x14ac:dyDescent="0.25">
      <c r="B447" s="90">
        <v>443</v>
      </c>
      <c r="C447" s="39">
        <f t="shared" si="14"/>
        <v>2935270.1450037481</v>
      </c>
      <c r="D447" s="39">
        <f t="shared" si="15"/>
        <v>1403807.4725544606</v>
      </c>
    </row>
    <row r="448" spans="2:4" x14ac:dyDescent="0.25">
      <c r="B448" s="90">
        <v>444</v>
      </c>
      <c r="C448" s="39">
        <f t="shared" si="14"/>
        <v>2937933.0572949531</v>
      </c>
      <c r="D448" s="39">
        <f t="shared" si="15"/>
        <v>1406976.3381809944</v>
      </c>
    </row>
    <row r="449" spans="2:4" x14ac:dyDescent="0.25">
      <c r="B449" s="90">
        <v>445</v>
      </c>
      <c r="C449" s="39">
        <f t="shared" si="14"/>
        <v>2940595.9695861582</v>
      </c>
      <c r="D449" s="39">
        <f t="shared" si="15"/>
        <v>1410145.2038075281</v>
      </c>
    </row>
    <row r="450" spans="2:4" x14ac:dyDescent="0.25">
      <c r="B450" s="90">
        <v>446</v>
      </c>
      <c r="C450" s="39">
        <f t="shared" si="14"/>
        <v>2943258.8818773627</v>
      </c>
      <c r="D450" s="39">
        <f t="shared" si="15"/>
        <v>1413314.0694340621</v>
      </c>
    </row>
    <row r="451" spans="2:4" x14ac:dyDescent="0.25">
      <c r="B451" s="90">
        <v>447</v>
      </c>
      <c r="C451" s="39">
        <f t="shared" si="14"/>
        <v>2945921.7941685678</v>
      </c>
      <c r="D451" s="39">
        <f t="shared" si="15"/>
        <v>1416482.9350605959</v>
      </c>
    </row>
    <row r="452" spans="2:4" x14ac:dyDescent="0.25">
      <c r="B452" s="90">
        <v>448</v>
      </c>
      <c r="C452" s="39">
        <f t="shared" si="14"/>
        <v>2948584.7064597728</v>
      </c>
      <c r="D452" s="39">
        <f t="shared" si="15"/>
        <v>1419651.8006871296</v>
      </c>
    </row>
    <row r="453" spans="2:4" x14ac:dyDescent="0.25">
      <c r="B453" s="90">
        <v>449</v>
      </c>
      <c r="C453" s="39">
        <f t="shared" si="14"/>
        <v>2951247.6187509773</v>
      </c>
      <c r="D453" s="39">
        <f t="shared" si="15"/>
        <v>1422820.6663136634</v>
      </c>
    </row>
    <row r="454" spans="2:4" x14ac:dyDescent="0.25">
      <c r="B454" s="90">
        <v>450</v>
      </c>
      <c r="C454" s="39">
        <f t="shared" si="14"/>
        <v>2953910.5310421824</v>
      </c>
      <c r="D454" s="39">
        <f t="shared" si="15"/>
        <v>1425989.5319401971</v>
      </c>
    </row>
    <row r="455" spans="2:4" x14ac:dyDescent="0.25">
      <c r="B455" s="90">
        <v>451</v>
      </c>
      <c r="C455" s="39">
        <f t="shared" si="14"/>
        <v>2956573.4433333874</v>
      </c>
      <c r="D455" s="39">
        <f t="shared" si="15"/>
        <v>1429158.3975667309</v>
      </c>
    </row>
    <row r="456" spans="2:4" x14ac:dyDescent="0.25">
      <c r="B456" s="90">
        <v>452</v>
      </c>
      <c r="C456" s="39">
        <f t="shared" si="14"/>
        <v>2959236.3556245919</v>
      </c>
      <c r="D456" s="39">
        <f t="shared" si="15"/>
        <v>1432327.2631932646</v>
      </c>
    </row>
    <row r="457" spans="2:4" x14ac:dyDescent="0.25">
      <c r="B457" s="90">
        <v>453</v>
      </c>
      <c r="C457" s="39">
        <f t="shared" si="14"/>
        <v>2961899.267915797</v>
      </c>
      <c r="D457" s="39">
        <f t="shared" si="15"/>
        <v>1435496.1288197984</v>
      </c>
    </row>
    <row r="458" spans="2:4" x14ac:dyDescent="0.25">
      <c r="B458" s="90">
        <v>454</v>
      </c>
      <c r="C458" s="39">
        <f t="shared" si="14"/>
        <v>2964562.180207002</v>
      </c>
      <c r="D458" s="39">
        <f t="shared" si="15"/>
        <v>1438664.9944463321</v>
      </c>
    </row>
    <row r="459" spans="2:4" x14ac:dyDescent="0.25">
      <c r="B459" s="90">
        <v>455</v>
      </c>
      <c r="C459" s="39">
        <f t="shared" si="14"/>
        <v>2967225.0924982065</v>
      </c>
      <c r="D459" s="39">
        <f t="shared" si="15"/>
        <v>1441833.8600728658</v>
      </c>
    </row>
    <row r="460" spans="2:4" x14ac:dyDescent="0.25">
      <c r="B460" s="90">
        <v>456</v>
      </c>
      <c r="C460" s="39">
        <f t="shared" si="14"/>
        <v>2969888.0047894116</v>
      </c>
      <c r="D460" s="39">
        <f t="shared" si="15"/>
        <v>1445002.7256993998</v>
      </c>
    </row>
    <row r="461" spans="2:4" x14ac:dyDescent="0.25">
      <c r="B461" s="90">
        <v>457</v>
      </c>
      <c r="C461" s="39">
        <f t="shared" si="14"/>
        <v>2972550.9170806166</v>
      </c>
      <c r="D461" s="39">
        <f t="shared" si="15"/>
        <v>1448171.5913259336</v>
      </c>
    </row>
    <row r="462" spans="2:4" x14ac:dyDescent="0.25">
      <c r="B462" s="90">
        <v>458</v>
      </c>
      <c r="C462" s="39">
        <f t="shared" si="14"/>
        <v>2975213.8293718211</v>
      </c>
      <c r="D462" s="39">
        <f t="shared" si="15"/>
        <v>1451340.4569524673</v>
      </c>
    </row>
    <row r="463" spans="2:4" x14ac:dyDescent="0.25">
      <c r="B463" s="90">
        <v>459</v>
      </c>
      <c r="C463" s="39">
        <f t="shared" si="14"/>
        <v>2977876.7416630257</v>
      </c>
      <c r="D463" s="39">
        <f t="shared" si="15"/>
        <v>1454509.3225790011</v>
      </c>
    </row>
    <row r="464" spans="2:4" x14ac:dyDescent="0.25">
      <c r="B464" s="90">
        <v>460</v>
      </c>
      <c r="C464" s="39">
        <f t="shared" si="14"/>
        <v>2980539.6539542312</v>
      </c>
      <c r="D464" s="39">
        <f t="shared" si="15"/>
        <v>1457678.1882055348</v>
      </c>
    </row>
    <row r="465" spans="2:4" x14ac:dyDescent="0.25">
      <c r="B465" s="90">
        <v>461</v>
      </c>
      <c r="C465" s="39">
        <f t="shared" si="14"/>
        <v>2983202.5662454357</v>
      </c>
      <c r="D465" s="39">
        <f t="shared" si="15"/>
        <v>1460847.0538320686</v>
      </c>
    </row>
    <row r="466" spans="2:4" x14ac:dyDescent="0.25">
      <c r="B466" s="90">
        <v>462</v>
      </c>
      <c r="C466" s="39">
        <f t="shared" si="14"/>
        <v>2985865.4785366403</v>
      </c>
      <c r="D466" s="39">
        <f t="shared" si="15"/>
        <v>1464015.9194586023</v>
      </c>
    </row>
    <row r="467" spans="2:4" x14ac:dyDescent="0.25">
      <c r="B467" s="90">
        <v>463</v>
      </c>
      <c r="C467" s="39">
        <f t="shared" si="14"/>
        <v>2988528.3908278453</v>
      </c>
      <c r="D467" s="39">
        <f t="shared" si="15"/>
        <v>1467184.7850851361</v>
      </c>
    </row>
    <row r="468" spans="2:4" x14ac:dyDescent="0.25">
      <c r="B468" s="90">
        <v>464</v>
      </c>
      <c r="C468" s="39">
        <f t="shared" si="14"/>
        <v>2991191.3031190503</v>
      </c>
      <c r="D468" s="39">
        <f t="shared" si="15"/>
        <v>1470353.6507116698</v>
      </c>
    </row>
    <row r="469" spans="2:4" x14ac:dyDescent="0.25">
      <c r="B469" s="90">
        <v>465</v>
      </c>
      <c r="C469" s="39">
        <f t="shared" si="14"/>
        <v>2993854.2154102549</v>
      </c>
      <c r="D469" s="39">
        <f t="shared" si="15"/>
        <v>1473522.5163382036</v>
      </c>
    </row>
    <row r="470" spans="2:4" x14ac:dyDescent="0.25">
      <c r="B470" s="90">
        <v>466</v>
      </c>
      <c r="C470" s="39">
        <f t="shared" si="14"/>
        <v>2996517.1277014599</v>
      </c>
      <c r="D470" s="39">
        <f t="shared" si="15"/>
        <v>1476691.3819647375</v>
      </c>
    </row>
    <row r="471" spans="2:4" x14ac:dyDescent="0.25">
      <c r="B471" s="90">
        <v>467</v>
      </c>
      <c r="C471" s="39">
        <f t="shared" si="14"/>
        <v>2999180.0399926649</v>
      </c>
      <c r="D471" s="39">
        <f t="shared" si="15"/>
        <v>1479860.2475912713</v>
      </c>
    </row>
    <row r="472" spans="2:4" x14ac:dyDescent="0.25">
      <c r="B472" s="90">
        <v>468</v>
      </c>
      <c r="C472" s="39">
        <f t="shared" si="14"/>
        <v>3001842.9522838695</v>
      </c>
      <c r="D472" s="39">
        <f t="shared" si="15"/>
        <v>1483029.113217805</v>
      </c>
    </row>
    <row r="473" spans="2:4" x14ac:dyDescent="0.25">
      <c r="B473" s="90">
        <v>469</v>
      </c>
      <c r="C473" s="39">
        <f t="shared" si="14"/>
        <v>3004505.8645750745</v>
      </c>
      <c r="D473" s="39">
        <f t="shared" si="15"/>
        <v>1486197.9788443388</v>
      </c>
    </row>
    <row r="474" spans="2:4" x14ac:dyDescent="0.25">
      <c r="B474" s="90">
        <v>470</v>
      </c>
      <c r="C474" s="39">
        <f t="shared" si="14"/>
        <v>3007168.7768662795</v>
      </c>
      <c r="D474" s="39">
        <f t="shared" si="15"/>
        <v>1489366.8444708725</v>
      </c>
    </row>
    <row r="475" spans="2:4" x14ac:dyDescent="0.25">
      <c r="B475" s="90">
        <v>471</v>
      </c>
      <c r="C475" s="39">
        <f t="shared" si="14"/>
        <v>3009831.6891574841</v>
      </c>
      <c r="D475" s="39">
        <f t="shared" si="15"/>
        <v>1492535.7100974063</v>
      </c>
    </row>
    <row r="476" spans="2:4" x14ac:dyDescent="0.25">
      <c r="B476" s="90">
        <v>472</v>
      </c>
      <c r="C476" s="39">
        <f t="shared" si="14"/>
        <v>3012494.6014486891</v>
      </c>
      <c r="D476" s="39">
        <f t="shared" si="15"/>
        <v>1495704.57572394</v>
      </c>
    </row>
    <row r="477" spans="2:4" x14ac:dyDescent="0.25">
      <c r="B477" s="90">
        <v>473</v>
      </c>
      <c r="C477" s="39">
        <f t="shared" si="14"/>
        <v>3015157.5137398941</v>
      </c>
      <c r="D477" s="39">
        <f t="shared" si="15"/>
        <v>1498873.4413504738</v>
      </c>
    </row>
    <row r="478" spans="2:4" x14ac:dyDescent="0.25">
      <c r="B478" s="90">
        <v>474</v>
      </c>
      <c r="C478" s="39">
        <f t="shared" si="14"/>
        <v>3017820.4260310987</v>
      </c>
      <c r="D478" s="39">
        <f t="shared" si="15"/>
        <v>1502042.3069770075</v>
      </c>
    </row>
    <row r="479" spans="2:4" x14ac:dyDescent="0.25">
      <c r="B479" s="90">
        <v>475</v>
      </c>
      <c r="C479" s="39">
        <f t="shared" si="14"/>
        <v>3020483.3383223033</v>
      </c>
      <c r="D479" s="39">
        <f t="shared" si="15"/>
        <v>1505211.1726035413</v>
      </c>
    </row>
    <row r="480" spans="2:4" x14ac:dyDescent="0.25">
      <c r="B480" s="90">
        <v>476</v>
      </c>
      <c r="C480" s="39">
        <f t="shared" si="14"/>
        <v>3023146.2506135087</v>
      </c>
      <c r="D480" s="39">
        <f t="shared" si="15"/>
        <v>1508380.038230075</v>
      </c>
    </row>
    <row r="481" spans="2:4" x14ac:dyDescent="0.25">
      <c r="B481" s="90">
        <v>477</v>
      </c>
      <c r="C481" s="39">
        <f t="shared" si="14"/>
        <v>3025809.1629047133</v>
      </c>
      <c r="D481" s="39">
        <f t="shared" si="15"/>
        <v>1511548.903856609</v>
      </c>
    </row>
    <row r="482" spans="2:4" x14ac:dyDescent="0.25">
      <c r="B482" s="90">
        <v>478</v>
      </c>
      <c r="C482" s="39">
        <f t="shared" si="14"/>
        <v>3028472.0751959179</v>
      </c>
      <c r="D482" s="39">
        <f t="shared" si="15"/>
        <v>1514717.7694831428</v>
      </c>
    </row>
    <row r="483" spans="2:4" x14ac:dyDescent="0.25">
      <c r="B483" s="90">
        <v>479</v>
      </c>
      <c r="C483" s="39">
        <f t="shared" si="14"/>
        <v>3031134.9874871229</v>
      </c>
      <c r="D483" s="39">
        <f t="shared" si="15"/>
        <v>1517886.6351096765</v>
      </c>
    </row>
    <row r="484" spans="2:4" x14ac:dyDescent="0.25">
      <c r="B484" s="90">
        <v>480</v>
      </c>
      <c r="C484" s="39">
        <f t="shared" si="14"/>
        <v>3033797.8997783279</v>
      </c>
      <c r="D484" s="39">
        <f t="shared" si="15"/>
        <v>1521055.5007362103</v>
      </c>
    </row>
    <row r="485" spans="2:4" x14ac:dyDescent="0.25">
      <c r="B485" s="90">
        <v>481</v>
      </c>
      <c r="C485" s="39">
        <f t="shared" si="14"/>
        <v>3036460.8120695325</v>
      </c>
      <c r="D485" s="39">
        <f t="shared" si="15"/>
        <v>1524224.366362744</v>
      </c>
    </row>
    <row r="486" spans="2:4" x14ac:dyDescent="0.25">
      <c r="B486" s="90">
        <v>482</v>
      </c>
      <c r="C486" s="39">
        <f t="shared" si="14"/>
        <v>3039123.7243607375</v>
      </c>
      <c r="D486" s="39">
        <f t="shared" si="15"/>
        <v>1527393.2319892778</v>
      </c>
    </row>
    <row r="487" spans="2:4" x14ac:dyDescent="0.25">
      <c r="B487" s="90">
        <v>483</v>
      </c>
      <c r="C487" s="39">
        <f t="shared" si="14"/>
        <v>3041786.6366519425</v>
      </c>
      <c r="D487" s="39">
        <f t="shared" si="15"/>
        <v>1530562.0976158115</v>
      </c>
    </row>
    <row r="488" spans="2:4" x14ac:dyDescent="0.25">
      <c r="B488" s="90">
        <v>484</v>
      </c>
      <c r="C488" s="39">
        <f t="shared" si="14"/>
        <v>3044449.5489431471</v>
      </c>
      <c r="D488" s="39">
        <f t="shared" si="15"/>
        <v>1533730.9632423453</v>
      </c>
    </row>
    <row r="489" spans="2:4" x14ac:dyDescent="0.25">
      <c r="B489" s="90">
        <v>485</v>
      </c>
      <c r="C489" s="39">
        <f t="shared" si="14"/>
        <v>3047112.4612343521</v>
      </c>
      <c r="D489" s="39">
        <f t="shared" si="15"/>
        <v>1536899.828868879</v>
      </c>
    </row>
    <row r="490" spans="2:4" x14ac:dyDescent="0.25">
      <c r="B490" s="90">
        <v>486</v>
      </c>
      <c r="C490" s="39">
        <f t="shared" si="14"/>
        <v>3049775.3735255571</v>
      </c>
      <c r="D490" s="39">
        <f t="shared" si="15"/>
        <v>1540068.6944954128</v>
      </c>
    </row>
    <row r="491" spans="2:4" x14ac:dyDescent="0.25">
      <c r="B491" s="90">
        <v>487</v>
      </c>
      <c r="C491" s="39">
        <f t="shared" si="14"/>
        <v>3052438.2858167617</v>
      </c>
      <c r="D491" s="39">
        <f t="shared" si="15"/>
        <v>1543237.5601219467</v>
      </c>
    </row>
    <row r="492" spans="2:4" x14ac:dyDescent="0.25">
      <c r="B492" s="90">
        <v>488</v>
      </c>
      <c r="C492" s="39">
        <f t="shared" si="14"/>
        <v>3055101.1981079667</v>
      </c>
      <c r="D492" s="39">
        <f t="shared" si="15"/>
        <v>1546406.4257484805</v>
      </c>
    </row>
    <row r="493" spans="2:4" x14ac:dyDescent="0.25">
      <c r="B493" s="90">
        <v>489</v>
      </c>
      <c r="C493" s="39">
        <f t="shared" si="14"/>
        <v>3057764.1103991717</v>
      </c>
      <c r="D493" s="39">
        <f t="shared" si="15"/>
        <v>1549575.2913750142</v>
      </c>
    </row>
    <row r="494" spans="2:4" x14ac:dyDescent="0.25">
      <c r="B494" s="90">
        <v>490</v>
      </c>
      <c r="C494" s="39">
        <f t="shared" si="14"/>
        <v>3060427.0226903763</v>
      </c>
      <c r="D494" s="39">
        <f t="shared" si="15"/>
        <v>1552744.157001548</v>
      </c>
    </row>
    <row r="495" spans="2:4" x14ac:dyDescent="0.25">
      <c r="B495" s="90">
        <v>491</v>
      </c>
      <c r="C495" s="39">
        <f t="shared" si="14"/>
        <v>3063089.9349815813</v>
      </c>
      <c r="D495" s="39">
        <f t="shared" si="15"/>
        <v>1555913.0226280817</v>
      </c>
    </row>
    <row r="496" spans="2:4" x14ac:dyDescent="0.25">
      <c r="B496" s="90">
        <v>492</v>
      </c>
      <c r="C496" s="39">
        <f t="shared" si="14"/>
        <v>3065752.8472727863</v>
      </c>
      <c r="D496" s="39">
        <f t="shared" si="15"/>
        <v>1559081.8882546155</v>
      </c>
    </row>
    <row r="497" spans="2:4" x14ac:dyDescent="0.25">
      <c r="B497" s="90">
        <v>493</v>
      </c>
      <c r="C497" s="39">
        <f t="shared" ref="C497:C560" si="16">($C$2*B497)+$C$1</f>
        <v>3068415.7595639909</v>
      </c>
      <c r="D497" s="39">
        <f t="shared" ref="D497:D560" si="17">$D$2*B497</f>
        <v>1562250.7538811492</v>
      </c>
    </row>
    <row r="498" spans="2:4" x14ac:dyDescent="0.25">
      <c r="B498" s="90">
        <v>494</v>
      </c>
      <c r="C498" s="39">
        <f t="shared" si="16"/>
        <v>3071078.6718551954</v>
      </c>
      <c r="D498" s="39">
        <f t="shared" si="17"/>
        <v>1565419.619507683</v>
      </c>
    </row>
    <row r="499" spans="2:4" x14ac:dyDescent="0.25">
      <c r="B499" s="90">
        <v>495</v>
      </c>
      <c r="C499" s="39">
        <f t="shared" si="16"/>
        <v>3073741.5841464009</v>
      </c>
      <c r="D499" s="39">
        <f t="shared" si="17"/>
        <v>1568588.4851342167</v>
      </c>
    </row>
    <row r="500" spans="2:4" x14ac:dyDescent="0.25">
      <c r="B500" s="90">
        <v>496</v>
      </c>
      <c r="C500" s="39">
        <f t="shared" si="16"/>
        <v>3076404.4964376055</v>
      </c>
      <c r="D500" s="39">
        <f t="shared" si="17"/>
        <v>1571757.3507607505</v>
      </c>
    </row>
    <row r="501" spans="2:4" x14ac:dyDescent="0.25">
      <c r="B501" s="90">
        <v>497</v>
      </c>
      <c r="C501" s="39">
        <f t="shared" si="16"/>
        <v>3079067.40872881</v>
      </c>
      <c r="D501" s="39">
        <f t="shared" si="17"/>
        <v>1574926.2163872845</v>
      </c>
    </row>
    <row r="502" spans="2:4" x14ac:dyDescent="0.25">
      <c r="B502" s="90">
        <v>498</v>
      </c>
      <c r="C502" s="39">
        <f t="shared" si="16"/>
        <v>3081730.321020015</v>
      </c>
      <c r="D502" s="39">
        <f t="shared" si="17"/>
        <v>1578095.0820138182</v>
      </c>
    </row>
    <row r="503" spans="2:4" x14ac:dyDescent="0.25">
      <c r="B503" s="90">
        <v>499</v>
      </c>
      <c r="C503" s="39">
        <f t="shared" si="16"/>
        <v>3084393.2333112201</v>
      </c>
      <c r="D503" s="39">
        <f t="shared" si="17"/>
        <v>1581263.947640352</v>
      </c>
    </row>
    <row r="504" spans="2:4" x14ac:dyDescent="0.25">
      <c r="B504" s="90">
        <v>500</v>
      </c>
      <c r="C504" s="39">
        <f t="shared" si="16"/>
        <v>3087056.1456024246</v>
      </c>
      <c r="D504" s="39">
        <f t="shared" si="17"/>
        <v>1584432.8132668857</v>
      </c>
    </row>
    <row r="505" spans="2:4" x14ac:dyDescent="0.25">
      <c r="B505" s="90">
        <v>501</v>
      </c>
      <c r="C505" s="39">
        <f t="shared" si="16"/>
        <v>3089719.0578936297</v>
      </c>
      <c r="D505" s="39">
        <f t="shared" si="17"/>
        <v>1587601.6788934194</v>
      </c>
    </row>
    <row r="506" spans="2:4" x14ac:dyDescent="0.25">
      <c r="B506" s="90">
        <v>502</v>
      </c>
      <c r="C506" s="39">
        <f t="shared" si="16"/>
        <v>3092381.9701848347</v>
      </c>
      <c r="D506" s="39">
        <f t="shared" si="17"/>
        <v>1590770.5445199532</v>
      </c>
    </row>
    <row r="507" spans="2:4" x14ac:dyDescent="0.25">
      <c r="B507" s="90">
        <v>503</v>
      </c>
      <c r="C507" s="39">
        <f t="shared" si="16"/>
        <v>3095044.8824760392</v>
      </c>
      <c r="D507" s="39">
        <f t="shared" si="17"/>
        <v>1593939.4101464869</v>
      </c>
    </row>
    <row r="508" spans="2:4" x14ac:dyDescent="0.25">
      <c r="B508" s="90">
        <v>504</v>
      </c>
      <c r="C508" s="39">
        <f t="shared" si="16"/>
        <v>3097707.7947672443</v>
      </c>
      <c r="D508" s="39">
        <f t="shared" si="17"/>
        <v>1597108.2757730207</v>
      </c>
    </row>
    <row r="509" spans="2:4" x14ac:dyDescent="0.25">
      <c r="B509" s="90">
        <v>505</v>
      </c>
      <c r="C509" s="39">
        <f t="shared" si="16"/>
        <v>3100370.7070584493</v>
      </c>
      <c r="D509" s="39">
        <f t="shared" si="17"/>
        <v>1600277.1413995544</v>
      </c>
    </row>
    <row r="510" spans="2:4" x14ac:dyDescent="0.25">
      <c r="B510" s="90">
        <v>506</v>
      </c>
      <c r="C510" s="39">
        <f t="shared" si="16"/>
        <v>3103033.6193496538</v>
      </c>
      <c r="D510" s="39">
        <f t="shared" si="17"/>
        <v>1603446.0070260882</v>
      </c>
    </row>
    <row r="511" spans="2:4" x14ac:dyDescent="0.25">
      <c r="B511" s="90">
        <v>507</v>
      </c>
      <c r="C511" s="39">
        <f t="shared" si="16"/>
        <v>3105696.5316408589</v>
      </c>
      <c r="D511" s="39">
        <f t="shared" si="17"/>
        <v>1606614.8726526222</v>
      </c>
    </row>
    <row r="512" spans="2:4" x14ac:dyDescent="0.25">
      <c r="B512" s="90">
        <v>508</v>
      </c>
      <c r="C512" s="39">
        <f t="shared" si="16"/>
        <v>3108359.4439320639</v>
      </c>
      <c r="D512" s="39">
        <f t="shared" si="17"/>
        <v>1609783.7382791559</v>
      </c>
    </row>
    <row r="513" spans="2:4" x14ac:dyDescent="0.25">
      <c r="B513" s="90">
        <v>509</v>
      </c>
      <c r="C513" s="39">
        <f t="shared" si="16"/>
        <v>3111022.3562232684</v>
      </c>
      <c r="D513" s="39">
        <f t="shared" si="17"/>
        <v>1612952.6039056897</v>
      </c>
    </row>
    <row r="514" spans="2:4" x14ac:dyDescent="0.25">
      <c r="B514" s="90">
        <v>510</v>
      </c>
      <c r="C514" s="39">
        <f t="shared" si="16"/>
        <v>3113685.268514473</v>
      </c>
      <c r="D514" s="39">
        <f t="shared" si="17"/>
        <v>1616121.4695322234</v>
      </c>
    </row>
    <row r="515" spans="2:4" x14ac:dyDescent="0.25">
      <c r="B515" s="90">
        <v>511</v>
      </c>
      <c r="C515" s="39">
        <f t="shared" si="16"/>
        <v>3116348.1808056785</v>
      </c>
      <c r="D515" s="39">
        <f t="shared" si="17"/>
        <v>1619290.3351587572</v>
      </c>
    </row>
    <row r="516" spans="2:4" x14ac:dyDescent="0.25">
      <c r="B516" s="90">
        <v>512</v>
      </c>
      <c r="C516" s="39">
        <f t="shared" si="16"/>
        <v>3119011.093096883</v>
      </c>
      <c r="D516" s="39">
        <f t="shared" si="17"/>
        <v>1622459.2007852909</v>
      </c>
    </row>
    <row r="517" spans="2:4" x14ac:dyDescent="0.25">
      <c r="B517" s="90">
        <v>513</v>
      </c>
      <c r="C517" s="39">
        <f t="shared" si="16"/>
        <v>3121674.0053880876</v>
      </c>
      <c r="D517" s="39">
        <f t="shared" si="17"/>
        <v>1625628.0664118247</v>
      </c>
    </row>
    <row r="518" spans="2:4" x14ac:dyDescent="0.25">
      <c r="B518" s="90">
        <v>514</v>
      </c>
      <c r="C518" s="39">
        <f t="shared" si="16"/>
        <v>3124336.9176792931</v>
      </c>
      <c r="D518" s="39">
        <f t="shared" si="17"/>
        <v>1628796.9320383584</v>
      </c>
    </row>
    <row r="519" spans="2:4" x14ac:dyDescent="0.25">
      <c r="B519" s="90">
        <v>515</v>
      </c>
      <c r="C519" s="39">
        <f t="shared" si="16"/>
        <v>3126999.8299704976</v>
      </c>
      <c r="D519" s="39">
        <f t="shared" si="17"/>
        <v>1631965.7976648922</v>
      </c>
    </row>
    <row r="520" spans="2:4" x14ac:dyDescent="0.25">
      <c r="B520" s="90">
        <v>516</v>
      </c>
      <c r="C520" s="39">
        <f t="shared" si="16"/>
        <v>3129662.7422617022</v>
      </c>
      <c r="D520" s="39">
        <f t="shared" si="17"/>
        <v>1635134.6632914259</v>
      </c>
    </row>
    <row r="521" spans="2:4" x14ac:dyDescent="0.25">
      <c r="B521" s="90">
        <v>517</v>
      </c>
      <c r="C521" s="39">
        <f t="shared" si="16"/>
        <v>3132325.6545529072</v>
      </c>
      <c r="D521" s="39">
        <f t="shared" si="17"/>
        <v>1638303.5289179597</v>
      </c>
    </row>
    <row r="522" spans="2:4" x14ac:dyDescent="0.25">
      <c r="B522" s="90">
        <v>518</v>
      </c>
      <c r="C522" s="39">
        <f t="shared" si="16"/>
        <v>3134988.5668441122</v>
      </c>
      <c r="D522" s="39">
        <f t="shared" si="17"/>
        <v>1641472.3945444936</v>
      </c>
    </row>
    <row r="523" spans="2:4" x14ac:dyDescent="0.25">
      <c r="B523" s="90">
        <v>519</v>
      </c>
      <c r="C523" s="39">
        <f t="shared" si="16"/>
        <v>3137651.4791353168</v>
      </c>
      <c r="D523" s="39">
        <f t="shared" si="17"/>
        <v>1644641.2601710274</v>
      </c>
    </row>
    <row r="524" spans="2:4" x14ac:dyDescent="0.25">
      <c r="B524" s="90">
        <v>520</v>
      </c>
      <c r="C524" s="39">
        <f t="shared" si="16"/>
        <v>3140314.3914265218</v>
      </c>
      <c r="D524" s="39">
        <f t="shared" si="17"/>
        <v>1647810.1257975611</v>
      </c>
    </row>
    <row r="525" spans="2:4" x14ac:dyDescent="0.25">
      <c r="B525" s="90">
        <v>521</v>
      </c>
      <c r="C525" s="39">
        <f t="shared" si="16"/>
        <v>3142977.3037177268</v>
      </c>
      <c r="D525" s="39">
        <f t="shared" si="17"/>
        <v>1650978.9914240949</v>
      </c>
    </row>
    <row r="526" spans="2:4" x14ac:dyDescent="0.25">
      <c r="B526" s="90">
        <v>522</v>
      </c>
      <c r="C526" s="39">
        <f t="shared" si="16"/>
        <v>3145640.2160089314</v>
      </c>
      <c r="D526" s="39">
        <f t="shared" si="17"/>
        <v>1654147.8570506286</v>
      </c>
    </row>
    <row r="527" spans="2:4" x14ac:dyDescent="0.25">
      <c r="B527" s="90">
        <v>523</v>
      </c>
      <c r="C527" s="39">
        <f t="shared" si="16"/>
        <v>3148303.1283001364</v>
      </c>
      <c r="D527" s="39">
        <f t="shared" si="17"/>
        <v>1657316.7226771624</v>
      </c>
    </row>
    <row r="528" spans="2:4" x14ac:dyDescent="0.25">
      <c r="B528" s="90">
        <v>524</v>
      </c>
      <c r="C528" s="39">
        <f t="shared" si="16"/>
        <v>3150966.0405913414</v>
      </c>
      <c r="D528" s="39">
        <f t="shared" si="17"/>
        <v>1660485.5883036961</v>
      </c>
    </row>
    <row r="529" spans="2:4" x14ac:dyDescent="0.25">
      <c r="B529" s="90">
        <v>525</v>
      </c>
      <c r="C529" s="39">
        <f t="shared" si="16"/>
        <v>3153628.952882546</v>
      </c>
      <c r="D529" s="39">
        <f t="shared" si="17"/>
        <v>1663654.4539302299</v>
      </c>
    </row>
    <row r="530" spans="2:4" x14ac:dyDescent="0.25">
      <c r="B530" s="90">
        <v>526</v>
      </c>
      <c r="C530" s="39">
        <f t="shared" si="16"/>
        <v>3156291.865173751</v>
      </c>
      <c r="D530" s="39">
        <f t="shared" si="17"/>
        <v>1666823.3195567636</v>
      </c>
    </row>
    <row r="531" spans="2:4" x14ac:dyDescent="0.25">
      <c r="B531" s="90">
        <v>527</v>
      </c>
      <c r="C531" s="39">
        <f t="shared" si="16"/>
        <v>3158954.777464956</v>
      </c>
      <c r="D531" s="39">
        <f t="shared" si="17"/>
        <v>1669992.1851832974</v>
      </c>
    </row>
    <row r="532" spans="2:4" x14ac:dyDescent="0.25">
      <c r="B532" s="90">
        <v>528</v>
      </c>
      <c r="C532" s="39">
        <f t="shared" si="16"/>
        <v>3161617.6897561606</v>
      </c>
      <c r="D532" s="39">
        <f t="shared" si="17"/>
        <v>1673161.0508098314</v>
      </c>
    </row>
    <row r="533" spans="2:4" x14ac:dyDescent="0.25">
      <c r="B533" s="90">
        <v>529</v>
      </c>
      <c r="C533" s="39">
        <f t="shared" si="16"/>
        <v>3164280.6020473652</v>
      </c>
      <c r="D533" s="39">
        <f t="shared" si="17"/>
        <v>1676329.9164363651</v>
      </c>
    </row>
    <row r="534" spans="2:4" x14ac:dyDescent="0.25">
      <c r="B534" s="90">
        <v>530</v>
      </c>
      <c r="C534" s="39">
        <f t="shared" si="16"/>
        <v>3166943.5143385706</v>
      </c>
      <c r="D534" s="39">
        <f t="shared" si="17"/>
        <v>1679498.7820628989</v>
      </c>
    </row>
    <row r="535" spans="2:4" x14ac:dyDescent="0.25">
      <c r="B535" s="90">
        <v>531</v>
      </c>
      <c r="C535" s="39">
        <f t="shared" si="16"/>
        <v>3169606.4266297752</v>
      </c>
      <c r="D535" s="39">
        <f t="shared" si="17"/>
        <v>1682667.6476894326</v>
      </c>
    </row>
    <row r="536" spans="2:4" x14ac:dyDescent="0.25">
      <c r="B536" s="90">
        <v>532</v>
      </c>
      <c r="C536" s="39">
        <f t="shared" si="16"/>
        <v>3172269.3389209798</v>
      </c>
      <c r="D536" s="39">
        <f t="shared" si="17"/>
        <v>1685836.5133159664</v>
      </c>
    </row>
    <row r="537" spans="2:4" x14ac:dyDescent="0.25">
      <c r="B537" s="90">
        <v>533</v>
      </c>
      <c r="C537" s="39">
        <f t="shared" si="16"/>
        <v>3174932.2512121848</v>
      </c>
      <c r="D537" s="39">
        <f t="shared" si="17"/>
        <v>1689005.3789425001</v>
      </c>
    </row>
    <row r="538" spans="2:4" x14ac:dyDescent="0.25">
      <c r="B538" s="90">
        <v>534</v>
      </c>
      <c r="C538" s="39">
        <f t="shared" si="16"/>
        <v>3177595.1635033898</v>
      </c>
      <c r="D538" s="39">
        <f t="shared" si="17"/>
        <v>1692174.2445690338</v>
      </c>
    </row>
    <row r="539" spans="2:4" x14ac:dyDescent="0.25">
      <c r="B539" s="90">
        <v>535</v>
      </c>
      <c r="C539" s="39">
        <f t="shared" si="16"/>
        <v>3180258.0757945944</v>
      </c>
      <c r="D539" s="39">
        <f t="shared" si="17"/>
        <v>1695343.1101955676</v>
      </c>
    </row>
    <row r="540" spans="2:4" x14ac:dyDescent="0.25">
      <c r="B540" s="90">
        <v>536</v>
      </c>
      <c r="C540" s="39">
        <f t="shared" si="16"/>
        <v>3182920.9880857994</v>
      </c>
      <c r="D540" s="39">
        <f t="shared" si="17"/>
        <v>1698511.9758221013</v>
      </c>
    </row>
    <row r="541" spans="2:4" x14ac:dyDescent="0.25">
      <c r="B541" s="90">
        <v>537</v>
      </c>
      <c r="C541" s="39">
        <f t="shared" si="16"/>
        <v>3185583.9003770044</v>
      </c>
      <c r="D541" s="39">
        <f t="shared" si="17"/>
        <v>1701680.8414486351</v>
      </c>
    </row>
    <row r="542" spans="2:4" x14ac:dyDescent="0.25">
      <c r="B542" s="90">
        <v>538</v>
      </c>
      <c r="C542" s="39">
        <f t="shared" si="16"/>
        <v>3188246.812668209</v>
      </c>
      <c r="D542" s="39">
        <f t="shared" si="17"/>
        <v>1704849.7070751691</v>
      </c>
    </row>
    <row r="543" spans="2:4" x14ac:dyDescent="0.25">
      <c r="B543" s="90">
        <v>539</v>
      </c>
      <c r="C543" s="39">
        <f t="shared" si="16"/>
        <v>3190909.724959414</v>
      </c>
      <c r="D543" s="39">
        <f t="shared" si="17"/>
        <v>1708018.5727017028</v>
      </c>
    </row>
    <row r="544" spans="2:4" x14ac:dyDescent="0.25">
      <c r="B544" s="90">
        <v>540</v>
      </c>
      <c r="C544" s="39">
        <f t="shared" si="16"/>
        <v>3193572.637250619</v>
      </c>
      <c r="D544" s="39">
        <f t="shared" si="17"/>
        <v>1711187.4383282366</v>
      </c>
    </row>
    <row r="545" spans="2:4" x14ac:dyDescent="0.25">
      <c r="B545" s="90">
        <v>541</v>
      </c>
      <c r="C545" s="39">
        <f t="shared" si="16"/>
        <v>3196235.5495418236</v>
      </c>
      <c r="D545" s="39">
        <f t="shared" si="17"/>
        <v>1714356.3039547703</v>
      </c>
    </row>
    <row r="546" spans="2:4" x14ac:dyDescent="0.25">
      <c r="B546" s="90">
        <v>542</v>
      </c>
      <c r="C546" s="39">
        <f t="shared" si="16"/>
        <v>3198898.4618330286</v>
      </c>
      <c r="D546" s="39">
        <f t="shared" si="17"/>
        <v>1717525.1695813041</v>
      </c>
    </row>
    <row r="547" spans="2:4" x14ac:dyDescent="0.25">
      <c r="B547" s="90">
        <v>543</v>
      </c>
      <c r="C547" s="39">
        <f t="shared" si="16"/>
        <v>3201561.3741242336</v>
      </c>
      <c r="D547" s="39">
        <f t="shared" si="17"/>
        <v>1720694.0352078378</v>
      </c>
    </row>
    <row r="548" spans="2:4" x14ac:dyDescent="0.25">
      <c r="B548" s="90">
        <v>544</v>
      </c>
      <c r="C548" s="39">
        <f t="shared" si="16"/>
        <v>3204224.2864154382</v>
      </c>
      <c r="D548" s="39">
        <f t="shared" si="17"/>
        <v>1723862.9008343716</v>
      </c>
    </row>
    <row r="549" spans="2:4" x14ac:dyDescent="0.25">
      <c r="B549" s="90">
        <v>545</v>
      </c>
      <c r="C549" s="39">
        <f t="shared" si="16"/>
        <v>3206887.1987066432</v>
      </c>
      <c r="D549" s="39">
        <f t="shared" si="17"/>
        <v>1727031.7664609053</v>
      </c>
    </row>
    <row r="550" spans="2:4" x14ac:dyDescent="0.25">
      <c r="B550" s="90">
        <v>546</v>
      </c>
      <c r="C550" s="39">
        <f t="shared" si="16"/>
        <v>3209550.1109978482</v>
      </c>
      <c r="D550" s="39">
        <f t="shared" si="17"/>
        <v>1730200.6320874391</v>
      </c>
    </row>
    <row r="551" spans="2:4" x14ac:dyDescent="0.25">
      <c r="B551" s="90">
        <v>547</v>
      </c>
      <c r="C551" s="39">
        <f t="shared" si="16"/>
        <v>3212213.0232890528</v>
      </c>
      <c r="D551" s="39">
        <f t="shared" si="17"/>
        <v>1733369.4977139728</v>
      </c>
    </row>
    <row r="552" spans="2:4" x14ac:dyDescent="0.25">
      <c r="B552" s="90">
        <v>548</v>
      </c>
      <c r="C552" s="39">
        <f t="shared" si="16"/>
        <v>3214875.9355802573</v>
      </c>
      <c r="D552" s="39">
        <f t="shared" si="17"/>
        <v>1736538.3633405068</v>
      </c>
    </row>
    <row r="553" spans="2:4" x14ac:dyDescent="0.25">
      <c r="B553" s="90">
        <v>549</v>
      </c>
      <c r="C553" s="39">
        <f t="shared" si="16"/>
        <v>3217538.8478714628</v>
      </c>
      <c r="D553" s="39">
        <f t="shared" si="17"/>
        <v>1739707.2289670405</v>
      </c>
    </row>
    <row r="554" spans="2:4" x14ac:dyDescent="0.25">
      <c r="B554" s="90">
        <v>550</v>
      </c>
      <c r="C554" s="39">
        <f t="shared" si="16"/>
        <v>3220201.7601626674</v>
      </c>
      <c r="D554" s="39">
        <f t="shared" si="17"/>
        <v>1742876.0945935743</v>
      </c>
    </row>
    <row r="555" spans="2:4" x14ac:dyDescent="0.25">
      <c r="B555" s="90">
        <v>551</v>
      </c>
      <c r="C555" s="39">
        <f t="shared" si="16"/>
        <v>3222864.6724538719</v>
      </c>
      <c r="D555" s="39">
        <f t="shared" si="17"/>
        <v>1746044.960220108</v>
      </c>
    </row>
    <row r="556" spans="2:4" x14ac:dyDescent="0.25">
      <c r="B556" s="90">
        <v>552</v>
      </c>
      <c r="C556" s="39">
        <f t="shared" si="16"/>
        <v>3225527.584745077</v>
      </c>
      <c r="D556" s="39">
        <f t="shared" si="17"/>
        <v>1749213.8258466418</v>
      </c>
    </row>
    <row r="557" spans="2:4" x14ac:dyDescent="0.25">
      <c r="B557" s="90">
        <v>553</v>
      </c>
      <c r="C557" s="39">
        <f t="shared" si="16"/>
        <v>3228190.497036282</v>
      </c>
      <c r="D557" s="39">
        <f t="shared" si="17"/>
        <v>1752382.6914731755</v>
      </c>
    </row>
    <row r="558" spans="2:4" x14ac:dyDescent="0.25">
      <c r="B558" s="90">
        <v>554</v>
      </c>
      <c r="C558" s="39">
        <f t="shared" si="16"/>
        <v>3230853.4093274865</v>
      </c>
      <c r="D558" s="39">
        <f t="shared" si="17"/>
        <v>1755551.5570997093</v>
      </c>
    </row>
    <row r="559" spans="2:4" x14ac:dyDescent="0.25">
      <c r="B559" s="90">
        <v>555</v>
      </c>
      <c r="C559" s="39">
        <f t="shared" si="16"/>
        <v>3233516.3216186916</v>
      </c>
      <c r="D559" s="39">
        <f t="shared" si="17"/>
        <v>1758720.422726243</v>
      </c>
    </row>
    <row r="560" spans="2:4" x14ac:dyDescent="0.25">
      <c r="B560" s="90">
        <v>556</v>
      </c>
      <c r="C560" s="39">
        <f t="shared" si="16"/>
        <v>3236179.2339098966</v>
      </c>
      <c r="D560" s="39">
        <f t="shared" si="17"/>
        <v>1761889.2883527768</v>
      </c>
    </row>
    <row r="561" spans="2:4" x14ac:dyDescent="0.25">
      <c r="B561" s="90">
        <v>557</v>
      </c>
      <c r="C561" s="39">
        <f t="shared" ref="C561:C624" si="18">($C$2*B561)+$C$1</f>
        <v>3238842.1462011011</v>
      </c>
      <c r="D561" s="39">
        <f t="shared" ref="D561:D624" si="19">$D$2*B561</f>
        <v>1765058.1539793105</v>
      </c>
    </row>
    <row r="562" spans="2:4" x14ac:dyDescent="0.25">
      <c r="B562" s="90">
        <v>558</v>
      </c>
      <c r="C562" s="39">
        <f t="shared" si="18"/>
        <v>3241505.0584923062</v>
      </c>
      <c r="D562" s="39">
        <f t="shared" si="19"/>
        <v>1768227.0196058443</v>
      </c>
    </row>
    <row r="563" spans="2:4" x14ac:dyDescent="0.25">
      <c r="B563" s="90">
        <v>559</v>
      </c>
      <c r="C563" s="39">
        <f t="shared" si="18"/>
        <v>3244167.9707835112</v>
      </c>
      <c r="D563" s="39">
        <f t="shared" si="19"/>
        <v>1771395.8852323783</v>
      </c>
    </row>
    <row r="564" spans="2:4" x14ac:dyDescent="0.25">
      <c r="B564" s="90">
        <v>560</v>
      </c>
      <c r="C564" s="39">
        <f t="shared" si="18"/>
        <v>3246830.8830747157</v>
      </c>
      <c r="D564" s="39">
        <f t="shared" si="19"/>
        <v>1774564.750858912</v>
      </c>
    </row>
    <row r="565" spans="2:4" x14ac:dyDescent="0.25">
      <c r="B565" s="90">
        <v>561</v>
      </c>
      <c r="C565" s="39">
        <f t="shared" si="18"/>
        <v>3249493.7953659208</v>
      </c>
      <c r="D565" s="39">
        <f t="shared" si="19"/>
        <v>1777733.6164854458</v>
      </c>
    </row>
    <row r="566" spans="2:4" x14ac:dyDescent="0.25">
      <c r="B566" s="90">
        <v>562</v>
      </c>
      <c r="C566" s="39">
        <f t="shared" si="18"/>
        <v>3252156.7076571258</v>
      </c>
      <c r="D566" s="39">
        <f t="shared" si="19"/>
        <v>1780902.4821119795</v>
      </c>
    </row>
    <row r="567" spans="2:4" x14ac:dyDescent="0.25">
      <c r="B567" s="90">
        <v>563</v>
      </c>
      <c r="C567" s="39">
        <f t="shared" si="18"/>
        <v>3254819.6199483303</v>
      </c>
      <c r="D567" s="39">
        <f t="shared" si="19"/>
        <v>1784071.3477385133</v>
      </c>
    </row>
    <row r="568" spans="2:4" x14ac:dyDescent="0.25">
      <c r="B568" s="90">
        <v>564</v>
      </c>
      <c r="C568" s="39">
        <f t="shared" si="18"/>
        <v>3257482.5322395349</v>
      </c>
      <c r="D568" s="39">
        <f t="shared" si="19"/>
        <v>1787240.213365047</v>
      </c>
    </row>
    <row r="569" spans="2:4" x14ac:dyDescent="0.25">
      <c r="B569" s="90">
        <v>565</v>
      </c>
      <c r="C569" s="39">
        <f t="shared" si="18"/>
        <v>3260145.4445307404</v>
      </c>
      <c r="D569" s="39">
        <f t="shared" si="19"/>
        <v>1790409.0789915808</v>
      </c>
    </row>
    <row r="570" spans="2:4" x14ac:dyDescent="0.25">
      <c r="B570" s="90">
        <v>566</v>
      </c>
      <c r="C570" s="39">
        <f t="shared" si="18"/>
        <v>3262808.3568219449</v>
      </c>
      <c r="D570" s="39">
        <f t="shared" si="19"/>
        <v>1793577.9446181145</v>
      </c>
    </row>
    <row r="571" spans="2:4" x14ac:dyDescent="0.25">
      <c r="B571" s="90">
        <v>567</v>
      </c>
      <c r="C571" s="39">
        <f t="shared" si="18"/>
        <v>3265471.2691131495</v>
      </c>
      <c r="D571" s="39">
        <f t="shared" si="19"/>
        <v>1796746.8102446483</v>
      </c>
    </row>
    <row r="572" spans="2:4" x14ac:dyDescent="0.25">
      <c r="B572" s="90">
        <v>568</v>
      </c>
      <c r="C572" s="39">
        <f t="shared" si="18"/>
        <v>3268134.1814043545</v>
      </c>
      <c r="D572" s="39">
        <f t="shared" si="19"/>
        <v>1799915.675871182</v>
      </c>
    </row>
    <row r="573" spans="2:4" x14ac:dyDescent="0.25">
      <c r="B573" s="90">
        <v>569</v>
      </c>
      <c r="C573" s="39">
        <f t="shared" si="18"/>
        <v>3270797.0936955595</v>
      </c>
      <c r="D573" s="39">
        <f t="shared" si="19"/>
        <v>1803084.541497716</v>
      </c>
    </row>
    <row r="574" spans="2:4" x14ac:dyDescent="0.25">
      <c r="B574" s="90">
        <v>570</v>
      </c>
      <c r="C574" s="39">
        <f t="shared" si="18"/>
        <v>3273460.0059867641</v>
      </c>
      <c r="D574" s="39">
        <f t="shared" si="19"/>
        <v>1806253.4071242497</v>
      </c>
    </row>
    <row r="575" spans="2:4" x14ac:dyDescent="0.25">
      <c r="B575" s="90">
        <v>571</v>
      </c>
      <c r="C575" s="39">
        <f t="shared" si="18"/>
        <v>3276122.9182779691</v>
      </c>
      <c r="D575" s="39">
        <f t="shared" si="19"/>
        <v>1809422.2727507835</v>
      </c>
    </row>
    <row r="576" spans="2:4" x14ac:dyDescent="0.25">
      <c r="B576" s="90">
        <v>572</v>
      </c>
      <c r="C576" s="39">
        <f t="shared" si="18"/>
        <v>3278785.8305691741</v>
      </c>
      <c r="D576" s="39">
        <f t="shared" si="19"/>
        <v>1812591.1383773172</v>
      </c>
    </row>
    <row r="577" spans="2:4" x14ac:dyDescent="0.25">
      <c r="B577" s="90">
        <v>573</v>
      </c>
      <c r="C577" s="39">
        <f t="shared" si="18"/>
        <v>3281448.7428603787</v>
      </c>
      <c r="D577" s="39">
        <f t="shared" si="19"/>
        <v>1815760.004003851</v>
      </c>
    </row>
    <row r="578" spans="2:4" x14ac:dyDescent="0.25">
      <c r="B578" s="90">
        <v>574</v>
      </c>
      <c r="C578" s="39">
        <f t="shared" si="18"/>
        <v>3284111.6551515837</v>
      </c>
      <c r="D578" s="39">
        <f t="shared" si="19"/>
        <v>1818928.8696303847</v>
      </c>
    </row>
    <row r="579" spans="2:4" x14ac:dyDescent="0.25">
      <c r="B579" s="90">
        <v>575</v>
      </c>
      <c r="C579" s="39">
        <f t="shared" si="18"/>
        <v>3286774.5674427887</v>
      </c>
      <c r="D579" s="39">
        <f t="shared" si="19"/>
        <v>1822097.7352569185</v>
      </c>
    </row>
    <row r="580" spans="2:4" x14ac:dyDescent="0.25">
      <c r="B580" s="90">
        <v>576</v>
      </c>
      <c r="C580" s="39">
        <f t="shared" si="18"/>
        <v>3289437.4797339933</v>
      </c>
      <c r="D580" s="39">
        <f t="shared" si="19"/>
        <v>1825266.6008834522</v>
      </c>
    </row>
    <row r="581" spans="2:4" x14ac:dyDescent="0.25">
      <c r="B581" s="90">
        <v>577</v>
      </c>
      <c r="C581" s="39">
        <f t="shared" si="18"/>
        <v>3292100.3920251983</v>
      </c>
      <c r="D581" s="39">
        <f t="shared" si="19"/>
        <v>1828435.466509986</v>
      </c>
    </row>
    <row r="582" spans="2:4" x14ac:dyDescent="0.25">
      <c r="B582" s="90">
        <v>578</v>
      </c>
      <c r="C582" s="39">
        <f t="shared" si="18"/>
        <v>3294763.3043164033</v>
      </c>
      <c r="D582" s="39">
        <f t="shared" si="19"/>
        <v>1831604.3321365197</v>
      </c>
    </row>
    <row r="583" spans="2:4" x14ac:dyDescent="0.25">
      <c r="B583" s="90">
        <v>579</v>
      </c>
      <c r="C583" s="39">
        <f t="shared" si="18"/>
        <v>3297426.2166076079</v>
      </c>
      <c r="D583" s="39">
        <f t="shared" si="19"/>
        <v>1834773.1977630537</v>
      </c>
    </row>
    <row r="584" spans="2:4" x14ac:dyDescent="0.25">
      <c r="B584" s="90">
        <v>580</v>
      </c>
      <c r="C584" s="39">
        <f t="shared" si="18"/>
        <v>3300089.1288988129</v>
      </c>
      <c r="D584" s="39">
        <f t="shared" si="19"/>
        <v>1837942.0633895874</v>
      </c>
    </row>
    <row r="585" spans="2:4" x14ac:dyDescent="0.25">
      <c r="B585" s="90">
        <v>581</v>
      </c>
      <c r="C585" s="39">
        <f t="shared" si="18"/>
        <v>3302752.0411900179</v>
      </c>
      <c r="D585" s="39">
        <f t="shared" si="19"/>
        <v>1841110.9290161212</v>
      </c>
    </row>
    <row r="586" spans="2:4" x14ac:dyDescent="0.25">
      <c r="B586" s="90">
        <v>582</v>
      </c>
      <c r="C586" s="39">
        <f t="shared" si="18"/>
        <v>3305414.9534812225</v>
      </c>
      <c r="D586" s="39">
        <f t="shared" si="19"/>
        <v>1844279.7946426549</v>
      </c>
    </row>
    <row r="587" spans="2:4" x14ac:dyDescent="0.25">
      <c r="B587" s="90">
        <v>583</v>
      </c>
      <c r="C587" s="39">
        <f t="shared" si="18"/>
        <v>3308077.8657724271</v>
      </c>
      <c r="D587" s="39">
        <f t="shared" si="19"/>
        <v>1847448.6602691887</v>
      </c>
    </row>
    <row r="588" spans="2:4" x14ac:dyDescent="0.25">
      <c r="B588" s="90">
        <v>584</v>
      </c>
      <c r="C588" s="39">
        <f t="shared" si="18"/>
        <v>3310740.7780636325</v>
      </c>
      <c r="D588" s="39">
        <f t="shared" si="19"/>
        <v>1850617.5258957224</v>
      </c>
    </row>
    <row r="589" spans="2:4" x14ac:dyDescent="0.25">
      <c r="B589" s="90">
        <v>585</v>
      </c>
      <c r="C589" s="39">
        <f t="shared" si="18"/>
        <v>3313403.6903548371</v>
      </c>
      <c r="D589" s="39">
        <f t="shared" si="19"/>
        <v>1853786.3915222562</v>
      </c>
    </row>
    <row r="590" spans="2:4" x14ac:dyDescent="0.25">
      <c r="B590" s="90">
        <v>586</v>
      </c>
      <c r="C590" s="39">
        <f t="shared" si="18"/>
        <v>3316066.6026460417</v>
      </c>
      <c r="D590" s="39">
        <f t="shared" si="19"/>
        <v>1856955.2571487899</v>
      </c>
    </row>
    <row r="591" spans="2:4" x14ac:dyDescent="0.25">
      <c r="B591" s="90">
        <v>587</v>
      </c>
      <c r="C591" s="39">
        <f t="shared" si="18"/>
        <v>3318729.5149372467</v>
      </c>
      <c r="D591" s="39">
        <f t="shared" si="19"/>
        <v>1860124.1227753237</v>
      </c>
    </row>
    <row r="592" spans="2:4" x14ac:dyDescent="0.25">
      <c r="B592" s="90">
        <v>588</v>
      </c>
      <c r="C592" s="39">
        <f t="shared" si="18"/>
        <v>3321392.4272284517</v>
      </c>
      <c r="D592" s="39">
        <f t="shared" si="19"/>
        <v>1863292.9884018574</v>
      </c>
    </row>
    <row r="593" spans="2:4" x14ac:dyDescent="0.25">
      <c r="B593" s="90">
        <v>589</v>
      </c>
      <c r="C593" s="39">
        <f t="shared" si="18"/>
        <v>3324055.3395196563</v>
      </c>
      <c r="D593" s="39">
        <f t="shared" si="19"/>
        <v>1866461.8540283914</v>
      </c>
    </row>
    <row r="594" spans="2:4" x14ac:dyDescent="0.25">
      <c r="B594" s="90">
        <v>590</v>
      </c>
      <c r="C594" s="39">
        <f t="shared" si="18"/>
        <v>3326718.2518108613</v>
      </c>
      <c r="D594" s="39">
        <f t="shared" si="19"/>
        <v>1869630.7196549252</v>
      </c>
    </row>
    <row r="595" spans="2:4" x14ac:dyDescent="0.25">
      <c r="B595" s="90">
        <v>591</v>
      </c>
      <c r="C595" s="39">
        <f t="shared" si="18"/>
        <v>3329381.1641020663</v>
      </c>
      <c r="D595" s="39">
        <f t="shared" si="19"/>
        <v>1872799.5852814589</v>
      </c>
    </row>
    <row r="596" spans="2:4" x14ac:dyDescent="0.25">
      <c r="B596" s="90">
        <v>592</v>
      </c>
      <c r="C596" s="39">
        <f t="shared" si="18"/>
        <v>3332044.0763932709</v>
      </c>
      <c r="D596" s="39">
        <f t="shared" si="19"/>
        <v>1875968.4509079927</v>
      </c>
    </row>
    <row r="597" spans="2:4" x14ac:dyDescent="0.25">
      <c r="B597" s="90">
        <v>593</v>
      </c>
      <c r="C597" s="39">
        <f t="shared" si="18"/>
        <v>3334706.9886844759</v>
      </c>
      <c r="D597" s="39">
        <f t="shared" si="19"/>
        <v>1879137.3165345264</v>
      </c>
    </row>
    <row r="598" spans="2:4" x14ac:dyDescent="0.25">
      <c r="B598" s="90">
        <v>594</v>
      </c>
      <c r="C598" s="39">
        <f t="shared" si="18"/>
        <v>3337369.9009756809</v>
      </c>
      <c r="D598" s="39">
        <f t="shared" si="19"/>
        <v>1882306.1821610602</v>
      </c>
    </row>
    <row r="599" spans="2:4" x14ac:dyDescent="0.25">
      <c r="B599" s="90">
        <v>595</v>
      </c>
      <c r="C599" s="39">
        <f t="shared" si="18"/>
        <v>3340032.8132668855</v>
      </c>
      <c r="D599" s="39">
        <f t="shared" si="19"/>
        <v>1885475.0477875939</v>
      </c>
    </row>
    <row r="600" spans="2:4" x14ac:dyDescent="0.25">
      <c r="B600" s="90">
        <v>596</v>
      </c>
      <c r="C600" s="39">
        <f t="shared" si="18"/>
        <v>3342695.7255580905</v>
      </c>
      <c r="D600" s="39">
        <f t="shared" si="19"/>
        <v>1888643.9134141277</v>
      </c>
    </row>
    <row r="601" spans="2:4" x14ac:dyDescent="0.25">
      <c r="B601" s="90">
        <v>597</v>
      </c>
      <c r="C601" s="39">
        <f t="shared" si="18"/>
        <v>3345358.6378492955</v>
      </c>
      <c r="D601" s="39">
        <f t="shared" si="19"/>
        <v>1891812.7790406614</v>
      </c>
    </row>
    <row r="602" spans="2:4" x14ac:dyDescent="0.25">
      <c r="B602" s="90">
        <v>598</v>
      </c>
      <c r="C602" s="39">
        <f t="shared" si="18"/>
        <v>3348021.5501405001</v>
      </c>
      <c r="D602" s="39">
        <f t="shared" si="19"/>
        <v>1894981.6446671952</v>
      </c>
    </row>
    <row r="603" spans="2:4" x14ac:dyDescent="0.25">
      <c r="B603" s="90">
        <v>599</v>
      </c>
      <c r="C603" s="39">
        <f t="shared" si="18"/>
        <v>3350684.4624317046</v>
      </c>
      <c r="D603" s="39">
        <f t="shared" si="19"/>
        <v>1898150.5102937289</v>
      </c>
    </row>
    <row r="604" spans="2:4" x14ac:dyDescent="0.25">
      <c r="B604" s="90">
        <v>600</v>
      </c>
      <c r="C604" s="39">
        <f t="shared" si="18"/>
        <v>3353347.3747229101</v>
      </c>
      <c r="D604" s="39">
        <f t="shared" si="19"/>
        <v>1901319.3759202629</v>
      </c>
    </row>
    <row r="605" spans="2:4" x14ac:dyDescent="0.25">
      <c r="B605" s="90">
        <v>601</v>
      </c>
      <c r="C605" s="39">
        <f t="shared" si="18"/>
        <v>3356010.2870141147</v>
      </c>
      <c r="D605" s="39">
        <f t="shared" si="19"/>
        <v>1904488.2415467966</v>
      </c>
    </row>
    <row r="606" spans="2:4" x14ac:dyDescent="0.25">
      <c r="B606" s="90">
        <v>602</v>
      </c>
      <c r="C606" s="39">
        <f t="shared" si="18"/>
        <v>3358673.1993053192</v>
      </c>
      <c r="D606" s="39">
        <f t="shared" si="19"/>
        <v>1907657.1071733304</v>
      </c>
    </row>
    <row r="607" spans="2:4" x14ac:dyDescent="0.25">
      <c r="B607" s="90">
        <v>603</v>
      </c>
      <c r="C607" s="39">
        <f t="shared" si="18"/>
        <v>3361336.1115965242</v>
      </c>
      <c r="D607" s="39">
        <f t="shared" si="19"/>
        <v>1910825.9727998641</v>
      </c>
    </row>
    <row r="608" spans="2:4" x14ac:dyDescent="0.25">
      <c r="B608" s="90">
        <v>604</v>
      </c>
      <c r="C608" s="39">
        <f t="shared" si="18"/>
        <v>3363999.0238877293</v>
      </c>
      <c r="D608" s="39">
        <f t="shared" si="19"/>
        <v>1913994.8384263979</v>
      </c>
    </row>
    <row r="609" spans="2:4" x14ac:dyDescent="0.25">
      <c r="B609" s="90">
        <v>605</v>
      </c>
      <c r="C609" s="39">
        <f t="shared" si="18"/>
        <v>3366661.9361789338</v>
      </c>
      <c r="D609" s="39">
        <f t="shared" si="19"/>
        <v>1917163.7040529316</v>
      </c>
    </row>
    <row r="610" spans="2:4" x14ac:dyDescent="0.25">
      <c r="B610" s="90">
        <v>606</v>
      </c>
      <c r="C610" s="39">
        <f t="shared" si="18"/>
        <v>3369324.8484701389</v>
      </c>
      <c r="D610" s="39">
        <f t="shared" si="19"/>
        <v>1920332.5696794654</v>
      </c>
    </row>
    <row r="611" spans="2:4" x14ac:dyDescent="0.25">
      <c r="B611" s="90">
        <v>607</v>
      </c>
      <c r="C611" s="39">
        <f t="shared" si="18"/>
        <v>3371987.7607613439</v>
      </c>
      <c r="D611" s="39">
        <f t="shared" si="19"/>
        <v>1923501.4353059991</v>
      </c>
    </row>
    <row r="612" spans="2:4" x14ac:dyDescent="0.25">
      <c r="B612" s="90">
        <v>608</v>
      </c>
      <c r="C612" s="39">
        <f t="shared" si="18"/>
        <v>3374650.6730525484</v>
      </c>
      <c r="D612" s="39">
        <f t="shared" si="19"/>
        <v>1926670.3009325329</v>
      </c>
    </row>
    <row r="613" spans="2:4" x14ac:dyDescent="0.25">
      <c r="B613" s="90">
        <v>609</v>
      </c>
      <c r="C613" s="39">
        <f t="shared" si="18"/>
        <v>3377313.5853437535</v>
      </c>
      <c r="D613" s="39">
        <f t="shared" si="19"/>
        <v>1929839.1665590666</v>
      </c>
    </row>
    <row r="614" spans="2:4" x14ac:dyDescent="0.25">
      <c r="B614" s="90">
        <v>610</v>
      </c>
      <c r="C614" s="39">
        <f t="shared" si="18"/>
        <v>3379976.4976349585</v>
      </c>
      <c r="D614" s="39">
        <f t="shared" si="19"/>
        <v>1933008.0321856006</v>
      </c>
    </row>
    <row r="615" spans="2:4" x14ac:dyDescent="0.25">
      <c r="B615" s="90">
        <v>611</v>
      </c>
      <c r="C615" s="39">
        <f t="shared" si="18"/>
        <v>3382639.409926163</v>
      </c>
      <c r="D615" s="39">
        <f t="shared" si="19"/>
        <v>1936176.8978121344</v>
      </c>
    </row>
    <row r="616" spans="2:4" x14ac:dyDescent="0.25">
      <c r="B616" s="90">
        <v>612</v>
      </c>
      <c r="C616" s="39">
        <f t="shared" si="18"/>
        <v>3385302.3222173681</v>
      </c>
      <c r="D616" s="39">
        <f t="shared" si="19"/>
        <v>1939345.7634386681</v>
      </c>
    </row>
    <row r="617" spans="2:4" x14ac:dyDescent="0.25">
      <c r="B617" s="90">
        <v>613</v>
      </c>
      <c r="C617" s="39">
        <f t="shared" si="18"/>
        <v>3387965.2345085731</v>
      </c>
      <c r="D617" s="39">
        <f t="shared" si="19"/>
        <v>1942514.6290652019</v>
      </c>
    </row>
    <row r="618" spans="2:4" x14ac:dyDescent="0.25">
      <c r="B618" s="90">
        <v>614</v>
      </c>
      <c r="C618" s="39">
        <f t="shared" si="18"/>
        <v>3390628.1467997776</v>
      </c>
      <c r="D618" s="39">
        <f t="shared" si="19"/>
        <v>1945683.4946917356</v>
      </c>
    </row>
    <row r="619" spans="2:4" x14ac:dyDescent="0.25">
      <c r="B619" s="90">
        <v>615</v>
      </c>
      <c r="C619" s="39">
        <f t="shared" si="18"/>
        <v>3393291.0590909827</v>
      </c>
      <c r="D619" s="39">
        <f t="shared" si="19"/>
        <v>1948852.3603182693</v>
      </c>
    </row>
    <row r="620" spans="2:4" x14ac:dyDescent="0.25">
      <c r="B620" s="90">
        <v>616</v>
      </c>
      <c r="C620" s="39">
        <f t="shared" si="18"/>
        <v>3395953.9713821877</v>
      </c>
      <c r="D620" s="39">
        <f t="shared" si="19"/>
        <v>1952021.2259448031</v>
      </c>
    </row>
    <row r="621" spans="2:4" x14ac:dyDescent="0.25">
      <c r="B621" s="90">
        <v>617</v>
      </c>
      <c r="C621" s="39">
        <f t="shared" si="18"/>
        <v>3398616.8836733922</v>
      </c>
      <c r="D621" s="39">
        <f t="shared" si="19"/>
        <v>1955190.0915713368</v>
      </c>
    </row>
    <row r="622" spans="2:4" x14ac:dyDescent="0.25">
      <c r="B622" s="90">
        <v>618</v>
      </c>
      <c r="C622" s="39">
        <f t="shared" si="18"/>
        <v>3401279.7959645968</v>
      </c>
      <c r="D622" s="39">
        <f t="shared" si="19"/>
        <v>1958358.9571978706</v>
      </c>
    </row>
    <row r="623" spans="2:4" x14ac:dyDescent="0.25">
      <c r="B623" s="90">
        <v>619</v>
      </c>
      <c r="C623" s="39">
        <f t="shared" si="18"/>
        <v>3403942.7082558023</v>
      </c>
      <c r="D623" s="39">
        <f t="shared" si="19"/>
        <v>1961527.8228244043</v>
      </c>
    </row>
    <row r="624" spans="2:4" x14ac:dyDescent="0.25">
      <c r="B624" s="90">
        <v>620</v>
      </c>
      <c r="C624" s="39">
        <f t="shared" si="18"/>
        <v>3406605.6205470068</v>
      </c>
      <c r="D624" s="39">
        <f t="shared" si="19"/>
        <v>1964696.6884509383</v>
      </c>
    </row>
    <row r="625" spans="2:4" x14ac:dyDescent="0.25">
      <c r="B625" s="90">
        <v>621</v>
      </c>
      <c r="C625" s="39">
        <f t="shared" ref="C625:C688" si="20">($C$2*B625)+$C$1</f>
        <v>3409268.5328382114</v>
      </c>
      <c r="D625" s="39">
        <f t="shared" ref="D625:D688" si="21">$D$2*B625</f>
        <v>1967865.5540774721</v>
      </c>
    </row>
    <row r="626" spans="2:4" x14ac:dyDescent="0.25">
      <c r="B626" s="90">
        <v>622</v>
      </c>
      <c r="C626" s="39">
        <f t="shared" si="20"/>
        <v>3411931.4451294164</v>
      </c>
      <c r="D626" s="39">
        <f t="shared" si="21"/>
        <v>1971034.4197040058</v>
      </c>
    </row>
    <row r="627" spans="2:4" x14ac:dyDescent="0.25">
      <c r="B627" s="90">
        <v>623</v>
      </c>
      <c r="C627" s="39">
        <f t="shared" si="20"/>
        <v>3414594.3574206214</v>
      </c>
      <c r="D627" s="39">
        <f t="shared" si="21"/>
        <v>1974203.2853305396</v>
      </c>
    </row>
    <row r="628" spans="2:4" x14ac:dyDescent="0.25">
      <c r="B628" s="90">
        <v>624</v>
      </c>
      <c r="C628" s="39">
        <f t="shared" si="20"/>
        <v>3417257.269711826</v>
      </c>
      <c r="D628" s="39">
        <f t="shared" si="21"/>
        <v>1977372.1509570733</v>
      </c>
    </row>
    <row r="629" spans="2:4" x14ac:dyDescent="0.25">
      <c r="B629" s="90">
        <v>625</v>
      </c>
      <c r="C629" s="39">
        <f t="shared" si="20"/>
        <v>3419920.182003031</v>
      </c>
      <c r="D629" s="39">
        <f t="shared" si="21"/>
        <v>1980541.0165836071</v>
      </c>
    </row>
    <row r="630" spans="2:4" x14ac:dyDescent="0.25">
      <c r="B630" s="90">
        <v>626</v>
      </c>
      <c r="C630" s="39">
        <f t="shared" si="20"/>
        <v>3422583.094294236</v>
      </c>
      <c r="D630" s="39">
        <f t="shared" si="21"/>
        <v>1983709.8822101408</v>
      </c>
    </row>
    <row r="631" spans="2:4" x14ac:dyDescent="0.25">
      <c r="B631" s="90">
        <v>627</v>
      </c>
      <c r="C631" s="39">
        <f t="shared" si="20"/>
        <v>3425246.0065854406</v>
      </c>
      <c r="D631" s="39">
        <f t="shared" si="21"/>
        <v>1986878.7478366746</v>
      </c>
    </row>
    <row r="632" spans="2:4" x14ac:dyDescent="0.25">
      <c r="B632" s="90">
        <v>628</v>
      </c>
      <c r="C632" s="39">
        <f t="shared" si="20"/>
        <v>3427908.9188766456</v>
      </c>
      <c r="D632" s="39">
        <f t="shared" si="21"/>
        <v>1990047.6134632083</v>
      </c>
    </row>
    <row r="633" spans="2:4" x14ac:dyDescent="0.25">
      <c r="B633" s="90">
        <v>629</v>
      </c>
      <c r="C633" s="39">
        <f t="shared" si="20"/>
        <v>3430571.8311678506</v>
      </c>
      <c r="D633" s="39">
        <f t="shared" si="21"/>
        <v>1993216.4790897421</v>
      </c>
    </row>
    <row r="634" spans="2:4" x14ac:dyDescent="0.25">
      <c r="B634" s="90">
        <v>630</v>
      </c>
      <c r="C634" s="39">
        <f t="shared" si="20"/>
        <v>3433234.7434590552</v>
      </c>
      <c r="D634" s="39">
        <f t="shared" si="21"/>
        <v>1996385.344716276</v>
      </c>
    </row>
    <row r="635" spans="2:4" x14ac:dyDescent="0.25">
      <c r="B635" s="90">
        <v>631</v>
      </c>
      <c r="C635" s="39">
        <f t="shared" si="20"/>
        <v>3435897.6557502602</v>
      </c>
      <c r="D635" s="39">
        <f t="shared" si="21"/>
        <v>1999554.2103428098</v>
      </c>
    </row>
    <row r="636" spans="2:4" x14ac:dyDescent="0.25">
      <c r="B636" s="90">
        <v>632</v>
      </c>
      <c r="C636" s="39">
        <f t="shared" si="20"/>
        <v>3438560.5680414652</v>
      </c>
      <c r="D636" s="39">
        <f t="shared" si="21"/>
        <v>2002723.0759693435</v>
      </c>
    </row>
    <row r="637" spans="2:4" x14ac:dyDescent="0.25">
      <c r="B637" s="90">
        <v>633</v>
      </c>
      <c r="C637" s="39">
        <f t="shared" si="20"/>
        <v>3441223.4803326698</v>
      </c>
      <c r="D637" s="39">
        <f t="shared" si="21"/>
        <v>2005891.9415958773</v>
      </c>
    </row>
    <row r="638" spans="2:4" x14ac:dyDescent="0.25">
      <c r="B638" s="90">
        <v>634</v>
      </c>
      <c r="C638" s="39">
        <f t="shared" si="20"/>
        <v>3443886.3926238744</v>
      </c>
      <c r="D638" s="39">
        <f t="shared" si="21"/>
        <v>2009060.807222411</v>
      </c>
    </row>
    <row r="639" spans="2:4" x14ac:dyDescent="0.25">
      <c r="B639" s="90">
        <v>635</v>
      </c>
      <c r="C639" s="39">
        <f t="shared" si="20"/>
        <v>3446549.3049150798</v>
      </c>
      <c r="D639" s="39">
        <f t="shared" si="21"/>
        <v>2012229.6728489448</v>
      </c>
    </row>
    <row r="640" spans="2:4" x14ac:dyDescent="0.25">
      <c r="B640" s="90">
        <v>636</v>
      </c>
      <c r="C640" s="39">
        <f t="shared" si="20"/>
        <v>3449212.2172062844</v>
      </c>
      <c r="D640" s="39">
        <f t="shared" si="21"/>
        <v>2015398.5384754785</v>
      </c>
    </row>
    <row r="641" spans="2:4" x14ac:dyDescent="0.25">
      <c r="B641" s="90">
        <v>637</v>
      </c>
      <c r="C641" s="39">
        <f t="shared" si="20"/>
        <v>3451875.129497489</v>
      </c>
      <c r="D641" s="39">
        <f t="shared" si="21"/>
        <v>2018567.4041020123</v>
      </c>
    </row>
    <row r="642" spans="2:4" x14ac:dyDescent="0.25">
      <c r="B642" s="90">
        <v>638</v>
      </c>
      <c r="C642" s="39">
        <f t="shared" si="20"/>
        <v>3454538.041788694</v>
      </c>
      <c r="D642" s="39">
        <f t="shared" si="21"/>
        <v>2021736.269728546</v>
      </c>
    </row>
    <row r="643" spans="2:4" x14ac:dyDescent="0.25">
      <c r="B643" s="90">
        <v>639</v>
      </c>
      <c r="C643" s="39">
        <f t="shared" si="20"/>
        <v>3457200.954079899</v>
      </c>
      <c r="D643" s="39">
        <f t="shared" si="21"/>
        <v>2024905.1353550798</v>
      </c>
    </row>
    <row r="644" spans="2:4" x14ac:dyDescent="0.25">
      <c r="B644" s="90">
        <v>640</v>
      </c>
      <c r="C644" s="39">
        <f t="shared" si="20"/>
        <v>3459863.8663711036</v>
      </c>
      <c r="D644" s="39">
        <f t="shared" si="21"/>
        <v>2028074.0009816135</v>
      </c>
    </row>
    <row r="645" spans="2:4" x14ac:dyDescent="0.25">
      <c r="B645" s="90">
        <v>641</v>
      </c>
      <c r="C645" s="39">
        <f t="shared" si="20"/>
        <v>3462526.7786623086</v>
      </c>
      <c r="D645" s="39">
        <f t="shared" si="21"/>
        <v>2031242.8666081475</v>
      </c>
    </row>
    <row r="646" spans="2:4" x14ac:dyDescent="0.25">
      <c r="B646" s="90">
        <v>642</v>
      </c>
      <c r="C646" s="39">
        <f t="shared" si="20"/>
        <v>3465189.6909535136</v>
      </c>
      <c r="D646" s="39">
        <f t="shared" si="21"/>
        <v>2034411.7322346813</v>
      </c>
    </row>
    <row r="647" spans="2:4" x14ac:dyDescent="0.25">
      <c r="B647" s="90">
        <v>643</v>
      </c>
      <c r="C647" s="39">
        <f t="shared" si="20"/>
        <v>3467852.6032447182</v>
      </c>
      <c r="D647" s="39">
        <f t="shared" si="21"/>
        <v>2037580.597861215</v>
      </c>
    </row>
    <row r="648" spans="2:4" x14ac:dyDescent="0.25">
      <c r="B648" s="90">
        <v>644</v>
      </c>
      <c r="C648" s="39">
        <f t="shared" si="20"/>
        <v>3470515.5155359232</v>
      </c>
      <c r="D648" s="39">
        <f t="shared" si="21"/>
        <v>2040749.4634877488</v>
      </c>
    </row>
    <row r="649" spans="2:4" x14ac:dyDescent="0.25">
      <c r="B649" s="90">
        <v>645</v>
      </c>
      <c r="C649" s="39">
        <f t="shared" si="20"/>
        <v>3473178.4278271282</v>
      </c>
      <c r="D649" s="39">
        <f t="shared" si="21"/>
        <v>2043918.3291142825</v>
      </c>
    </row>
    <row r="650" spans="2:4" x14ac:dyDescent="0.25">
      <c r="B650" s="90">
        <v>646</v>
      </c>
      <c r="C650" s="39">
        <f t="shared" si="20"/>
        <v>3475841.3401183328</v>
      </c>
      <c r="D650" s="39">
        <f t="shared" si="21"/>
        <v>2047087.1947408163</v>
      </c>
    </row>
    <row r="651" spans="2:4" x14ac:dyDescent="0.25">
      <c r="B651" s="90">
        <v>647</v>
      </c>
      <c r="C651" s="39">
        <f t="shared" si="20"/>
        <v>3478504.2524095378</v>
      </c>
      <c r="D651" s="39">
        <f t="shared" si="21"/>
        <v>2050256.06036735</v>
      </c>
    </row>
    <row r="652" spans="2:4" x14ac:dyDescent="0.25">
      <c r="B652" s="90">
        <v>648</v>
      </c>
      <c r="C652" s="39">
        <f t="shared" si="20"/>
        <v>3481167.1647007428</v>
      </c>
      <c r="D652" s="39">
        <f t="shared" si="21"/>
        <v>2053424.9259938837</v>
      </c>
    </row>
    <row r="653" spans="2:4" x14ac:dyDescent="0.25">
      <c r="B653" s="90">
        <v>649</v>
      </c>
      <c r="C653" s="39">
        <f t="shared" si="20"/>
        <v>3483830.0769919474</v>
      </c>
      <c r="D653" s="39">
        <f t="shared" si="21"/>
        <v>2056593.7916204175</v>
      </c>
    </row>
    <row r="654" spans="2:4" x14ac:dyDescent="0.25">
      <c r="B654" s="90">
        <v>650</v>
      </c>
      <c r="C654" s="39">
        <f t="shared" si="20"/>
        <v>3486492.9892831524</v>
      </c>
      <c r="D654" s="39">
        <f t="shared" si="21"/>
        <v>2059762.6572469512</v>
      </c>
    </row>
    <row r="655" spans="2:4" x14ac:dyDescent="0.25">
      <c r="B655" s="90">
        <v>651</v>
      </c>
      <c r="C655" s="39">
        <f t="shared" si="20"/>
        <v>3489155.9015743574</v>
      </c>
      <c r="D655" s="39">
        <f t="shared" si="21"/>
        <v>2062931.5228734852</v>
      </c>
    </row>
    <row r="656" spans="2:4" x14ac:dyDescent="0.25">
      <c r="B656" s="90">
        <v>652</v>
      </c>
      <c r="C656" s="39">
        <f t="shared" si="20"/>
        <v>3491818.813865562</v>
      </c>
      <c r="D656" s="39">
        <f t="shared" si="21"/>
        <v>2066100.388500019</v>
      </c>
    </row>
    <row r="657" spans="2:4" x14ac:dyDescent="0.25">
      <c r="B657" s="90">
        <v>653</v>
      </c>
      <c r="C657" s="39">
        <f t="shared" si="20"/>
        <v>3494481.7261567665</v>
      </c>
      <c r="D657" s="39">
        <f t="shared" si="21"/>
        <v>2069269.2541265527</v>
      </c>
    </row>
    <row r="658" spans="2:4" x14ac:dyDescent="0.25">
      <c r="B658" s="90">
        <v>654</v>
      </c>
      <c r="C658" s="39">
        <f t="shared" si="20"/>
        <v>3497144.638447972</v>
      </c>
      <c r="D658" s="39">
        <f t="shared" si="21"/>
        <v>2072438.1197530865</v>
      </c>
    </row>
    <row r="659" spans="2:4" x14ac:dyDescent="0.25">
      <c r="B659" s="90">
        <v>655</v>
      </c>
      <c r="C659" s="39">
        <f t="shared" si="20"/>
        <v>3499807.5507391766</v>
      </c>
      <c r="D659" s="39">
        <f t="shared" si="21"/>
        <v>2075606.9853796202</v>
      </c>
    </row>
    <row r="660" spans="2:4" x14ac:dyDescent="0.25">
      <c r="B660" s="90">
        <v>656</v>
      </c>
      <c r="C660" s="39">
        <f t="shared" si="20"/>
        <v>3502470.4630303811</v>
      </c>
      <c r="D660" s="39">
        <f t="shared" si="21"/>
        <v>2078775.851006154</v>
      </c>
    </row>
    <row r="661" spans="2:4" x14ac:dyDescent="0.25">
      <c r="B661" s="90">
        <v>657</v>
      </c>
      <c r="C661" s="39">
        <f t="shared" si="20"/>
        <v>3505133.3753215862</v>
      </c>
      <c r="D661" s="39">
        <f t="shared" si="21"/>
        <v>2081944.7166326877</v>
      </c>
    </row>
    <row r="662" spans="2:4" x14ac:dyDescent="0.25">
      <c r="B662" s="90">
        <v>658</v>
      </c>
      <c r="C662" s="39">
        <f t="shared" si="20"/>
        <v>3507796.2876127912</v>
      </c>
      <c r="D662" s="39">
        <f t="shared" si="21"/>
        <v>2085113.5822592215</v>
      </c>
    </row>
    <row r="663" spans="2:4" x14ac:dyDescent="0.25">
      <c r="B663" s="90">
        <v>659</v>
      </c>
      <c r="C663" s="39">
        <f t="shared" si="20"/>
        <v>3510459.1999039957</v>
      </c>
      <c r="D663" s="39">
        <f t="shared" si="21"/>
        <v>2088282.4478857552</v>
      </c>
    </row>
    <row r="664" spans="2:4" x14ac:dyDescent="0.25">
      <c r="B664" s="90">
        <v>660</v>
      </c>
      <c r="C664" s="39">
        <f t="shared" si="20"/>
        <v>3513122.1121952008</v>
      </c>
      <c r="D664" s="39">
        <f t="shared" si="21"/>
        <v>2091451.313512289</v>
      </c>
    </row>
    <row r="665" spans="2:4" x14ac:dyDescent="0.25">
      <c r="B665" s="90">
        <v>661</v>
      </c>
      <c r="C665" s="39">
        <f t="shared" si="20"/>
        <v>3515785.0244864058</v>
      </c>
      <c r="D665" s="39">
        <f t="shared" si="21"/>
        <v>2094620.1791388229</v>
      </c>
    </row>
    <row r="666" spans="2:4" x14ac:dyDescent="0.25">
      <c r="B666" s="90">
        <v>662</v>
      </c>
      <c r="C666" s="39">
        <f t="shared" si="20"/>
        <v>3518447.9367776103</v>
      </c>
      <c r="D666" s="39">
        <f t="shared" si="21"/>
        <v>2097789.0447653565</v>
      </c>
    </row>
    <row r="667" spans="2:4" x14ac:dyDescent="0.25">
      <c r="B667" s="90">
        <v>663</v>
      </c>
      <c r="C667" s="39">
        <f t="shared" si="20"/>
        <v>3521110.8490688154</v>
      </c>
      <c r="D667" s="39">
        <f t="shared" si="21"/>
        <v>2100957.9103918904</v>
      </c>
    </row>
    <row r="668" spans="2:4" x14ac:dyDescent="0.25">
      <c r="B668" s="90">
        <v>664</v>
      </c>
      <c r="C668" s="39">
        <f t="shared" si="20"/>
        <v>3523773.7613600204</v>
      </c>
      <c r="D668" s="39">
        <f t="shared" si="21"/>
        <v>2104126.776018424</v>
      </c>
    </row>
    <row r="669" spans="2:4" x14ac:dyDescent="0.25">
      <c r="B669" s="90">
        <v>665</v>
      </c>
      <c r="C669" s="39">
        <f t="shared" si="20"/>
        <v>3526436.6736512249</v>
      </c>
      <c r="D669" s="39">
        <f t="shared" si="21"/>
        <v>2107295.6416449579</v>
      </c>
    </row>
    <row r="670" spans="2:4" x14ac:dyDescent="0.25">
      <c r="B670" s="90">
        <v>666</v>
      </c>
      <c r="C670" s="39">
        <f t="shared" si="20"/>
        <v>3529099.58594243</v>
      </c>
      <c r="D670" s="39">
        <f t="shared" si="21"/>
        <v>2110464.5072714919</v>
      </c>
    </row>
    <row r="671" spans="2:4" x14ac:dyDescent="0.25">
      <c r="B671" s="90">
        <v>667</v>
      </c>
      <c r="C671" s="39">
        <f t="shared" si="20"/>
        <v>3531762.498233635</v>
      </c>
      <c r="D671" s="39">
        <f t="shared" si="21"/>
        <v>2113633.3728980254</v>
      </c>
    </row>
    <row r="672" spans="2:4" x14ac:dyDescent="0.25">
      <c r="B672" s="90">
        <v>668</v>
      </c>
      <c r="C672" s="39">
        <f t="shared" si="20"/>
        <v>3534425.4105248395</v>
      </c>
      <c r="D672" s="39">
        <f t="shared" si="21"/>
        <v>2116802.2385245594</v>
      </c>
    </row>
    <row r="673" spans="2:4" x14ac:dyDescent="0.25">
      <c r="B673" s="90">
        <v>669</v>
      </c>
      <c r="C673" s="39">
        <f t="shared" si="20"/>
        <v>3537088.3228160441</v>
      </c>
      <c r="D673" s="39">
        <f t="shared" si="21"/>
        <v>2119971.1041510929</v>
      </c>
    </row>
    <row r="674" spans="2:4" x14ac:dyDescent="0.25">
      <c r="B674" s="90">
        <v>670</v>
      </c>
      <c r="C674" s="39">
        <f t="shared" si="20"/>
        <v>3539751.2351072496</v>
      </c>
      <c r="D674" s="39">
        <f t="shared" si="21"/>
        <v>2123139.9697776269</v>
      </c>
    </row>
    <row r="675" spans="2:4" x14ac:dyDescent="0.25">
      <c r="B675" s="90">
        <v>671</v>
      </c>
      <c r="C675" s="39">
        <f t="shared" si="20"/>
        <v>3542414.1473984541</v>
      </c>
      <c r="D675" s="39">
        <f t="shared" si="21"/>
        <v>2126308.8354041604</v>
      </c>
    </row>
    <row r="676" spans="2:4" x14ac:dyDescent="0.25">
      <c r="B676" s="90">
        <v>672</v>
      </c>
      <c r="C676" s="39">
        <f t="shared" si="20"/>
        <v>3545077.0596896587</v>
      </c>
      <c r="D676" s="39">
        <f t="shared" si="21"/>
        <v>2129477.7010306944</v>
      </c>
    </row>
    <row r="677" spans="2:4" x14ac:dyDescent="0.25">
      <c r="B677" s="90">
        <v>673</v>
      </c>
      <c r="C677" s="39">
        <f t="shared" si="20"/>
        <v>3547739.9719808642</v>
      </c>
      <c r="D677" s="39">
        <f t="shared" si="21"/>
        <v>2132646.5666572279</v>
      </c>
    </row>
    <row r="678" spans="2:4" x14ac:dyDescent="0.25">
      <c r="B678" s="90">
        <v>674</v>
      </c>
      <c r="C678" s="39">
        <f t="shared" si="20"/>
        <v>3550402.8842720687</v>
      </c>
      <c r="D678" s="39">
        <f t="shared" si="21"/>
        <v>2135815.4322837619</v>
      </c>
    </row>
    <row r="679" spans="2:4" x14ac:dyDescent="0.25">
      <c r="B679" s="90">
        <v>675</v>
      </c>
      <c r="C679" s="39">
        <f t="shared" si="20"/>
        <v>3553065.7965632733</v>
      </c>
      <c r="D679" s="39">
        <f t="shared" si="21"/>
        <v>2138984.2979102954</v>
      </c>
    </row>
    <row r="680" spans="2:4" x14ac:dyDescent="0.25">
      <c r="B680" s="90">
        <v>676</v>
      </c>
      <c r="C680" s="39">
        <f t="shared" si="20"/>
        <v>3555728.7088544783</v>
      </c>
      <c r="D680" s="39">
        <f t="shared" si="21"/>
        <v>2142153.1635368294</v>
      </c>
    </row>
    <row r="681" spans="2:4" x14ac:dyDescent="0.25">
      <c r="B681" s="90">
        <v>677</v>
      </c>
      <c r="C681" s="39">
        <f t="shared" si="20"/>
        <v>3558391.6211456833</v>
      </c>
      <c r="D681" s="39">
        <f t="shared" si="21"/>
        <v>2145322.0291633634</v>
      </c>
    </row>
    <row r="682" spans="2:4" x14ac:dyDescent="0.25">
      <c r="B682" s="90">
        <v>678</v>
      </c>
      <c r="C682" s="39">
        <f t="shared" si="20"/>
        <v>3561054.5334368879</v>
      </c>
      <c r="D682" s="39">
        <f t="shared" si="21"/>
        <v>2148490.8947898969</v>
      </c>
    </row>
    <row r="683" spans="2:4" x14ac:dyDescent="0.25">
      <c r="B683" s="90">
        <v>679</v>
      </c>
      <c r="C683" s="39">
        <f t="shared" si="20"/>
        <v>3563717.4457280929</v>
      </c>
      <c r="D683" s="39">
        <f t="shared" si="21"/>
        <v>2151659.7604164309</v>
      </c>
    </row>
    <row r="684" spans="2:4" x14ac:dyDescent="0.25">
      <c r="B684" s="90">
        <v>680</v>
      </c>
      <c r="C684" s="39">
        <f t="shared" si="20"/>
        <v>3566380.3580192979</v>
      </c>
      <c r="D684" s="39">
        <f t="shared" si="21"/>
        <v>2154828.6260429644</v>
      </c>
    </row>
    <row r="685" spans="2:4" x14ac:dyDescent="0.25">
      <c r="B685" s="90">
        <v>681</v>
      </c>
      <c r="C685" s="39">
        <f t="shared" si="20"/>
        <v>3569043.2703105025</v>
      </c>
      <c r="D685" s="39">
        <f t="shared" si="21"/>
        <v>2157997.4916694984</v>
      </c>
    </row>
    <row r="686" spans="2:4" x14ac:dyDescent="0.25">
      <c r="B686" s="90">
        <v>682</v>
      </c>
      <c r="C686" s="39">
        <f t="shared" si="20"/>
        <v>3571706.1826017075</v>
      </c>
      <c r="D686" s="39">
        <f t="shared" si="21"/>
        <v>2161166.3572960319</v>
      </c>
    </row>
    <row r="687" spans="2:4" x14ac:dyDescent="0.25">
      <c r="B687" s="90">
        <v>683</v>
      </c>
      <c r="C687" s="39">
        <f t="shared" si="20"/>
        <v>3574369.0948929125</v>
      </c>
      <c r="D687" s="39">
        <f t="shared" si="21"/>
        <v>2164335.2229225659</v>
      </c>
    </row>
    <row r="688" spans="2:4" x14ac:dyDescent="0.25">
      <c r="B688" s="90">
        <v>684</v>
      </c>
      <c r="C688" s="39">
        <f t="shared" si="20"/>
        <v>3577032.0071841171</v>
      </c>
      <c r="D688" s="39">
        <f t="shared" si="21"/>
        <v>2167504.0885490994</v>
      </c>
    </row>
    <row r="689" spans="2:4" x14ac:dyDescent="0.25">
      <c r="B689" s="90">
        <v>685</v>
      </c>
      <c r="C689" s="39">
        <f t="shared" ref="C689:C752" si="22">($C$2*B689)+$C$1</f>
        <v>3579694.9194753221</v>
      </c>
      <c r="D689" s="39">
        <f t="shared" ref="D689:D752" si="23">$D$2*B689</f>
        <v>2170672.9541756334</v>
      </c>
    </row>
    <row r="690" spans="2:4" x14ac:dyDescent="0.25">
      <c r="B690" s="90">
        <v>686</v>
      </c>
      <c r="C690" s="39">
        <f t="shared" si="22"/>
        <v>3582357.8317665271</v>
      </c>
      <c r="D690" s="39">
        <f t="shared" si="23"/>
        <v>2173841.8198021669</v>
      </c>
    </row>
    <row r="691" spans="2:4" x14ac:dyDescent="0.25">
      <c r="B691" s="90">
        <v>687</v>
      </c>
      <c r="C691" s="39">
        <f t="shared" si="22"/>
        <v>3585020.7440577317</v>
      </c>
      <c r="D691" s="39">
        <f t="shared" si="23"/>
        <v>2177010.6854287009</v>
      </c>
    </row>
    <row r="692" spans="2:4" x14ac:dyDescent="0.25">
      <c r="B692" s="90">
        <v>688</v>
      </c>
      <c r="C692" s="39">
        <f t="shared" si="22"/>
        <v>3587683.6563489363</v>
      </c>
      <c r="D692" s="39">
        <f t="shared" si="23"/>
        <v>2180179.5510552349</v>
      </c>
    </row>
    <row r="693" spans="2:4" x14ac:dyDescent="0.25">
      <c r="B693" s="90">
        <v>689</v>
      </c>
      <c r="C693" s="39">
        <f t="shared" si="22"/>
        <v>3590346.5686401417</v>
      </c>
      <c r="D693" s="39">
        <f t="shared" si="23"/>
        <v>2183348.4166817684</v>
      </c>
    </row>
    <row r="694" spans="2:4" x14ac:dyDescent="0.25">
      <c r="B694" s="90">
        <v>690</v>
      </c>
      <c r="C694" s="39">
        <f t="shared" si="22"/>
        <v>3593009.4809313463</v>
      </c>
      <c r="D694" s="39">
        <f t="shared" si="23"/>
        <v>2186517.2823083024</v>
      </c>
    </row>
    <row r="695" spans="2:4" x14ac:dyDescent="0.25">
      <c r="B695" s="90">
        <v>691</v>
      </c>
      <c r="C695" s="39">
        <f t="shared" si="22"/>
        <v>3595672.3932225509</v>
      </c>
      <c r="D695" s="39">
        <f t="shared" si="23"/>
        <v>2189686.1479348359</v>
      </c>
    </row>
    <row r="696" spans="2:4" x14ac:dyDescent="0.25">
      <c r="B696" s="90">
        <v>692</v>
      </c>
      <c r="C696" s="39">
        <f t="shared" si="22"/>
        <v>3598335.3055137559</v>
      </c>
      <c r="D696" s="39">
        <f t="shared" si="23"/>
        <v>2192855.0135613699</v>
      </c>
    </row>
    <row r="697" spans="2:4" x14ac:dyDescent="0.25">
      <c r="B697" s="90">
        <v>693</v>
      </c>
      <c r="C697" s="39">
        <f t="shared" si="22"/>
        <v>3600998.2178049609</v>
      </c>
      <c r="D697" s="39">
        <f t="shared" si="23"/>
        <v>2196023.8791879034</v>
      </c>
    </row>
    <row r="698" spans="2:4" x14ac:dyDescent="0.25">
      <c r="B698" s="90">
        <v>694</v>
      </c>
      <c r="C698" s="39">
        <f t="shared" si="22"/>
        <v>3603661.1300961655</v>
      </c>
      <c r="D698" s="39">
        <f t="shared" si="23"/>
        <v>2199192.7448144373</v>
      </c>
    </row>
    <row r="699" spans="2:4" x14ac:dyDescent="0.25">
      <c r="B699" s="90">
        <v>695</v>
      </c>
      <c r="C699" s="39">
        <f t="shared" si="22"/>
        <v>3606324.0423873705</v>
      </c>
      <c r="D699" s="39">
        <f t="shared" si="23"/>
        <v>2202361.6104409709</v>
      </c>
    </row>
    <row r="700" spans="2:4" x14ac:dyDescent="0.25">
      <c r="B700" s="90">
        <v>696</v>
      </c>
      <c r="C700" s="39">
        <f t="shared" si="22"/>
        <v>3608986.9546785755</v>
      </c>
      <c r="D700" s="39">
        <f t="shared" si="23"/>
        <v>2205530.4760675048</v>
      </c>
    </row>
    <row r="701" spans="2:4" x14ac:dyDescent="0.25">
      <c r="B701" s="90">
        <v>697</v>
      </c>
      <c r="C701" s="39">
        <f t="shared" si="22"/>
        <v>3611649.8669697801</v>
      </c>
      <c r="D701" s="39">
        <f t="shared" si="23"/>
        <v>2208699.3416940388</v>
      </c>
    </row>
    <row r="702" spans="2:4" x14ac:dyDescent="0.25">
      <c r="B702" s="90">
        <v>698</v>
      </c>
      <c r="C702" s="39">
        <f t="shared" si="22"/>
        <v>3614312.7792609851</v>
      </c>
      <c r="D702" s="39">
        <f t="shared" si="23"/>
        <v>2211868.2073205723</v>
      </c>
    </row>
    <row r="703" spans="2:4" x14ac:dyDescent="0.25">
      <c r="B703" s="90">
        <v>699</v>
      </c>
      <c r="C703" s="39">
        <f t="shared" si="22"/>
        <v>3616975.6915521901</v>
      </c>
      <c r="D703" s="39">
        <f t="shared" si="23"/>
        <v>2215037.0729471063</v>
      </c>
    </row>
    <row r="704" spans="2:4" x14ac:dyDescent="0.25">
      <c r="B704" s="90">
        <v>700</v>
      </c>
      <c r="C704" s="39">
        <f t="shared" si="22"/>
        <v>3619638.6038433947</v>
      </c>
      <c r="D704" s="39">
        <f t="shared" si="23"/>
        <v>2218205.9385736398</v>
      </c>
    </row>
    <row r="705" spans="2:4" x14ac:dyDescent="0.25">
      <c r="B705" s="90">
        <v>701</v>
      </c>
      <c r="C705" s="39">
        <f t="shared" si="22"/>
        <v>3622301.5161345997</v>
      </c>
      <c r="D705" s="39">
        <f t="shared" si="23"/>
        <v>2221374.8042001738</v>
      </c>
    </row>
    <row r="706" spans="2:4" x14ac:dyDescent="0.25">
      <c r="B706" s="90">
        <v>702</v>
      </c>
      <c r="C706" s="39">
        <f t="shared" si="22"/>
        <v>3624964.4284258047</v>
      </c>
      <c r="D706" s="39">
        <f t="shared" si="23"/>
        <v>2224543.6698267073</v>
      </c>
    </row>
    <row r="707" spans="2:4" x14ac:dyDescent="0.25">
      <c r="B707" s="90">
        <v>703</v>
      </c>
      <c r="C707" s="39">
        <f t="shared" si="22"/>
        <v>3627627.3407170093</v>
      </c>
      <c r="D707" s="39">
        <f t="shared" si="23"/>
        <v>2227712.5354532413</v>
      </c>
    </row>
    <row r="708" spans="2:4" x14ac:dyDescent="0.25">
      <c r="B708" s="90">
        <v>704</v>
      </c>
      <c r="C708" s="39">
        <f t="shared" si="22"/>
        <v>3630290.2530082143</v>
      </c>
      <c r="D708" s="39">
        <f t="shared" si="23"/>
        <v>2230881.4010797748</v>
      </c>
    </row>
    <row r="709" spans="2:4" x14ac:dyDescent="0.25">
      <c r="B709" s="90">
        <v>705</v>
      </c>
      <c r="C709" s="39">
        <f t="shared" si="22"/>
        <v>3632953.1652994193</v>
      </c>
      <c r="D709" s="39">
        <f t="shared" si="23"/>
        <v>2234050.2667063088</v>
      </c>
    </row>
    <row r="710" spans="2:4" x14ac:dyDescent="0.25">
      <c r="B710" s="90">
        <v>706</v>
      </c>
      <c r="C710" s="39">
        <f t="shared" si="22"/>
        <v>3635616.0775906239</v>
      </c>
      <c r="D710" s="39">
        <f t="shared" si="23"/>
        <v>2237219.1323328423</v>
      </c>
    </row>
    <row r="711" spans="2:4" x14ac:dyDescent="0.25">
      <c r="B711" s="90">
        <v>707</v>
      </c>
      <c r="C711" s="39">
        <f t="shared" si="22"/>
        <v>3638278.9898818284</v>
      </c>
      <c r="D711" s="39">
        <f t="shared" si="23"/>
        <v>2240387.9979593763</v>
      </c>
    </row>
    <row r="712" spans="2:4" x14ac:dyDescent="0.25">
      <c r="B712" s="90">
        <v>708</v>
      </c>
      <c r="C712" s="39">
        <f t="shared" si="22"/>
        <v>3640941.9021730339</v>
      </c>
      <c r="D712" s="39">
        <f t="shared" si="23"/>
        <v>2243556.8635859103</v>
      </c>
    </row>
    <row r="713" spans="2:4" x14ac:dyDescent="0.25">
      <c r="B713" s="90">
        <v>709</v>
      </c>
      <c r="C713" s="39">
        <f t="shared" si="22"/>
        <v>3643604.8144642385</v>
      </c>
      <c r="D713" s="39">
        <f t="shared" si="23"/>
        <v>2246725.7292124438</v>
      </c>
    </row>
    <row r="714" spans="2:4" x14ac:dyDescent="0.25">
      <c r="B714" s="90">
        <v>710</v>
      </c>
      <c r="C714" s="39">
        <f t="shared" si="22"/>
        <v>3646267.726755443</v>
      </c>
      <c r="D714" s="39">
        <f t="shared" si="23"/>
        <v>2249894.5948389778</v>
      </c>
    </row>
    <row r="715" spans="2:4" x14ac:dyDescent="0.25">
      <c r="B715" s="90">
        <v>711</v>
      </c>
      <c r="C715" s="39">
        <f t="shared" si="22"/>
        <v>3648930.6390466481</v>
      </c>
      <c r="D715" s="39">
        <f t="shared" si="23"/>
        <v>2253063.4604655113</v>
      </c>
    </row>
    <row r="716" spans="2:4" x14ac:dyDescent="0.25">
      <c r="B716" s="90">
        <v>712</v>
      </c>
      <c r="C716" s="39">
        <f t="shared" si="22"/>
        <v>3651593.5513378531</v>
      </c>
      <c r="D716" s="39">
        <f t="shared" si="23"/>
        <v>2256232.3260920453</v>
      </c>
    </row>
    <row r="717" spans="2:4" x14ac:dyDescent="0.25">
      <c r="B717" s="90">
        <v>713</v>
      </c>
      <c r="C717" s="39">
        <f t="shared" si="22"/>
        <v>3654256.4636290576</v>
      </c>
      <c r="D717" s="39">
        <f t="shared" si="23"/>
        <v>2259401.1917185788</v>
      </c>
    </row>
    <row r="718" spans="2:4" x14ac:dyDescent="0.25">
      <c r="B718" s="90">
        <v>714</v>
      </c>
      <c r="C718" s="39">
        <f t="shared" si="22"/>
        <v>3656919.3759202627</v>
      </c>
      <c r="D718" s="39">
        <f t="shared" si="23"/>
        <v>2262570.0573451128</v>
      </c>
    </row>
    <row r="719" spans="2:4" x14ac:dyDescent="0.25">
      <c r="B719" s="90">
        <v>715</v>
      </c>
      <c r="C719" s="39">
        <f t="shared" si="22"/>
        <v>3659582.2882114677</v>
      </c>
      <c r="D719" s="39">
        <f t="shared" si="23"/>
        <v>2265738.9229716463</v>
      </c>
    </row>
    <row r="720" spans="2:4" x14ac:dyDescent="0.25">
      <c r="B720" s="90">
        <v>716</v>
      </c>
      <c r="C720" s="39">
        <f t="shared" si="22"/>
        <v>3662245.2005026722</v>
      </c>
      <c r="D720" s="39">
        <f t="shared" si="23"/>
        <v>2268907.7885981803</v>
      </c>
    </row>
    <row r="721" spans="2:4" x14ac:dyDescent="0.25">
      <c r="B721" s="90">
        <v>717</v>
      </c>
      <c r="C721" s="39">
        <f t="shared" si="22"/>
        <v>3664908.1127938773</v>
      </c>
      <c r="D721" s="39">
        <f t="shared" si="23"/>
        <v>2272076.6542247143</v>
      </c>
    </row>
    <row r="722" spans="2:4" x14ac:dyDescent="0.25">
      <c r="B722" s="90">
        <v>718</v>
      </c>
      <c r="C722" s="39">
        <f t="shared" si="22"/>
        <v>3667571.0250850823</v>
      </c>
      <c r="D722" s="39">
        <f t="shared" si="23"/>
        <v>2275245.5198512478</v>
      </c>
    </row>
    <row r="723" spans="2:4" x14ac:dyDescent="0.25">
      <c r="B723" s="90">
        <v>719</v>
      </c>
      <c r="C723" s="39">
        <f t="shared" si="22"/>
        <v>3670233.9373762868</v>
      </c>
      <c r="D723" s="39">
        <f t="shared" si="23"/>
        <v>2278414.3854777818</v>
      </c>
    </row>
    <row r="724" spans="2:4" x14ac:dyDescent="0.25">
      <c r="B724" s="90">
        <v>720</v>
      </c>
      <c r="C724" s="39">
        <f t="shared" si="22"/>
        <v>3672896.8496674919</v>
      </c>
      <c r="D724" s="39">
        <f t="shared" si="23"/>
        <v>2281583.2511043153</v>
      </c>
    </row>
    <row r="725" spans="2:4" x14ac:dyDescent="0.25">
      <c r="B725" s="90">
        <v>721</v>
      </c>
      <c r="C725" s="39">
        <f t="shared" si="22"/>
        <v>3675559.7619586969</v>
      </c>
      <c r="D725" s="39">
        <f t="shared" si="23"/>
        <v>2284752.1167308493</v>
      </c>
    </row>
    <row r="726" spans="2:4" x14ac:dyDescent="0.25">
      <c r="B726" s="90">
        <v>722</v>
      </c>
      <c r="C726" s="39">
        <f t="shared" si="22"/>
        <v>3678222.6742499014</v>
      </c>
      <c r="D726" s="39">
        <f t="shared" si="23"/>
        <v>2287920.9823573828</v>
      </c>
    </row>
    <row r="727" spans="2:4" x14ac:dyDescent="0.25">
      <c r="B727" s="90">
        <v>723</v>
      </c>
      <c r="C727" s="39">
        <f t="shared" si="22"/>
        <v>3680885.586541106</v>
      </c>
      <c r="D727" s="39">
        <f t="shared" si="23"/>
        <v>2291089.8479839168</v>
      </c>
    </row>
    <row r="728" spans="2:4" x14ac:dyDescent="0.25">
      <c r="B728" s="90">
        <v>724</v>
      </c>
      <c r="C728" s="39">
        <f t="shared" si="22"/>
        <v>3683548.4988323115</v>
      </c>
      <c r="D728" s="39">
        <f t="shared" si="23"/>
        <v>2294258.7136104503</v>
      </c>
    </row>
    <row r="729" spans="2:4" x14ac:dyDescent="0.25">
      <c r="B729" s="90">
        <v>725</v>
      </c>
      <c r="C729" s="39">
        <f t="shared" si="22"/>
        <v>3686211.411123516</v>
      </c>
      <c r="D729" s="39">
        <f t="shared" si="23"/>
        <v>2297427.5792369843</v>
      </c>
    </row>
    <row r="730" spans="2:4" x14ac:dyDescent="0.25">
      <c r="B730" s="90">
        <v>726</v>
      </c>
      <c r="C730" s="39">
        <f t="shared" si="22"/>
        <v>3688874.3234147206</v>
      </c>
      <c r="D730" s="39">
        <f t="shared" si="23"/>
        <v>2300596.4448635178</v>
      </c>
    </row>
    <row r="731" spans="2:4" x14ac:dyDescent="0.25">
      <c r="B731" s="90">
        <v>727</v>
      </c>
      <c r="C731" s="39">
        <f t="shared" si="22"/>
        <v>3691537.2357059256</v>
      </c>
      <c r="D731" s="39">
        <f t="shared" si="23"/>
        <v>2303765.3104900518</v>
      </c>
    </row>
    <row r="732" spans="2:4" x14ac:dyDescent="0.25">
      <c r="B732" s="90">
        <v>728</v>
      </c>
      <c r="C732" s="39">
        <f t="shared" si="22"/>
        <v>3694200.1479971306</v>
      </c>
      <c r="D732" s="39">
        <f t="shared" si="23"/>
        <v>2306934.1761165857</v>
      </c>
    </row>
    <row r="733" spans="2:4" x14ac:dyDescent="0.25">
      <c r="B733" s="90">
        <v>729</v>
      </c>
      <c r="C733" s="39">
        <f t="shared" si="22"/>
        <v>3696863.0602883352</v>
      </c>
      <c r="D733" s="39">
        <f t="shared" si="23"/>
        <v>2310103.0417431192</v>
      </c>
    </row>
    <row r="734" spans="2:4" x14ac:dyDescent="0.25">
      <c r="B734" s="90">
        <v>730</v>
      </c>
      <c r="C734" s="39">
        <f t="shared" si="22"/>
        <v>3699525.9725795402</v>
      </c>
      <c r="D734" s="39">
        <f t="shared" si="23"/>
        <v>2313271.9073696532</v>
      </c>
    </row>
    <row r="735" spans="2:4" x14ac:dyDescent="0.25">
      <c r="B735" s="90">
        <v>731</v>
      </c>
      <c r="C735" s="39">
        <f t="shared" si="22"/>
        <v>3702188.8848707452</v>
      </c>
      <c r="D735" s="39">
        <f t="shared" si="23"/>
        <v>2316440.7729961867</v>
      </c>
    </row>
    <row r="736" spans="2:4" x14ac:dyDescent="0.25">
      <c r="B736" s="90">
        <v>732</v>
      </c>
      <c r="C736" s="39">
        <f t="shared" si="22"/>
        <v>3704851.7971619498</v>
      </c>
      <c r="D736" s="39">
        <f t="shared" si="23"/>
        <v>2319609.6386227207</v>
      </c>
    </row>
    <row r="737" spans="2:4" x14ac:dyDescent="0.25">
      <c r="B737" s="90">
        <v>733</v>
      </c>
      <c r="C737" s="39">
        <f t="shared" si="22"/>
        <v>3707514.7094531548</v>
      </c>
      <c r="D737" s="39">
        <f t="shared" si="23"/>
        <v>2322778.5042492542</v>
      </c>
    </row>
    <row r="738" spans="2:4" x14ac:dyDescent="0.25">
      <c r="B738" s="90">
        <v>734</v>
      </c>
      <c r="C738" s="39">
        <f t="shared" si="22"/>
        <v>3710177.6217443598</v>
      </c>
      <c r="D738" s="39">
        <f t="shared" si="23"/>
        <v>2325947.3698757882</v>
      </c>
    </row>
    <row r="739" spans="2:4" x14ac:dyDescent="0.25">
      <c r="B739" s="90">
        <v>735</v>
      </c>
      <c r="C739" s="39">
        <f t="shared" si="22"/>
        <v>3712840.5340355644</v>
      </c>
      <c r="D739" s="39">
        <f t="shared" si="23"/>
        <v>2329116.2355023217</v>
      </c>
    </row>
    <row r="740" spans="2:4" x14ac:dyDescent="0.25">
      <c r="B740" s="90">
        <v>736</v>
      </c>
      <c r="C740" s="39">
        <f t="shared" si="22"/>
        <v>3715503.4463267694</v>
      </c>
      <c r="D740" s="39">
        <f t="shared" si="23"/>
        <v>2332285.1011288557</v>
      </c>
    </row>
    <row r="741" spans="2:4" x14ac:dyDescent="0.25">
      <c r="B741" s="90">
        <v>737</v>
      </c>
      <c r="C741" s="39">
        <f t="shared" si="22"/>
        <v>3718166.3586179744</v>
      </c>
      <c r="D741" s="39">
        <f t="shared" si="23"/>
        <v>2335453.9667553892</v>
      </c>
    </row>
    <row r="742" spans="2:4" x14ac:dyDescent="0.25">
      <c r="B742" s="90">
        <v>738</v>
      </c>
      <c r="C742" s="39">
        <f t="shared" si="22"/>
        <v>3720829.270909179</v>
      </c>
      <c r="D742" s="39">
        <f t="shared" si="23"/>
        <v>2338622.8323819232</v>
      </c>
    </row>
    <row r="743" spans="2:4" x14ac:dyDescent="0.25">
      <c r="B743" s="90">
        <v>739</v>
      </c>
      <c r="C743" s="39">
        <f t="shared" si="22"/>
        <v>3723492.183200384</v>
      </c>
      <c r="D743" s="39">
        <f t="shared" si="23"/>
        <v>2341791.6980084572</v>
      </c>
    </row>
    <row r="744" spans="2:4" x14ac:dyDescent="0.25">
      <c r="B744" s="90">
        <v>740</v>
      </c>
      <c r="C744" s="39">
        <f t="shared" si="22"/>
        <v>3726155.095491589</v>
      </c>
      <c r="D744" s="39">
        <f t="shared" si="23"/>
        <v>2344960.5636349907</v>
      </c>
    </row>
    <row r="745" spans="2:4" x14ac:dyDescent="0.25">
      <c r="B745" s="90">
        <v>741</v>
      </c>
      <c r="C745" s="39">
        <f t="shared" si="22"/>
        <v>3728818.0077827936</v>
      </c>
      <c r="D745" s="39">
        <f t="shared" si="23"/>
        <v>2348129.4292615247</v>
      </c>
    </row>
    <row r="746" spans="2:4" x14ac:dyDescent="0.25">
      <c r="B746" s="90">
        <v>742</v>
      </c>
      <c r="C746" s="39">
        <f t="shared" si="22"/>
        <v>3731480.9200739982</v>
      </c>
      <c r="D746" s="39">
        <f t="shared" si="23"/>
        <v>2351298.2948880582</v>
      </c>
    </row>
    <row r="747" spans="2:4" x14ac:dyDescent="0.25">
      <c r="B747" s="90">
        <v>743</v>
      </c>
      <c r="C747" s="39">
        <f t="shared" si="22"/>
        <v>3734143.8323652036</v>
      </c>
      <c r="D747" s="39">
        <f t="shared" si="23"/>
        <v>2354467.1605145922</v>
      </c>
    </row>
    <row r="748" spans="2:4" x14ac:dyDescent="0.25">
      <c r="B748" s="90">
        <v>744</v>
      </c>
      <c r="C748" s="39">
        <f t="shared" si="22"/>
        <v>3736806.7446564082</v>
      </c>
      <c r="D748" s="39">
        <f t="shared" si="23"/>
        <v>2357636.0261411257</v>
      </c>
    </row>
    <row r="749" spans="2:4" x14ac:dyDescent="0.25">
      <c r="B749" s="90">
        <v>745</v>
      </c>
      <c r="C749" s="39">
        <f t="shared" si="22"/>
        <v>3739469.6569476128</v>
      </c>
      <c r="D749" s="39">
        <f t="shared" si="23"/>
        <v>2360804.8917676597</v>
      </c>
    </row>
    <row r="750" spans="2:4" x14ac:dyDescent="0.25">
      <c r="B750" s="90">
        <v>746</v>
      </c>
      <c r="C750" s="39">
        <f t="shared" si="22"/>
        <v>3742132.5692388178</v>
      </c>
      <c r="D750" s="39">
        <f t="shared" si="23"/>
        <v>2363973.7573941932</v>
      </c>
    </row>
    <row r="751" spans="2:4" x14ac:dyDescent="0.25">
      <c r="B751" s="90">
        <v>747</v>
      </c>
      <c r="C751" s="39">
        <f t="shared" si="22"/>
        <v>3744795.4815300228</v>
      </c>
      <c r="D751" s="39">
        <f t="shared" si="23"/>
        <v>2367142.6230207272</v>
      </c>
    </row>
    <row r="752" spans="2:4" x14ac:dyDescent="0.25">
      <c r="B752" s="90">
        <v>748</v>
      </c>
      <c r="C752" s="39">
        <f t="shared" si="22"/>
        <v>3747458.3938212274</v>
      </c>
      <c r="D752" s="39">
        <f t="shared" si="23"/>
        <v>2370311.4886472612</v>
      </c>
    </row>
    <row r="753" spans="2:4" x14ac:dyDescent="0.25">
      <c r="B753" s="90">
        <v>749</v>
      </c>
      <c r="C753" s="39">
        <f t="shared" ref="C753:C816" si="24">($C$2*B753)+$C$1</f>
        <v>3750121.3061124324</v>
      </c>
      <c r="D753" s="39">
        <f t="shared" ref="D753:D816" si="25">$D$2*B753</f>
        <v>2373480.3542737947</v>
      </c>
    </row>
    <row r="754" spans="2:4" x14ac:dyDescent="0.25">
      <c r="B754" s="90">
        <v>750</v>
      </c>
      <c r="C754" s="39">
        <f t="shared" si="24"/>
        <v>3752784.2184036374</v>
      </c>
      <c r="D754" s="39">
        <f t="shared" si="25"/>
        <v>2376649.2199003287</v>
      </c>
    </row>
    <row r="755" spans="2:4" x14ac:dyDescent="0.25">
      <c r="B755" s="90">
        <v>751</v>
      </c>
      <c r="C755" s="39">
        <f t="shared" si="24"/>
        <v>3755447.130694842</v>
      </c>
      <c r="D755" s="39">
        <f t="shared" si="25"/>
        <v>2379818.0855268622</v>
      </c>
    </row>
    <row r="756" spans="2:4" x14ac:dyDescent="0.25">
      <c r="B756" s="90">
        <v>752</v>
      </c>
      <c r="C756" s="39">
        <f t="shared" si="24"/>
        <v>3758110.042986047</v>
      </c>
      <c r="D756" s="39">
        <f t="shared" si="25"/>
        <v>2382986.9511533962</v>
      </c>
    </row>
    <row r="757" spans="2:4" x14ac:dyDescent="0.25">
      <c r="B757" s="90">
        <v>753</v>
      </c>
      <c r="C757" s="39">
        <f t="shared" si="24"/>
        <v>3760772.955277252</v>
      </c>
      <c r="D757" s="39">
        <f t="shared" si="25"/>
        <v>2386155.8167799297</v>
      </c>
    </row>
    <row r="758" spans="2:4" x14ac:dyDescent="0.25">
      <c r="B758" s="90">
        <v>754</v>
      </c>
      <c r="C758" s="39">
        <f t="shared" si="24"/>
        <v>3763435.8675684566</v>
      </c>
      <c r="D758" s="39">
        <f t="shared" si="25"/>
        <v>2389324.6824064637</v>
      </c>
    </row>
    <row r="759" spans="2:4" x14ac:dyDescent="0.25">
      <c r="B759" s="90">
        <v>755</v>
      </c>
      <c r="C759" s="39">
        <f t="shared" si="24"/>
        <v>3766098.7798596616</v>
      </c>
      <c r="D759" s="39">
        <f t="shared" si="25"/>
        <v>2392493.5480329972</v>
      </c>
    </row>
    <row r="760" spans="2:4" x14ac:dyDescent="0.25">
      <c r="B760" s="90">
        <v>756</v>
      </c>
      <c r="C760" s="39">
        <f t="shared" si="24"/>
        <v>3768761.6921508666</v>
      </c>
      <c r="D760" s="39">
        <f t="shared" si="25"/>
        <v>2395662.4136595312</v>
      </c>
    </row>
    <row r="761" spans="2:4" x14ac:dyDescent="0.25">
      <c r="B761" s="90">
        <v>757</v>
      </c>
      <c r="C761" s="39">
        <f t="shared" si="24"/>
        <v>3771424.6044420712</v>
      </c>
      <c r="D761" s="39">
        <f t="shared" si="25"/>
        <v>2398831.2792860647</v>
      </c>
    </row>
    <row r="762" spans="2:4" x14ac:dyDescent="0.25">
      <c r="B762" s="90">
        <v>758</v>
      </c>
      <c r="C762" s="39">
        <f t="shared" si="24"/>
        <v>3774087.5167332757</v>
      </c>
      <c r="D762" s="39">
        <f t="shared" si="25"/>
        <v>2402000.1449125987</v>
      </c>
    </row>
    <row r="763" spans="2:4" x14ac:dyDescent="0.25">
      <c r="B763" s="90">
        <v>759</v>
      </c>
      <c r="C763" s="39">
        <f t="shared" si="24"/>
        <v>3776750.4290244812</v>
      </c>
      <c r="D763" s="39">
        <f t="shared" si="25"/>
        <v>2405169.0105391326</v>
      </c>
    </row>
    <row r="764" spans="2:4" x14ac:dyDescent="0.25">
      <c r="B764" s="90">
        <v>760</v>
      </c>
      <c r="C764" s="39">
        <f t="shared" si="24"/>
        <v>3779413.3413156858</v>
      </c>
      <c r="D764" s="39">
        <f t="shared" si="25"/>
        <v>2408337.8761656662</v>
      </c>
    </row>
    <row r="765" spans="2:4" x14ac:dyDescent="0.25">
      <c r="B765" s="90">
        <v>761</v>
      </c>
      <c r="C765" s="39">
        <f t="shared" si="24"/>
        <v>3782076.2536068903</v>
      </c>
      <c r="D765" s="39">
        <f t="shared" si="25"/>
        <v>2411506.7417922001</v>
      </c>
    </row>
    <row r="766" spans="2:4" x14ac:dyDescent="0.25">
      <c r="B766" s="90">
        <v>762</v>
      </c>
      <c r="C766" s="39">
        <f t="shared" si="24"/>
        <v>3784739.1658980954</v>
      </c>
      <c r="D766" s="39">
        <f t="shared" si="25"/>
        <v>2414675.6074187336</v>
      </c>
    </row>
    <row r="767" spans="2:4" x14ac:dyDescent="0.25">
      <c r="B767" s="90">
        <v>763</v>
      </c>
      <c r="C767" s="39">
        <f t="shared" si="24"/>
        <v>3787402.0781893004</v>
      </c>
      <c r="D767" s="39">
        <f t="shared" si="25"/>
        <v>2417844.4730452676</v>
      </c>
    </row>
    <row r="768" spans="2:4" x14ac:dyDescent="0.25">
      <c r="B768" s="90">
        <v>764</v>
      </c>
      <c r="C768" s="39">
        <f t="shared" si="24"/>
        <v>3790064.9904805049</v>
      </c>
      <c r="D768" s="39">
        <f t="shared" si="25"/>
        <v>2421013.3386718011</v>
      </c>
    </row>
    <row r="769" spans="2:4" x14ac:dyDescent="0.25">
      <c r="B769" s="90">
        <v>765</v>
      </c>
      <c r="C769" s="39">
        <f t="shared" si="24"/>
        <v>3792727.90277171</v>
      </c>
      <c r="D769" s="39">
        <f t="shared" si="25"/>
        <v>2424182.2042983351</v>
      </c>
    </row>
    <row r="770" spans="2:4" x14ac:dyDescent="0.25">
      <c r="B770" s="90">
        <v>766</v>
      </c>
      <c r="C770" s="39">
        <f t="shared" si="24"/>
        <v>3795390.815062915</v>
      </c>
      <c r="D770" s="39">
        <f t="shared" si="25"/>
        <v>2427351.0699248686</v>
      </c>
    </row>
    <row r="771" spans="2:4" x14ac:dyDescent="0.25">
      <c r="B771" s="90">
        <v>767</v>
      </c>
      <c r="C771" s="39">
        <f t="shared" si="24"/>
        <v>3798053.7273541195</v>
      </c>
      <c r="D771" s="39">
        <f t="shared" si="25"/>
        <v>2430519.9355514026</v>
      </c>
    </row>
    <row r="772" spans="2:4" x14ac:dyDescent="0.25">
      <c r="B772" s="90">
        <v>768</v>
      </c>
      <c r="C772" s="39">
        <f t="shared" si="24"/>
        <v>3800716.6396453246</v>
      </c>
      <c r="D772" s="39">
        <f t="shared" si="25"/>
        <v>2433688.8011779366</v>
      </c>
    </row>
    <row r="773" spans="2:4" x14ac:dyDescent="0.25">
      <c r="B773" s="90">
        <v>769</v>
      </c>
      <c r="C773" s="39">
        <f t="shared" si="24"/>
        <v>3803379.5519365296</v>
      </c>
      <c r="D773" s="39">
        <f t="shared" si="25"/>
        <v>2436857.6668044701</v>
      </c>
    </row>
    <row r="774" spans="2:4" x14ac:dyDescent="0.25">
      <c r="B774" s="90">
        <v>770</v>
      </c>
      <c r="C774" s="39">
        <f t="shared" si="24"/>
        <v>3806042.4642277341</v>
      </c>
      <c r="D774" s="39">
        <f t="shared" si="25"/>
        <v>2440026.5324310041</v>
      </c>
    </row>
    <row r="775" spans="2:4" x14ac:dyDescent="0.25">
      <c r="B775" s="90">
        <v>771</v>
      </c>
      <c r="C775" s="39">
        <f t="shared" si="24"/>
        <v>3808705.3765189392</v>
      </c>
      <c r="D775" s="39">
        <f t="shared" si="25"/>
        <v>2443195.3980575376</v>
      </c>
    </row>
    <row r="776" spans="2:4" x14ac:dyDescent="0.25">
      <c r="B776" s="90">
        <v>772</v>
      </c>
      <c r="C776" s="39">
        <f t="shared" si="24"/>
        <v>3811368.2888101442</v>
      </c>
      <c r="D776" s="39">
        <f t="shared" si="25"/>
        <v>2446364.2636840716</v>
      </c>
    </row>
    <row r="777" spans="2:4" x14ac:dyDescent="0.25">
      <c r="B777" s="90">
        <v>773</v>
      </c>
      <c r="C777" s="39">
        <f t="shared" si="24"/>
        <v>3814031.2011013487</v>
      </c>
      <c r="D777" s="39">
        <f t="shared" si="25"/>
        <v>2449533.1293106051</v>
      </c>
    </row>
    <row r="778" spans="2:4" x14ac:dyDescent="0.25">
      <c r="B778" s="90">
        <v>774</v>
      </c>
      <c r="C778" s="39">
        <f t="shared" si="24"/>
        <v>3816694.1133925538</v>
      </c>
      <c r="D778" s="39">
        <f t="shared" si="25"/>
        <v>2452701.9949371391</v>
      </c>
    </row>
    <row r="779" spans="2:4" x14ac:dyDescent="0.25">
      <c r="B779" s="90">
        <v>775</v>
      </c>
      <c r="C779" s="39">
        <f t="shared" si="24"/>
        <v>3819357.0256837588</v>
      </c>
      <c r="D779" s="39">
        <f t="shared" si="25"/>
        <v>2455870.8605636726</v>
      </c>
    </row>
    <row r="780" spans="2:4" x14ac:dyDescent="0.25">
      <c r="B780" s="90">
        <v>776</v>
      </c>
      <c r="C780" s="39">
        <f t="shared" si="24"/>
        <v>3822019.9379749633</v>
      </c>
      <c r="D780" s="39">
        <f t="shared" si="25"/>
        <v>2459039.7261902066</v>
      </c>
    </row>
    <row r="781" spans="2:4" x14ac:dyDescent="0.25">
      <c r="B781" s="90">
        <v>777</v>
      </c>
      <c r="C781" s="39">
        <f t="shared" si="24"/>
        <v>3824682.8502661679</v>
      </c>
      <c r="D781" s="39">
        <f t="shared" si="25"/>
        <v>2462208.5918167401</v>
      </c>
    </row>
    <row r="782" spans="2:4" x14ac:dyDescent="0.25">
      <c r="B782" s="90">
        <v>778</v>
      </c>
      <c r="C782" s="39">
        <f t="shared" si="24"/>
        <v>3827345.7625573734</v>
      </c>
      <c r="D782" s="39">
        <f t="shared" si="25"/>
        <v>2465377.4574432741</v>
      </c>
    </row>
    <row r="783" spans="2:4" x14ac:dyDescent="0.25">
      <c r="B783" s="90">
        <v>779</v>
      </c>
      <c r="C783" s="39">
        <f t="shared" si="24"/>
        <v>3830008.6748485779</v>
      </c>
      <c r="D783" s="39">
        <f t="shared" si="25"/>
        <v>2468546.3230698081</v>
      </c>
    </row>
    <row r="784" spans="2:4" x14ac:dyDescent="0.25">
      <c r="B784" s="90">
        <v>780</v>
      </c>
      <c r="C784" s="39">
        <f t="shared" si="24"/>
        <v>3832671.5871397825</v>
      </c>
      <c r="D784" s="39">
        <f t="shared" si="25"/>
        <v>2471715.1886963416</v>
      </c>
    </row>
    <row r="785" spans="2:4" x14ac:dyDescent="0.25">
      <c r="B785" s="90">
        <v>781</v>
      </c>
      <c r="C785" s="39">
        <f t="shared" si="24"/>
        <v>3835334.4994309875</v>
      </c>
      <c r="D785" s="39">
        <f t="shared" si="25"/>
        <v>2474884.0543228756</v>
      </c>
    </row>
    <row r="786" spans="2:4" x14ac:dyDescent="0.25">
      <c r="B786" s="90">
        <v>782</v>
      </c>
      <c r="C786" s="39">
        <f t="shared" si="24"/>
        <v>3837997.4117221925</v>
      </c>
      <c r="D786" s="39">
        <f t="shared" si="25"/>
        <v>2478052.9199494091</v>
      </c>
    </row>
    <row r="787" spans="2:4" x14ac:dyDescent="0.25">
      <c r="B787" s="90">
        <v>783</v>
      </c>
      <c r="C787" s="39">
        <f t="shared" si="24"/>
        <v>3840660.3240133971</v>
      </c>
      <c r="D787" s="39">
        <f t="shared" si="25"/>
        <v>2481221.7855759431</v>
      </c>
    </row>
    <row r="788" spans="2:4" x14ac:dyDescent="0.25">
      <c r="B788" s="90">
        <v>784</v>
      </c>
      <c r="C788" s="39">
        <f t="shared" si="24"/>
        <v>3843323.2363046021</v>
      </c>
      <c r="D788" s="39">
        <f t="shared" si="25"/>
        <v>2484390.6512024766</v>
      </c>
    </row>
    <row r="789" spans="2:4" x14ac:dyDescent="0.25">
      <c r="B789" s="90">
        <v>785</v>
      </c>
      <c r="C789" s="39">
        <f t="shared" si="24"/>
        <v>3845986.1485958071</v>
      </c>
      <c r="D789" s="39">
        <f t="shared" si="25"/>
        <v>2487559.5168290106</v>
      </c>
    </row>
    <row r="790" spans="2:4" x14ac:dyDescent="0.25">
      <c r="B790" s="90">
        <v>786</v>
      </c>
      <c r="C790" s="39">
        <f t="shared" si="24"/>
        <v>3848649.0608870117</v>
      </c>
      <c r="D790" s="39">
        <f t="shared" si="25"/>
        <v>2490728.3824555441</v>
      </c>
    </row>
    <row r="791" spans="2:4" x14ac:dyDescent="0.25">
      <c r="B791" s="90">
        <v>787</v>
      </c>
      <c r="C791" s="39">
        <f t="shared" si="24"/>
        <v>3851311.9731782167</v>
      </c>
      <c r="D791" s="39">
        <f t="shared" si="25"/>
        <v>2493897.2480820781</v>
      </c>
    </row>
    <row r="792" spans="2:4" x14ac:dyDescent="0.25">
      <c r="B792" s="90">
        <v>788</v>
      </c>
      <c r="C792" s="39">
        <f t="shared" si="24"/>
        <v>3853974.8854694217</v>
      </c>
      <c r="D792" s="39">
        <f t="shared" si="25"/>
        <v>2497066.1137086116</v>
      </c>
    </row>
    <row r="793" spans="2:4" x14ac:dyDescent="0.25">
      <c r="B793" s="90">
        <v>789</v>
      </c>
      <c r="C793" s="39">
        <f t="shared" si="24"/>
        <v>3856637.7977606263</v>
      </c>
      <c r="D793" s="39">
        <f t="shared" si="25"/>
        <v>2500234.9793351456</v>
      </c>
    </row>
    <row r="794" spans="2:4" x14ac:dyDescent="0.25">
      <c r="B794" s="90">
        <v>790</v>
      </c>
      <c r="C794" s="39">
        <f t="shared" si="24"/>
        <v>3859300.7100518313</v>
      </c>
      <c r="D794" s="39">
        <f t="shared" si="25"/>
        <v>2503403.8449616795</v>
      </c>
    </row>
    <row r="795" spans="2:4" x14ac:dyDescent="0.25">
      <c r="B795" s="90">
        <v>791</v>
      </c>
      <c r="C795" s="39">
        <f t="shared" si="24"/>
        <v>3861963.6223430359</v>
      </c>
      <c r="D795" s="39">
        <f t="shared" si="25"/>
        <v>2506572.7105882131</v>
      </c>
    </row>
    <row r="796" spans="2:4" x14ac:dyDescent="0.25">
      <c r="B796" s="90">
        <v>792</v>
      </c>
      <c r="C796" s="39">
        <f t="shared" si="24"/>
        <v>3864626.5346342409</v>
      </c>
      <c r="D796" s="39">
        <f t="shared" si="25"/>
        <v>2509741.576214747</v>
      </c>
    </row>
    <row r="797" spans="2:4" x14ac:dyDescent="0.25">
      <c r="B797" s="90">
        <v>793</v>
      </c>
      <c r="C797" s="39">
        <f t="shared" si="24"/>
        <v>3867289.4469254459</v>
      </c>
      <c r="D797" s="39">
        <f t="shared" si="25"/>
        <v>2512910.4418412806</v>
      </c>
    </row>
    <row r="798" spans="2:4" x14ac:dyDescent="0.25">
      <c r="B798" s="90">
        <v>794</v>
      </c>
      <c r="C798" s="39">
        <f t="shared" si="24"/>
        <v>3869952.3592166505</v>
      </c>
      <c r="D798" s="39">
        <f t="shared" si="25"/>
        <v>2516079.3074678145</v>
      </c>
    </row>
    <row r="799" spans="2:4" x14ac:dyDescent="0.25">
      <c r="B799" s="90">
        <v>795</v>
      </c>
      <c r="C799" s="39">
        <f t="shared" si="24"/>
        <v>3872615.2715078555</v>
      </c>
      <c r="D799" s="39">
        <f t="shared" si="25"/>
        <v>2519248.1730943481</v>
      </c>
    </row>
    <row r="800" spans="2:4" x14ac:dyDescent="0.25">
      <c r="B800" s="90">
        <v>796</v>
      </c>
      <c r="C800" s="39">
        <f t="shared" si="24"/>
        <v>3875278.1837990605</v>
      </c>
      <c r="D800" s="39">
        <f t="shared" si="25"/>
        <v>2522417.038720882</v>
      </c>
    </row>
    <row r="801" spans="2:4" x14ac:dyDescent="0.25">
      <c r="B801" s="90">
        <v>797</v>
      </c>
      <c r="C801" s="39">
        <f t="shared" si="24"/>
        <v>3877941.0960902651</v>
      </c>
      <c r="D801" s="39">
        <f t="shared" si="25"/>
        <v>2525585.9043474155</v>
      </c>
    </row>
    <row r="802" spans="2:4" x14ac:dyDescent="0.25">
      <c r="B802" s="90">
        <v>798</v>
      </c>
      <c r="C802" s="39">
        <f t="shared" si="24"/>
        <v>3880604.0083814701</v>
      </c>
      <c r="D802" s="39">
        <f t="shared" si="25"/>
        <v>2528754.7699739495</v>
      </c>
    </row>
    <row r="803" spans="2:4" x14ac:dyDescent="0.25">
      <c r="B803" s="90">
        <v>799</v>
      </c>
      <c r="C803" s="39">
        <f t="shared" si="24"/>
        <v>3883266.9206726747</v>
      </c>
      <c r="D803" s="39">
        <f t="shared" si="25"/>
        <v>2531923.6356004835</v>
      </c>
    </row>
    <row r="804" spans="2:4" x14ac:dyDescent="0.25">
      <c r="B804" s="90">
        <v>800</v>
      </c>
      <c r="C804" s="39">
        <f t="shared" si="24"/>
        <v>3885929.8329638797</v>
      </c>
      <c r="D804" s="39">
        <f t="shared" si="25"/>
        <v>2535092.501227017</v>
      </c>
    </row>
    <row r="805" spans="2:4" x14ac:dyDescent="0.25">
      <c r="B805" s="90">
        <v>801</v>
      </c>
      <c r="C805" s="39">
        <f t="shared" si="24"/>
        <v>3888592.7452550847</v>
      </c>
      <c r="D805" s="39">
        <f t="shared" si="25"/>
        <v>2538261.366853551</v>
      </c>
    </row>
    <row r="806" spans="2:4" x14ac:dyDescent="0.25">
      <c r="B806" s="90">
        <v>802</v>
      </c>
      <c r="C806" s="39">
        <f t="shared" si="24"/>
        <v>3891255.6575462893</v>
      </c>
      <c r="D806" s="39">
        <f t="shared" si="25"/>
        <v>2541430.2324800845</v>
      </c>
    </row>
    <row r="807" spans="2:4" x14ac:dyDescent="0.25">
      <c r="B807" s="90">
        <v>803</v>
      </c>
      <c r="C807" s="39">
        <f t="shared" si="24"/>
        <v>3893918.5698374943</v>
      </c>
      <c r="D807" s="39">
        <f t="shared" si="25"/>
        <v>2544599.0981066185</v>
      </c>
    </row>
    <row r="808" spans="2:4" x14ac:dyDescent="0.25">
      <c r="B808" s="90">
        <v>804</v>
      </c>
      <c r="C808" s="39">
        <f t="shared" si="24"/>
        <v>3896581.4821286993</v>
      </c>
      <c r="D808" s="39">
        <f t="shared" si="25"/>
        <v>2547767.963733152</v>
      </c>
    </row>
    <row r="809" spans="2:4" x14ac:dyDescent="0.25">
      <c r="B809" s="90">
        <v>805</v>
      </c>
      <c r="C809" s="39">
        <f t="shared" si="24"/>
        <v>3899244.3944199039</v>
      </c>
      <c r="D809" s="39">
        <f t="shared" si="25"/>
        <v>2550936.829359686</v>
      </c>
    </row>
    <row r="810" spans="2:4" x14ac:dyDescent="0.25">
      <c r="B810" s="90">
        <v>806</v>
      </c>
      <c r="C810" s="39">
        <f t="shared" si="24"/>
        <v>3901907.3067111089</v>
      </c>
      <c r="D810" s="39">
        <f t="shared" si="25"/>
        <v>2554105.6949862195</v>
      </c>
    </row>
    <row r="811" spans="2:4" x14ac:dyDescent="0.25">
      <c r="B811" s="90">
        <v>807</v>
      </c>
      <c r="C811" s="39">
        <f t="shared" si="24"/>
        <v>3904570.2190023139</v>
      </c>
      <c r="D811" s="39">
        <f t="shared" si="25"/>
        <v>2557274.5606127535</v>
      </c>
    </row>
    <row r="812" spans="2:4" x14ac:dyDescent="0.25">
      <c r="B812" s="90">
        <v>808</v>
      </c>
      <c r="C812" s="39">
        <f t="shared" si="24"/>
        <v>3907233.1312935185</v>
      </c>
      <c r="D812" s="39">
        <f t="shared" si="25"/>
        <v>2560443.426239287</v>
      </c>
    </row>
    <row r="813" spans="2:4" x14ac:dyDescent="0.25">
      <c r="B813" s="90">
        <v>809</v>
      </c>
      <c r="C813" s="39">
        <f t="shared" si="24"/>
        <v>3909896.0435847235</v>
      </c>
      <c r="D813" s="39">
        <f t="shared" si="25"/>
        <v>2563612.291865821</v>
      </c>
    </row>
    <row r="814" spans="2:4" x14ac:dyDescent="0.25">
      <c r="B814" s="90">
        <v>810</v>
      </c>
      <c r="C814" s="39">
        <f t="shared" si="24"/>
        <v>3912558.955875928</v>
      </c>
      <c r="D814" s="39">
        <f t="shared" si="25"/>
        <v>2566781.157492355</v>
      </c>
    </row>
    <row r="815" spans="2:4" x14ac:dyDescent="0.25">
      <c r="B815" s="90">
        <v>811</v>
      </c>
      <c r="C815" s="39">
        <f t="shared" si="24"/>
        <v>3915221.8681671331</v>
      </c>
      <c r="D815" s="39">
        <f t="shared" si="25"/>
        <v>2569950.0231188885</v>
      </c>
    </row>
    <row r="816" spans="2:4" x14ac:dyDescent="0.25">
      <c r="B816" s="90">
        <v>812</v>
      </c>
      <c r="C816" s="39">
        <f t="shared" si="24"/>
        <v>3917884.7804583381</v>
      </c>
      <c r="D816" s="39">
        <f t="shared" si="25"/>
        <v>2573118.8887454225</v>
      </c>
    </row>
    <row r="817" spans="2:4" x14ac:dyDescent="0.25">
      <c r="B817" s="90">
        <v>813</v>
      </c>
      <c r="C817" s="39">
        <f t="shared" ref="C817:C880" si="26">($C$2*B817)+$C$1</f>
        <v>3920547.6927495426</v>
      </c>
      <c r="D817" s="39">
        <f t="shared" ref="D817:D880" si="27">$D$2*B817</f>
        <v>2576287.754371956</v>
      </c>
    </row>
    <row r="818" spans="2:4" x14ac:dyDescent="0.25">
      <c r="B818" s="90">
        <v>814</v>
      </c>
      <c r="C818" s="39">
        <f t="shared" si="26"/>
        <v>3923210.6050407477</v>
      </c>
      <c r="D818" s="39">
        <f t="shared" si="27"/>
        <v>2579456.61999849</v>
      </c>
    </row>
    <row r="819" spans="2:4" x14ac:dyDescent="0.25">
      <c r="B819" s="90">
        <v>815</v>
      </c>
      <c r="C819" s="39">
        <f t="shared" si="26"/>
        <v>3925873.5173319527</v>
      </c>
      <c r="D819" s="39">
        <f t="shared" si="27"/>
        <v>2582625.4856250235</v>
      </c>
    </row>
    <row r="820" spans="2:4" x14ac:dyDescent="0.25">
      <c r="B820" s="90">
        <v>816</v>
      </c>
      <c r="C820" s="39">
        <f t="shared" si="26"/>
        <v>3928536.4296231573</v>
      </c>
      <c r="D820" s="39">
        <f t="shared" si="27"/>
        <v>2585794.3512515575</v>
      </c>
    </row>
    <row r="821" spans="2:4" x14ac:dyDescent="0.25">
      <c r="B821" s="90">
        <v>817</v>
      </c>
      <c r="C821" s="39">
        <f t="shared" si="26"/>
        <v>3931199.3419143623</v>
      </c>
      <c r="D821" s="39">
        <f t="shared" si="27"/>
        <v>2588963.216878091</v>
      </c>
    </row>
    <row r="822" spans="2:4" x14ac:dyDescent="0.25">
      <c r="B822" s="90">
        <v>818</v>
      </c>
      <c r="C822" s="39">
        <f t="shared" si="26"/>
        <v>3933862.2542055668</v>
      </c>
      <c r="D822" s="39">
        <f t="shared" si="27"/>
        <v>2592132.082504625</v>
      </c>
    </row>
    <row r="823" spans="2:4" x14ac:dyDescent="0.25">
      <c r="B823" s="90">
        <v>819</v>
      </c>
      <c r="C823" s="39">
        <f t="shared" si="26"/>
        <v>3936525.1664967719</v>
      </c>
      <c r="D823" s="39">
        <f t="shared" si="27"/>
        <v>2595300.9481311585</v>
      </c>
    </row>
    <row r="824" spans="2:4" x14ac:dyDescent="0.25">
      <c r="B824" s="90">
        <v>820</v>
      </c>
      <c r="C824" s="39">
        <f t="shared" si="26"/>
        <v>3939188.0787879769</v>
      </c>
      <c r="D824" s="39">
        <f t="shared" si="27"/>
        <v>2598469.8137576925</v>
      </c>
    </row>
    <row r="825" spans="2:4" x14ac:dyDescent="0.25">
      <c r="B825" s="90">
        <v>821</v>
      </c>
      <c r="C825" s="39">
        <f t="shared" si="26"/>
        <v>3941850.9910791814</v>
      </c>
      <c r="D825" s="39">
        <f t="shared" si="27"/>
        <v>2601638.6793842264</v>
      </c>
    </row>
    <row r="826" spans="2:4" x14ac:dyDescent="0.25">
      <c r="B826" s="90">
        <v>822</v>
      </c>
      <c r="C826" s="39">
        <f t="shared" si="26"/>
        <v>3944513.9033703865</v>
      </c>
      <c r="D826" s="39">
        <f t="shared" si="27"/>
        <v>2604807.54501076</v>
      </c>
    </row>
    <row r="827" spans="2:4" x14ac:dyDescent="0.25">
      <c r="B827" s="90">
        <v>823</v>
      </c>
      <c r="C827" s="39">
        <f t="shared" si="26"/>
        <v>3947176.8156615915</v>
      </c>
      <c r="D827" s="39">
        <f t="shared" si="27"/>
        <v>2607976.4106372939</v>
      </c>
    </row>
    <row r="828" spans="2:4" x14ac:dyDescent="0.25">
      <c r="B828" s="90">
        <v>824</v>
      </c>
      <c r="C828" s="39">
        <f t="shared" si="26"/>
        <v>3949839.727952796</v>
      </c>
      <c r="D828" s="39">
        <f t="shared" si="27"/>
        <v>2611145.2762638275</v>
      </c>
    </row>
    <row r="829" spans="2:4" x14ac:dyDescent="0.25">
      <c r="B829" s="90">
        <v>825</v>
      </c>
      <c r="C829" s="39">
        <f t="shared" si="26"/>
        <v>3952502.6402440011</v>
      </c>
      <c r="D829" s="39">
        <f t="shared" si="27"/>
        <v>2614314.1418903614</v>
      </c>
    </row>
    <row r="830" spans="2:4" x14ac:dyDescent="0.25">
      <c r="B830" s="90">
        <v>826</v>
      </c>
      <c r="C830" s="39">
        <f t="shared" si="26"/>
        <v>3955165.5525352056</v>
      </c>
      <c r="D830" s="39">
        <f t="shared" si="27"/>
        <v>2617483.007516895</v>
      </c>
    </row>
    <row r="831" spans="2:4" x14ac:dyDescent="0.25">
      <c r="B831" s="90">
        <v>827</v>
      </c>
      <c r="C831" s="39">
        <f t="shared" si="26"/>
        <v>3957828.4648264106</v>
      </c>
      <c r="D831" s="39">
        <f t="shared" si="27"/>
        <v>2620651.8731434289</v>
      </c>
    </row>
    <row r="832" spans="2:4" x14ac:dyDescent="0.25">
      <c r="B832" s="90">
        <v>828</v>
      </c>
      <c r="C832" s="39">
        <f t="shared" si="26"/>
        <v>3960491.3771176157</v>
      </c>
      <c r="D832" s="39">
        <f t="shared" si="27"/>
        <v>2623820.7387699625</v>
      </c>
    </row>
    <row r="833" spans="2:4" x14ac:dyDescent="0.25">
      <c r="B833" s="90">
        <v>829</v>
      </c>
      <c r="C833" s="39">
        <f t="shared" si="26"/>
        <v>3963154.2894088202</v>
      </c>
      <c r="D833" s="39">
        <f t="shared" si="27"/>
        <v>2626989.6043964964</v>
      </c>
    </row>
    <row r="834" spans="2:4" x14ac:dyDescent="0.25">
      <c r="B834" s="90">
        <v>830</v>
      </c>
      <c r="C834" s="39">
        <f t="shared" si="26"/>
        <v>3965817.2017000252</v>
      </c>
      <c r="D834" s="39">
        <f t="shared" si="27"/>
        <v>2630158.4700230304</v>
      </c>
    </row>
    <row r="835" spans="2:4" x14ac:dyDescent="0.25">
      <c r="B835" s="90">
        <v>831</v>
      </c>
      <c r="C835" s="39">
        <f t="shared" si="26"/>
        <v>3968480.1139912303</v>
      </c>
      <c r="D835" s="39">
        <f t="shared" si="27"/>
        <v>2633327.3356495639</v>
      </c>
    </row>
    <row r="836" spans="2:4" x14ac:dyDescent="0.25">
      <c r="B836" s="90">
        <v>832</v>
      </c>
      <c r="C836" s="39">
        <f t="shared" si="26"/>
        <v>3971143.0262824348</v>
      </c>
      <c r="D836" s="39">
        <f t="shared" si="27"/>
        <v>2636496.2012760979</v>
      </c>
    </row>
    <row r="837" spans="2:4" x14ac:dyDescent="0.25">
      <c r="B837" s="90">
        <v>833</v>
      </c>
      <c r="C837" s="39">
        <f t="shared" si="26"/>
        <v>3973805.9385736398</v>
      </c>
      <c r="D837" s="39">
        <f t="shared" si="27"/>
        <v>2639665.0669026314</v>
      </c>
    </row>
    <row r="838" spans="2:4" x14ac:dyDescent="0.25">
      <c r="B838" s="90">
        <v>834</v>
      </c>
      <c r="C838" s="39">
        <f t="shared" si="26"/>
        <v>3976468.8508648449</v>
      </c>
      <c r="D838" s="39">
        <f t="shared" si="27"/>
        <v>2642833.9325291654</v>
      </c>
    </row>
    <row r="839" spans="2:4" x14ac:dyDescent="0.25">
      <c r="B839" s="90">
        <v>835</v>
      </c>
      <c r="C839" s="39">
        <f t="shared" si="26"/>
        <v>3979131.7631560494</v>
      </c>
      <c r="D839" s="39">
        <f t="shared" si="27"/>
        <v>2646002.7981556989</v>
      </c>
    </row>
    <row r="840" spans="2:4" x14ac:dyDescent="0.25">
      <c r="B840" s="90">
        <v>836</v>
      </c>
      <c r="C840" s="39">
        <f t="shared" si="26"/>
        <v>3981794.6754472544</v>
      </c>
      <c r="D840" s="39">
        <f t="shared" si="27"/>
        <v>2649171.6637822329</v>
      </c>
    </row>
    <row r="841" spans="2:4" x14ac:dyDescent="0.25">
      <c r="B841" s="90">
        <v>837</v>
      </c>
      <c r="C841" s="39">
        <f t="shared" si="26"/>
        <v>3984457.587738459</v>
      </c>
      <c r="D841" s="39">
        <f t="shared" si="27"/>
        <v>2652340.5294087664</v>
      </c>
    </row>
    <row r="842" spans="2:4" x14ac:dyDescent="0.25">
      <c r="B842" s="90">
        <v>838</v>
      </c>
      <c r="C842" s="39">
        <f t="shared" si="26"/>
        <v>3987120.500029664</v>
      </c>
      <c r="D842" s="39">
        <f t="shared" si="27"/>
        <v>2655509.3950353004</v>
      </c>
    </row>
    <row r="843" spans="2:4" x14ac:dyDescent="0.25">
      <c r="B843" s="90">
        <v>839</v>
      </c>
      <c r="C843" s="39">
        <f t="shared" si="26"/>
        <v>3989783.412320869</v>
      </c>
      <c r="D843" s="39">
        <f t="shared" si="27"/>
        <v>2658678.2606618339</v>
      </c>
    </row>
    <row r="844" spans="2:4" x14ac:dyDescent="0.25">
      <c r="B844" s="90">
        <v>840</v>
      </c>
      <c r="C844" s="39">
        <f t="shared" si="26"/>
        <v>3992446.3246120736</v>
      </c>
      <c r="D844" s="39">
        <f t="shared" si="27"/>
        <v>2661847.1262883679</v>
      </c>
    </row>
    <row r="845" spans="2:4" x14ac:dyDescent="0.25">
      <c r="B845" s="90">
        <v>841</v>
      </c>
      <c r="C845" s="39">
        <f t="shared" si="26"/>
        <v>3995109.2369032786</v>
      </c>
      <c r="D845" s="39">
        <f t="shared" si="27"/>
        <v>2665015.9919149019</v>
      </c>
    </row>
    <row r="846" spans="2:4" x14ac:dyDescent="0.25">
      <c r="B846" s="90">
        <v>842</v>
      </c>
      <c r="C846" s="39">
        <f t="shared" si="26"/>
        <v>3997772.1491944836</v>
      </c>
      <c r="D846" s="39">
        <f t="shared" si="27"/>
        <v>2668184.8575414354</v>
      </c>
    </row>
    <row r="847" spans="2:4" x14ac:dyDescent="0.25">
      <c r="B847" s="90">
        <v>843</v>
      </c>
      <c r="C847" s="39">
        <f t="shared" si="26"/>
        <v>4000435.0614856882</v>
      </c>
      <c r="D847" s="39">
        <f t="shared" si="27"/>
        <v>2671353.7231679694</v>
      </c>
    </row>
    <row r="848" spans="2:4" x14ac:dyDescent="0.25">
      <c r="B848" s="90">
        <v>844</v>
      </c>
      <c r="C848" s="39">
        <f t="shared" si="26"/>
        <v>4003097.9737768932</v>
      </c>
      <c r="D848" s="39">
        <f t="shared" si="27"/>
        <v>2674522.5887945029</v>
      </c>
    </row>
    <row r="849" spans="2:4" x14ac:dyDescent="0.25">
      <c r="B849" s="90">
        <v>845</v>
      </c>
      <c r="C849" s="39">
        <f t="shared" si="26"/>
        <v>4005760.8860680978</v>
      </c>
      <c r="D849" s="39">
        <f t="shared" si="27"/>
        <v>2677691.4544210369</v>
      </c>
    </row>
    <row r="850" spans="2:4" x14ac:dyDescent="0.25">
      <c r="B850" s="90">
        <v>846</v>
      </c>
      <c r="C850" s="39">
        <f t="shared" si="26"/>
        <v>4008423.7983593028</v>
      </c>
      <c r="D850" s="39">
        <f t="shared" si="27"/>
        <v>2680860.3200475704</v>
      </c>
    </row>
    <row r="851" spans="2:4" x14ac:dyDescent="0.25">
      <c r="B851" s="90">
        <v>847</v>
      </c>
      <c r="C851" s="39">
        <f t="shared" si="26"/>
        <v>4011086.7106505078</v>
      </c>
      <c r="D851" s="39">
        <f t="shared" si="27"/>
        <v>2684029.1856741044</v>
      </c>
    </row>
    <row r="852" spans="2:4" x14ac:dyDescent="0.25">
      <c r="B852" s="90">
        <v>848</v>
      </c>
      <c r="C852" s="39">
        <f t="shared" si="26"/>
        <v>4013749.6229417124</v>
      </c>
      <c r="D852" s="39">
        <f t="shared" si="27"/>
        <v>2687198.0513006379</v>
      </c>
    </row>
    <row r="853" spans="2:4" x14ac:dyDescent="0.25">
      <c r="B853" s="90">
        <v>849</v>
      </c>
      <c r="C853" s="39">
        <f t="shared" si="26"/>
        <v>4016412.5352329174</v>
      </c>
      <c r="D853" s="39">
        <f t="shared" si="27"/>
        <v>2690366.9169271719</v>
      </c>
    </row>
    <row r="854" spans="2:4" x14ac:dyDescent="0.25">
      <c r="B854" s="90">
        <v>850</v>
      </c>
      <c r="C854" s="39">
        <f t="shared" si="26"/>
        <v>4019075.4475241224</v>
      </c>
      <c r="D854" s="39">
        <f t="shared" si="27"/>
        <v>2693535.7825537059</v>
      </c>
    </row>
    <row r="855" spans="2:4" x14ac:dyDescent="0.25">
      <c r="B855" s="90">
        <v>851</v>
      </c>
      <c r="C855" s="39">
        <f t="shared" si="26"/>
        <v>4021738.359815327</v>
      </c>
      <c r="D855" s="39">
        <f t="shared" si="27"/>
        <v>2696704.6481802394</v>
      </c>
    </row>
    <row r="856" spans="2:4" x14ac:dyDescent="0.25">
      <c r="B856" s="90">
        <v>852</v>
      </c>
      <c r="C856" s="39">
        <f t="shared" si="26"/>
        <v>4024401.272106532</v>
      </c>
      <c r="D856" s="39">
        <f t="shared" si="27"/>
        <v>2699873.5138067733</v>
      </c>
    </row>
    <row r="857" spans="2:4" x14ac:dyDescent="0.25">
      <c r="B857" s="90">
        <v>853</v>
      </c>
      <c r="C857" s="39">
        <f t="shared" si="26"/>
        <v>4027064.1843977366</v>
      </c>
      <c r="D857" s="39">
        <f t="shared" si="27"/>
        <v>2703042.3794333069</v>
      </c>
    </row>
    <row r="858" spans="2:4" x14ac:dyDescent="0.25">
      <c r="B858" s="90">
        <v>854</v>
      </c>
      <c r="C858" s="39">
        <f t="shared" si="26"/>
        <v>4029727.0966889416</v>
      </c>
      <c r="D858" s="39">
        <f t="shared" si="27"/>
        <v>2706211.2450598408</v>
      </c>
    </row>
    <row r="859" spans="2:4" x14ac:dyDescent="0.25">
      <c r="B859" s="90">
        <v>855</v>
      </c>
      <c r="C859" s="39">
        <f t="shared" si="26"/>
        <v>4032390.0089801466</v>
      </c>
      <c r="D859" s="39">
        <f t="shared" si="27"/>
        <v>2709380.1106863744</v>
      </c>
    </row>
    <row r="860" spans="2:4" x14ac:dyDescent="0.25">
      <c r="B860" s="90">
        <v>856</v>
      </c>
      <c r="C860" s="39">
        <f t="shared" si="26"/>
        <v>4035052.9212713512</v>
      </c>
      <c r="D860" s="39">
        <f t="shared" si="27"/>
        <v>2712548.9763129083</v>
      </c>
    </row>
    <row r="861" spans="2:4" x14ac:dyDescent="0.25">
      <c r="B861" s="90">
        <v>857</v>
      </c>
      <c r="C861" s="39">
        <f t="shared" si="26"/>
        <v>4037715.8335625562</v>
      </c>
      <c r="D861" s="39">
        <f t="shared" si="27"/>
        <v>2715717.8419394419</v>
      </c>
    </row>
    <row r="862" spans="2:4" x14ac:dyDescent="0.25">
      <c r="B862" s="90">
        <v>858</v>
      </c>
      <c r="C862" s="39">
        <f t="shared" si="26"/>
        <v>4040378.7458537612</v>
      </c>
      <c r="D862" s="39">
        <f t="shared" si="27"/>
        <v>2718886.7075659758</v>
      </c>
    </row>
    <row r="863" spans="2:4" x14ac:dyDescent="0.25">
      <c r="B863" s="90">
        <v>859</v>
      </c>
      <c r="C863" s="39">
        <f t="shared" si="26"/>
        <v>4043041.6581449658</v>
      </c>
      <c r="D863" s="39">
        <f t="shared" si="27"/>
        <v>2722055.5731925094</v>
      </c>
    </row>
    <row r="864" spans="2:4" x14ac:dyDescent="0.25">
      <c r="B864" s="90">
        <v>860</v>
      </c>
      <c r="C864" s="39">
        <f t="shared" si="26"/>
        <v>4045704.5704361708</v>
      </c>
      <c r="D864" s="39">
        <f t="shared" si="27"/>
        <v>2725224.4388190433</v>
      </c>
    </row>
    <row r="865" spans="2:4" x14ac:dyDescent="0.25">
      <c r="B865" s="90">
        <v>861</v>
      </c>
      <c r="C865" s="39">
        <f t="shared" si="26"/>
        <v>4048367.4827273753</v>
      </c>
      <c r="D865" s="39">
        <f t="shared" si="27"/>
        <v>2728393.3044455773</v>
      </c>
    </row>
    <row r="866" spans="2:4" x14ac:dyDescent="0.25">
      <c r="B866" s="90">
        <v>862</v>
      </c>
      <c r="C866" s="39">
        <f t="shared" si="26"/>
        <v>4051030.3950185804</v>
      </c>
      <c r="D866" s="39">
        <f t="shared" si="27"/>
        <v>2731562.1700721108</v>
      </c>
    </row>
    <row r="867" spans="2:4" x14ac:dyDescent="0.25">
      <c r="B867" s="90">
        <v>863</v>
      </c>
      <c r="C867" s="39">
        <f t="shared" si="26"/>
        <v>4053693.3073097854</v>
      </c>
      <c r="D867" s="39">
        <f t="shared" si="27"/>
        <v>2734731.0356986448</v>
      </c>
    </row>
    <row r="868" spans="2:4" x14ac:dyDescent="0.25">
      <c r="B868" s="90">
        <v>864</v>
      </c>
      <c r="C868" s="39">
        <f t="shared" si="26"/>
        <v>4056356.2196009899</v>
      </c>
      <c r="D868" s="39">
        <f t="shared" si="27"/>
        <v>2737899.9013251783</v>
      </c>
    </row>
    <row r="869" spans="2:4" x14ac:dyDescent="0.25">
      <c r="B869" s="90">
        <v>865</v>
      </c>
      <c r="C869" s="39">
        <f t="shared" si="26"/>
        <v>4059019.131892195</v>
      </c>
      <c r="D869" s="39">
        <f t="shared" si="27"/>
        <v>2741068.7669517123</v>
      </c>
    </row>
    <row r="870" spans="2:4" x14ac:dyDescent="0.25">
      <c r="B870" s="90">
        <v>866</v>
      </c>
      <c r="C870" s="39">
        <f t="shared" si="26"/>
        <v>4061682.0441834</v>
      </c>
      <c r="D870" s="39">
        <f t="shared" si="27"/>
        <v>2744237.6325782458</v>
      </c>
    </row>
    <row r="871" spans="2:4" x14ac:dyDescent="0.25">
      <c r="B871" s="90">
        <v>867</v>
      </c>
      <c r="C871" s="39">
        <f t="shared" si="26"/>
        <v>4064344.9564746046</v>
      </c>
      <c r="D871" s="39">
        <f t="shared" si="27"/>
        <v>2747406.4982047798</v>
      </c>
    </row>
    <row r="872" spans="2:4" x14ac:dyDescent="0.25">
      <c r="B872" s="90">
        <v>868</v>
      </c>
      <c r="C872" s="39">
        <f t="shared" si="26"/>
        <v>4067007.8687658096</v>
      </c>
      <c r="D872" s="39">
        <f t="shared" si="27"/>
        <v>2750575.3638313133</v>
      </c>
    </row>
    <row r="873" spans="2:4" x14ac:dyDescent="0.25">
      <c r="B873" s="90">
        <v>869</v>
      </c>
      <c r="C873" s="39">
        <f t="shared" si="26"/>
        <v>4069670.7810570146</v>
      </c>
      <c r="D873" s="39">
        <f t="shared" si="27"/>
        <v>2753744.2294578473</v>
      </c>
    </row>
    <row r="874" spans="2:4" x14ac:dyDescent="0.25">
      <c r="B874" s="90">
        <v>870</v>
      </c>
      <c r="C874" s="39">
        <f t="shared" si="26"/>
        <v>4072333.6933482192</v>
      </c>
      <c r="D874" s="39">
        <f t="shared" si="27"/>
        <v>2756913.0950843808</v>
      </c>
    </row>
    <row r="875" spans="2:4" x14ac:dyDescent="0.25">
      <c r="B875" s="90">
        <v>871</v>
      </c>
      <c r="C875" s="39">
        <f t="shared" si="26"/>
        <v>4074996.6056394242</v>
      </c>
      <c r="D875" s="39">
        <f t="shared" si="27"/>
        <v>2760081.9607109148</v>
      </c>
    </row>
    <row r="876" spans="2:4" x14ac:dyDescent="0.25">
      <c r="B876" s="90">
        <v>872</v>
      </c>
      <c r="C876" s="39">
        <f t="shared" si="26"/>
        <v>4077659.5179306287</v>
      </c>
      <c r="D876" s="39">
        <f t="shared" si="27"/>
        <v>2763250.8263374488</v>
      </c>
    </row>
    <row r="877" spans="2:4" x14ac:dyDescent="0.25">
      <c r="B877" s="90">
        <v>873</v>
      </c>
      <c r="C877" s="39">
        <f t="shared" si="26"/>
        <v>4080322.4302218338</v>
      </c>
      <c r="D877" s="39">
        <f t="shared" si="27"/>
        <v>2766419.6919639823</v>
      </c>
    </row>
    <row r="878" spans="2:4" x14ac:dyDescent="0.25">
      <c r="B878" s="90">
        <v>874</v>
      </c>
      <c r="C878" s="39">
        <f t="shared" si="26"/>
        <v>4082985.3425130388</v>
      </c>
      <c r="D878" s="39">
        <f t="shared" si="27"/>
        <v>2769588.5575905163</v>
      </c>
    </row>
    <row r="879" spans="2:4" x14ac:dyDescent="0.25">
      <c r="B879" s="90">
        <v>875</v>
      </c>
      <c r="C879" s="39">
        <f t="shared" si="26"/>
        <v>4085648.2548042433</v>
      </c>
      <c r="D879" s="39">
        <f t="shared" si="27"/>
        <v>2772757.4232170498</v>
      </c>
    </row>
    <row r="880" spans="2:4" x14ac:dyDescent="0.25">
      <c r="B880" s="90">
        <v>876</v>
      </c>
      <c r="C880" s="39">
        <f t="shared" si="26"/>
        <v>4088311.1670954484</v>
      </c>
      <c r="D880" s="39">
        <f t="shared" si="27"/>
        <v>2775926.2888435838</v>
      </c>
    </row>
    <row r="881" spans="2:4" x14ac:dyDescent="0.25">
      <c r="B881" s="90">
        <v>877</v>
      </c>
      <c r="C881" s="39">
        <f t="shared" ref="C881:C944" si="28">($C$2*B881)+$C$1</f>
        <v>4090974.0793866534</v>
      </c>
      <c r="D881" s="39">
        <f t="shared" ref="D881:D944" si="29">$D$2*B881</f>
        <v>2779095.1544701173</v>
      </c>
    </row>
    <row r="882" spans="2:4" x14ac:dyDescent="0.25">
      <c r="B882" s="90">
        <v>878</v>
      </c>
      <c r="C882" s="39">
        <f t="shared" si="28"/>
        <v>4093636.9916778579</v>
      </c>
      <c r="D882" s="39">
        <f t="shared" si="29"/>
        <v>2782264.0200966513</v>
      </c>
    </row>
    <row r="883" spans="2:4" x14ac:dyDescent="0.25">
      <c r="B883" s="90">
        <v>879</v>
      </c>
      <c r="C883" s="39">
        <f t="shared" si="28"/>
        <v>4096299.903969063</v>
      </c>
      <c r="D883" s="39">
        <f t="shared" si="29"/>
        <v>2785432.8857231848</v>
      </c>
    </row>
    <row r="884" spans="2:4" x14ac:dyDescent="0.25">
      <c r="B884" s="90">
        <v>880</v>
      </c>
      <c r="C884" s="39">
        <f t="shared" si="28"/>
        <v>4098962.8162602675</v>
      </c>
      <c r="D884" s="39">
        <f t="shared" si="29"/>
        <v>2788601.7513497188</v>
      </c>
    </row>
    <row r="885" spans="2:4" x14ac:dyDescent="0.25">
      <c r="B885" s="90">
        <v>881</v>
      </c>
      <c r="C885" s="39">
        <f t="shared" si="28"/>
        <v>4101625.7285514725</v>
      </c>
      <c r="D885" s="39">
        <f t="shared" si="29"/>
        <v>2791770.6169762528</v>
      </c>
    </row>
    <row r="886" spans="2:4" x14ac:dyDescent="0.25">
      <c r="B886" s="90">
        <v>882</v>
      </c>
      <c r="C886" s="39">
        <f t="shared" si="28"/>
        <v>4104288.6408426776</v>
      </c>
      <c r="D886" s="39">
        <f t="shared" si="29"/>
        <v>2794939.4826027863</v>
      </c>
    </row>
    <row r="887" spans="2:4" x14ac:dyDescent="0.25">
      <c r="B887" s="90">
        <v>883</v>
      </c>
      <c r="C887" s="39">
        <f t="shared" si="28"/>
        <v>4106951.5531338821</v>
      </c>
      <c r="D887" s="39">
        <f t="shared" si="29"/>
        <v>2798108.3482293203</v>
      </c>
    </row>
    <row r="888" spans="2:4" x14ac:dyDescent="0.25">
      <c r="B888" s="90">
        <v>884</v>
      </c>
      <c r="C888" s="39">
        <f t="shared" si="28"/>
        <v>4109614.4654250871</v>
      </c>
      <c r="D888" s="39">
        <f t="shared" si="29"/>
        <v>2801277.2138558538</v>
      </c>
    </row>
    <row r="889" spans="2:4" x14ac:dyDescent="0.25">
      <c r="B889" s="90">
        <v>885</v>
      </c>
      <c r="C889" s="39">
        <f t="shared" si="28"/>
        <v>4112277.3777162922</v>
      </c>
      <c r="D889" s="39">
        <f t="shared" si="29"/>
        <v>2804446.0794823878</v>
      </c>
    </row>
    <row r="890" spans="2:4" x14ac:dyDescent="0.25">
      <c r="B890" s="90">
        <v>886</v>
      </c>
      <c r="C890" s="39">
        <f t="shared" si="28"/>
        <v>4114940.2900074967</v>
      </c>
      <c r="D890" s="39">
        <f t="shared" si="29"/>
        <v>2807614.9451089213</v>
      </c>
    </row>
    <row r="891" spans="2:4" x14ac:dyDescent="0.25">
      <c r="B891" s="90">
        <v>887</v>
      </c>
      <c r="C891" s="39">
        <f t="shared" si="28"/>
        <v>4117603.2022987017</v>
      </c>
      <c r="D891" s="39">
        <f t="shared" si="29"/>
        <v>2810783.8107354552</v>
      </c>
    </row>
    <row r="892" spans="2:4" x14ac:dyDescent="0.25">
      <c r="B892" s="90">
        <v>888</v>
      </c>
      <c r="C892" s="39">
        <f t="shared" si="28"/>
        <v>4120266.1145899063</v>
      </c>
      <c r="D892" s="39">
        <f t="shared" si="29"/>
        <v>2813952.6763619888</v>
      </c>
    </row>
    <row r="893" spans="2:4" x14ac:dyDescent="0.25">
      <c r="B893" s="90">
        <v>889</v>
      </c>
      <c r="C893" s="39">
        <f t="shared" si="28"/>
        <v>4122929.0268811113</v>
      </c>
      <c r="D893" s="39">
        <f t="shared" si="29"/>
        <v>2817121.5419885227</v>
      </c>
    </row>
    <row r="894" spans="2:4" x14ac:dyDescent="0.25">
      <c r="B894" s="90">
        <v>890</v>
      </c>
      <c r="C894" s="39">
        <f t="shared" si="28"/>
        <v>4125591.9391723163</v>
      </c>
      <c r="D894" s="39">
        <f t="shared" si="29"/>
        <v>2820290.4076150563</v>
      </c>
    </row>
    <row r="895" spans="2:4" x14ac:dyDescent="0.25">
      <c r="B895" s="90">
        <v>891</v>
      </c>
      <c r="C895" s="39">
        <f t="shared" si="28"/>
        <v>4128254.8514635209</v>
      </c>
      <c r="D895" s="39">
        <f t="shared" si="29"/>
        <v>2823459.2732415902</v>
      </c>
    </row>
    <row r="896" spans="2:4" x14ac:dyDescent="0.25">
      <c r="B896" s="90">
        <v>892</v>
      </c>
      <c r="C896" s="39">
        <f t="shared" si="28"/>
        <v>4130917.7637547259</v>
      </c>
      <c r="D896" s="39">
        <f t="shared" si="29"/>
        <v>2826628.1388681242</v>
      </c>
    </row>
    <row r="897" spans="2:4" x14ac:dyDescent="0.25">
      <c r="B897" s="90">
        <v>893</v>
      </c>
      <c r="C897" s="39">
        <f t="shared" si="28"/>
        <v>4133580.6760459309</v>
      </c>
      <c r="D897" s="39">
        <f t="shared" si="29"/>
        <v>2829797.0044946577</v>
      </c>
    </row>
    <row r="898" spans="2:4" x14ac:dyDescent="0.25">
      <c r="B898" s="90">
        <v>894</v>
      </c>
      <c r="C898" s="39">
        <f t="shared" si="28"/>
        <v>4136243.5883371355</v>
      </c>
      <c r="D898" s="39">
        <f t="shared" si="29"/>
        <v>2832965.8701211917</v>
      </c>
    </row>
    <row r="899" spans="2:4" x14ac:dyDescent="0.25">
      <c r="B899" s="90">
        <v>895</v>
      </c>
      <c r="C899" s="39">
        <f t="shared" si="28"/>
        <v>4138906.5006283405</v>
      </c>
      <c r="D899" s="39">
        <f t="shared" si="29"/>
        <v>2836134.7357477252</v>
      </c>
    </row>
    <row r="900" spans="2:4" x14ac:dyDescent="0.25">
      <c r="B900" s="90">
        <v>896</v>
      </c>
      <c r="C900" s="39">
        <f t="shared" si="28"/>
        <v>4141569.4129195455</v>
      </c>
      <c r="D900" s="39">
        <f t="shared" si="29"/>
        <v>2839303.6013742592</v>
      </c>
    </row>
    <row r="901" spans="2:4" x14ac:dyDescent="0.25">
      <c r="B901" s="90">
        <v>897</v>
      </c>
      <c r="C901" s="39">
        <f t="shared" si="28"/>
        <v>4144232.3252107501</v>
      </c>
      <c r="D901" s="39">
        <f t="shared" si="29"/>
        <v>2842472.4670007927</v>
      </c>
    </row>
    <row r="902" spans="2:4" x14ac:dyDescent="0.25">
      <c r="B902" s="90">
        <v>898</v>
      </c>
      <c r="C902" s="39">
        <f t="shared" si="28"/>
        <v>4146895.2375019551</v>
      </c>
      <c r="D902" s="39">
        <f t="shared" si="29"/>
        <v>2845641.3326273267</v>
      </c>
    </row>
    <row r="903" spans="2:4" x14ac:dyDescent="0.25">
      <c r="B903" s="90">
        <v>899</v>
      </c>
      <c r="C903" s="39">
        <f t="shared" si="28"/>
        <v>4149558.1497931597</v>
      </c>
      <c r="D903" s="39">
        <f t="shared" si="29"/>
        <v>2848810.1982538602</v>
      </c>
    </row>
    <row r="904" spans="2:4" x14ac:dyDescent="0.25">
      <c r="B904" s="90">
        <v>900</v>
      </c>
      <c r="C904" s="39">
        <f t="shared" si="28"/>
        <v>4152221.0620843647</v>
      </c>
      <c r="D904" s="39">
        <f t="shared" si="29"/>
        <v>2851979.0638803942</v>
      </c>
    </row>
    <row r="905" spans="2:4" x14ac:dyDescent="0.25">
      <c r="B905" s="90">
        <v>901</v>
      </c>
      <c r="C905" s="39">
        <f t="shared" si="28"/>
        <v>4154883.9743755697</v>
      </c>
      <c r="D905" s="39">
        <f t="shared" si="29"/>
        <v>2855147.9295069277</v>
      </c>
    </row>
    <row r="906" spans="2:4" x14ac:dyDescent="0.25">
      <c r="B906" s="90">
        <v>902</v>
      </c>
      <c r="C906" s="39">
        <f t="shared" si="28"/>
        <v>4157546.8866667743</v>
      </c>
      <c r="D906" s="39">
        <f t="shared" si="29"/>
        <v>2858316.7951334617</v>
      </c>
    </row>
    <row r="907" spans="2:4" x14ac:dyDescent="0.25">
      <c r="B907" s="90">
        <v>903</v>
      </c>
      <c r="C907" s="39">
        <f t="shared" si="28"/>
        <v>4160209.7989579793</v>
      </c>
      <c r="D907" s="39">
        <f t="shared" si="29"/>
        <v>2861485.6607599957</v>
      </c>
    </row>
    <row r="908" spans="2:4" x14ac:dyDescent="0.25">
      <c r="B908" s="90">
        <v>904</v>
      </c>
      <c r="C908" s="39">
        <f t="shared" si="28"/>
        <v>4162872.7112491843</v>
      </c>
      <c r="D908" s="39">
        <f t="shared" si="29"/>
        <v>2864654.5263865292</v>
      </c>
    </row>
    <row r="909" spans="2:4" x14ac:dyDescent="0.25">
      <c r="B909" s="90">
        <v>905</v>
      </c>
      <c r="C909" s="39">
        <f t="shared" si="28"/>
        <v>4165535.6235403889</v>
      </c>
      <c r="D909" s="39">
        <f t="shared" si="29"/>
        <v>2867823.3920130632</v>
      </c>
    </row>
    <row r="910" spans="2:4" x14ac:dyDescent="0.25">
      <c r="B910" s="90">
        <v>906</v>
      </c>
      <c r="C910" s="39">
        <f t="shared" si="28"/>
        <v>4168198.5358315939</v>
      </c>
      <c r="D910" s="39">
        <f t="shared" si="29"/>
        <v>2870992.2576395967</v>
      </c>
    </row>
    <row r="911" spans="2:4" x14ac:dyDescent="0.25">
      <c r="B911" s="90">
        <v>907</v>
      </c>
      <c r="C911" s="39">
        <f t="shared" si="28"/>
        <v>4170861.4481227985</v>
      </c>
      <c r="D911" s="39">
        <f t="shared" si="29"/>
        <v>2874161.1232661307</v>
      </c>
    </row>
    <row r="912" spans="2:4" x14ac:dyDescent="0.25">
      <c r="B912" s="90">
        <v>908</v>
      </c>
      <c r="C912" s="39">
        <f t="shared" si="28"/>
        <v>4173524.3604140035</v>
      </c>
      <c r="D912" s="39">
        <f t="shared" si="29"/>
        <v>2877329.9888926642</v>
      </c>
    </row>
    <row r="913" spans="2:4" x14ac:dyDescent="0.25">
      <c r="B913" s="90">
        <v>909</v>
      </c>
      <c r="C913" s="39">
        <f t="shared" si="28"/>
        <v>4176187.2727052085</v>
      </c>
      <c r="D913" s="39">
        <f t="shared" si="29"/>
        <v>2880498.8545191982</v>
      </c>
    </row>
    <row r="914" spans="2:4" x14ac:dyDescent="0.25">
      <c r="B914" s="90">
        <v>910</v>
      </c>
      <c r="C914" s="39">
        <f t="shared" si="28"/>
        <v>4178850.1849964131</v>
      </c>
      <c r="D914" s="39">
        <f t="shared" si="29"/>
        <v>2883667.7201457317</v>
      </c>
    </row>
    <row r="915" spans="2:4" x14ac:dyDescent="0.25">
      <c r="B915" s="90">
        <v>911</v>
      </c>
      <c r="C915" s="39">
        <f t="shared" si="28"/>
        <v>4181513.0972876181</v>
      </c>
      <c r="D915" s="39">
        <f t="shared" si="29"/>
        <v>2886836.5857722657</v>
      </c>
    </row>
    <row r="916" spans="2:4" x14ac:dyDescent="0.25">
      <c r="B916" s="90">
        <v>912</v>
      </c>
      <c r="C916" s="39">
        <f t="shared" si="28"/>
        <v>4184176.0095788231</v>
      </c>
      <c r="D916" s="39">
        <f t="shared" si="29"/>
        <v>2890005.4513987997</v>
      </c>
    </row>
    <row r="917" spans="2:4" x14ac:dyDescent="0.25">
      <c r="B917" s="90">
        <v>913</v>
      </c>
      <c r="C917" s="39">
        <f t="shared" si="28"/>
        <v>4186838.9218700277</v>
      </c>
      <c r="D917" s="39">
        <f t="shared" si="29"/>
        <v>2893174.3170253332</v>
      </c>
    </row>
    <row r="918" spans="2:4" x14ac:dyDescent="0.25">
      <c r="B918" s="90">
        <v>914</v>
      </c>
      <c r="C918" s="39">
        <f t="shared" si="28"/>
        <v>4189501.8341612327</v>
      </c>
      <c r="D918" s="39">
        <f t="shared" si="29"/>
        <v>2896343.1826518672</v>
      </c>
    </row>
    <row r="919" spans="2:4" x14ac:dyDescent="0.25">
      <c r="B919" s="90">
        <v>915</v>
      </c>
      <c r="C919" s="39">
        <f t="shared" si="28"/>
        <v>4192164.7464524372</v>
      </c>
      <c r="D919" s="39">
        <f t="shared" si="29"/>
        <v>2899512.0482784007</v>
      </c>
    </row>
    <row r="920" spans="2:4" x14ac:dyDescent="0.25">
      <c r="B920" s="90">
        <v>916</v>
      </c>
      <c r="C920" s="39">
        <f t="shared" si="28"/>
        <v>4194827.6587436423</v>
      </c>
      <c r="D920" s="39">
        <f t="shared" si="29"/>
        <v>2902680.9139049347</v>
      </c>
    </row>
    <row r="921" spans="2:4" x14ac:dyDescent="0.25">
      <c r="B921" s="90">
        <v>917</v>
      </c>
      <c r="C921" s="39">
        <f t="shared" si="28"/>
        <v>4197490.5710348468</v>
      </c>
      <c r="D921" s="39">
        <f t="shared" si="29"/>
        <v>2905849.7795314682</v>
      </c>
    </row>
    <row r="922" spans="2:4" x14ac:dyDescent="0.25">
      <c r="B922" s="90">
        <v>918</v>
      </c>
      <c r="C922" s="39">
        <f t="shared" si="28"/>
        <v>4200153.4833260514</v>
      </c>
      <c r="D922" s="39">
        <f t="shared" si="29"/>
        <v>2909018.6451580022</v>
      </c>
    </row>
    <row r="923" spans="2:4" x14ac:dyDescent="0.25">
      <c r="B923" s="90">
        <v>919</v>
      </c>
      <c r="C923" s="39">
        <f t="shared" si="28"/>
        <v>4202816.3956172569</v>
      </c>
      <c r="D923" s="39">
        <f t="shared" si="29"/>
        <v>2912187.5107845357</v>
      </c>
    </row>
    <row r="924" spans="2:4" x14ac:dyDescent="0.25">
      <c r="B924" s="90">
        <v>920</v>
      </c>
      <c r="C924" s="39">
        <f t="shared" si="28"/>
        <v>4205479.3079084624</v>
      </c>
      <c r="D924" s="39">
        <f t="shared" si="29"/>
        <v>2915356.3764110697</v>
      </c>
    </row>
    <row r="925" spans="2:4" x14ac:dyDescent="0.25">
      <c r="B925" s="90">
        <v>921</v>
      </c>
      <c r="C925" s="39">
        <f t="shared" si="28"/>
        <v>4208142.2201996669</v>
      </c>
      <c r="D925" s="39">
        <f t="shared" si="29"/>
        <v>2918525.2420376032</v>
      </c>
    </row>
    <row r="926" spans="2:4" x14ac:dyDescent="0.25">
      <c r="B926" s="90">
        <v>922</v>
      </c>
      <c r="C926" s="39">
        <f t="shared" si="28"/>
        <v>4210805.1324908715</v>
      </c>
      <c r="D926" s="39">
        <f t="shared" si="29"/>
        <v>2921694.1076641371</v>
      </c>
    </row>
    <row r="927" spans="2:4" x14ac:dyDescent="0.25">
      <c r="B927" s="90">
        <v>923</v>
      </c>
      <c r="C927" s="39">
        <f t="shared" si="28"/>
        <v>4213468.044782076</v>
      </c>
      <c r="D927" s="39">
        <f t="shared" si="29"/>
        <v>2924862.9732906711</v>
      </c>
    </row>
    <row r="928" spans="2:4" x14ac:dyDescent="0.25">
      <c r="B928" s="90">
        <v>924</v>
      </c>
      <c r="C928" s="39">
        <f t="shared" si="28"/>
        <v>4216130.9570732806</v>
      </c>
      <c r="D928" s="39">
        <f t="shared" si="29"/>
        <v>2928031.8389172046</v>
      </c>
    </row>
    <row r="929" spans="2:4" x14ac:dyDescent="0.25">
      <c r="B929" s="90">
        <v>925</v>
      </c>
      <c r="C929" s="39">
        <f t="shared" si="28"/>
        <v>4218793.8693644861</v>
      </c>
      <c r="D929" s="39">
        <f t="shared" si="29"/>
        <v>2931200.7045437386</v>
      </c>
    </row>
    <row r="930" spans="2:4" x14ac:dyDescent="0.25">
      <c r="B930" s="90">
        <v>926</v>
      </c>
      <c r="C930" s="39">
        <f t="shared" si="28"/>
        <v>4221456.7816556906</v>
      </c>
      <c r="D930" s="39">
        <f t="shared" si="29"/>
        <v>2934369.5701702721</v>
      </c>
    </row>
    <row r="931" spans="2:4" x14ac:dyDescent="0.25">
      <c r="B931" s="90">
        <v>927</v>
      </c>
      <c r="C931" s="39">
        <f t="shared" si="28"/>
        <v>4224119.6939468961</v>
      </c>
      <c r="D931" s="39">
        <f t="shared" si="29"/>
        <v>2937538.4357968061</v>
      </c>
    </row>
    <row r="932" spans="2:4" x14ac:dyDescent="0.25">
      <c r="B932" s="90">
        <v>928</v>
      </c>
      <c r="C932" s="39">
        <f t="shared" si="28"/>
        <v>4226782.6062381007</v>
      </c>
      <c r="D932" s="39">
        <f t="shared" si="29"/>
        <v>2940707.3014233396</v>
      </c>
    </row>
    <row r="933" spans="2:4" x14ac:dyDescent="0.25">
      <c r="B933" s="90">
        <v>929</v>
      </c>
      <c r="C933" s="39">
        <f t="shared" si="28"/>
        <v>4229445.5185293052</v>
      </c>
      <c r="D933" s="39">
        <f t="shared" si="29"/>
        <v>2943876.1670498736</v>
      </c>
    </row>
    <row r="934" spans="2:4" x14ac:dyDescent="0.25">
      <c r="B934" s="90">
        <v>930</v>
      </c>
      <c r="C934" s="39">
        <f t="shared" si="28"/>
        <v>4232108.4308205098</v>
      </c>
      <c r="D934" s="39">
        <f t="shared" si="29"/>
        <v>2947045.0326764071</v>
      </c>
    </row>
    <row r="935" spans="2:4" x14ac:dyDescent="0.25">
      <c r="B935" s="90">
        <v>931</v>
      </c>
      <c r="C935" s="39">
        <f t="shared" si="28"/>
        <v>4234771.3431117153</v>
      </c>
      <c r="D935" s="39">
        <f t="shared" si="29"/>
        <v>2950213.8983029411</v>
      </c>
    </row>
    <row r="936" spans="2:4" x14ac:dyDescent="0.25">
      <c r="B936" s="90">
        <v>932</v>
      </c>
      <c r="C936" s="39">
        <f t="shared" si="28"/>
        <v>4237434.2554029198</v>
      </c>
      <c r="D936" s="39">
        <f t="shared" si="29"/>
        <v>2953382.7639294751</v>
      </c>
    </row>
    <row r="937" spans="2:4" x14ac:dyDescent="0.25">
      <c r="B937" s="90">
        <v>933</v>
      </c>
      <c r="C937" s="39">
        <f t="shared" si="28"/>
        <v>4240097.1676941253</v>
      </c>
      <c r="D937" s="39">
        <f t="shared" si="29"/>
        <v>2956551.6295560086</v>
      </c>
    </row>
    <row r="938" spans="2:4" x14ac:dyDescent="0.25">
      <c r="B938" s="90">
        <v>934</v>
      </c>
      <c r="C938" s="39">
        <f t="shared" si="28"/>
        <v>4242760.0799853299</v>
      </c>
      <c r="D938" s="39">
        <f t="shared" si="29"/>
        <v>2959720.4951825426</v>
      </c>
    </row>
    <row r="939" spans="2:4" x14ac:dyDescent="0.25">
      <c r="B939" s="90">
        <v>935</v>
      </c>
      <c r="C939" s="39">
        <f t="shared" si="28"/>
        <v>4245422.9922765344</v>
      </c>
      <c r="D939" s="39">
        <f t="shared" si="29"/>
        <v>2962889.3608090761</v>
      </c>
    </row>
    <row r="940" spans="2:4" x14ac:dyDescent="0.25">
      <c r="B940" s="90">
        <v>936</v>
      </c>
      <c r="C940" s="39">
        <f t="shared" si="28"/>
        <v>4248085.904567739</v>
      </c>
      <c r="D940" s="39">
        <f t="shared" si="29"/>
        <v>2966058.2264356101</v>
      </c>
    </row>
    <row r="941" spans="2:4" x14ac:dyDescent="0.25">
      <c r="B941" s="90">
        <v>937</v>
      </c>
      <c r="C941" s="39">
        <f t="shared" si="28"/>
        <v>4250748.8168589436</v>
      </c>
      <c r="D941" s="39">
        <f t="shared" si="29"/>
        <v>2969227.0920621436</v>
      </c>
    </row>
    <row r="942" spans="2:4" x14ac:dyDescent="0.25">
      <c r="B942" s="90">
        <v>938</v>
      </c>
      <c r="C942" s="39">
        <f t="shared" si="28"/>
        <v>4253411.729150149</v>
      </c>
      <c r="D942" s="39">
        <f t="shared" si="29"/>
        <v>2972395.9576886776</v>
      </c>
    </row>
    <row r="943" spans="2:4" x14ac:dyDescent="0.25">
      <c r="B943" s="90">
        <v>939</v>
      </c>
      <c r="C943" s="39">
        <f t="shared" si="28"/>
        <v>4256074.6414413545</v>
      </c>
      <c r="D943" s="39">
        <f t="shared" si="29"/>
        <v>2975564.8233152111</v>
      </c>
    </row>
    <row r="944" spans="2:4" x14ac:dyDescent="0.25">
      <c r="B944" s="90">
        <v>940</v>
      </c>
      <c r="C944" s="39">
        <f t="shared" si="28"/>
        <v>4258737.5537325591</v>
      </c>
      <c r="D944" s="39">
        <f t="shared" si="29"/>
        <v>2978733.6889417451</v>
      </c>
    </row>
    <row r="945" spans="2:4" x14ac:dyDescent="0.25">
      <c r="B945" s="90">
        <v>941</v>
      </c>
      <c r="C945" s="39">
        <f t="shared" ref="C945:C1008" si="30">($C$2*B945)+$C$1</f>
        <v>4261400.4660237636</v>
      </c>
      <c r="D945" s="39">
        <f t="shared" ref="D945:D1008" si="31">$D$2*B945</f>
        <v>2981902.5545682786</v>
      </c>
    </row>
    <row r="946" spans="2:4" x14ac:dyDescent="0.25">
      <c r="B946" s="90">
        <v>942</v>
      </c>
      <c r="C946" s="39">
        <f t="shared" si="30"/>
        <v>4264063.3783149682</v>
      </c>
      <c r="D946" s="39">
        <f t="shared" si="31"/>
        <v>2985071.4201948126</v>
      </c>
    </row>
    <row r="947" spans="2:4" x14ac:dyDescent="0.25">
      <c r="B947" s="90">
        <v>943</v>
      </c>
      <c r="C947" s="39">
        <f t="shared" si="30"/>
        <v>4266726.2906061728</v>
      </c>
      <c r="D947" s="39">
        <f t="shared" si="31"/>
        <v>2988240.2858213466</v>
      </c>
    </row>
    <row r="948" spans="2:4" x14ac:dyDescent="0.25">
      <c r="B948" s="90">
        <v>944</v>
      </c>
      <c r="C948" s="39">
        <f t="shared" si="30"/>
        <v>4269389.2028973782</v>
      </c>
      <c r="D948" s="39">
        <f t="shared" si="31"/>
        <v>2991409.1514478801</v>
      </c>
    </row>
    <row r="949" spans="2:4" x14ac:dyDescent="0.25">
      <c r="B949" s="90">
        <v>945</v>
      </c>
      <c r="C949" s="39">
        <f t="shared" si="30"/>
        <v>4272052.1151885828</v>
      </c>
      <c r="D949" s="39">
        <f t="shared" si="31"/>
        <v>2994578.0170744141</v>
      </c>
    </row>
    <row r="950" spans="2:4" x14ac:dyDescent="0.25">
      <c r="B950" s="90">
        <v>946</v>
      </c>
      <c r="C950" s="39">
        <f t="shared" si="30"/>
        <v>4274715.0274797883</v>
      </c>
      <c r="D950" s="39">
        <f t="shared" si="31"/>
        <v>2997746.8827009476</v>
      </c>
    </row>
    <row r="951" spans="2:4" x14ac:dyDescent="0.25">
      <c r="B951" s="90">
        <v>947</v>
      </c>
      <c r="C951" s="39">
        <f t="shared" si="30"/>
        <v>4277377.9397709928</v>
      </c>
      <c r="D951" s="39">
        <f t="shared" si="31"/>
        <v>3000915.7483274816</v>
      </c>
    </row>
    <row r="952" spans="2:4" x14ac:dyDescent="0.25">
      <c r="B952" s="90">
        <v>948</v>
      </c>
      <c r="C952" s="39">
        <f t="shared" si="30"/>
        <v>4280040.8520621974</v>
      </c>
      <c r="D952" s="39">
        <f t="shared" si="31"/>
        <v>3004084.6139540151</v>
      </c>
    </row>
    <row r="953" spans="2:4" x14ac:dyDescent="0.25">
      <c r="B953" s="90">
        <v>949</v>
      </c>
      <c r="C953" s="39">
        <f t="shared" si="30"/>
        <v>4282703.764353402</v>
      </c>
      <c r="D953" s="39">
        <f t="shared" si="31"/>
        <v>3007253.4795805491</v>
      </c>
    </row>
    <row r="954" spans="2:4" x14ac:dyDescent="0.25">
      <c r="B954" s="90">
        <v>950</v>
      </c>
      <c r="C954" s="39">
        <f t="shared" si="30"/>
        <v>4285366.6766446065</v>
      </c>
      <c r="D954" s="39">
        <f t="shared" si="31"/>
        <v>3010422.3452070826</v>
      </c>
    </row>
    <row r="955" spans="2:4" x14ac:dyDescent="0.25">
      <c r="B955" s="90">
        <v>951</v>
      </c>
      <c r="C955" s="39">
        <f t="shared" si="30"/>
        <v>4288029.588935812</v>
      </c>
      <c r="D955" s="39">
        <f t="shared" si="31"/>
        <v>3013591.2108336166</v>
      </c>
    </row>
    <row r="956" spans="2:4" x14ac:dyDescent="0.25">
      <c r="B956" s="90">
        <v>952</v>
      </c>
      <c r="C956" s="39">
        <f t="shared" si="30"/>
        <v>4290692.5012270175</v>
      </c>
      <c r="D956" s="39">
        <f t="shared" si="31"/>
        <v>3016760.0764601501</v>
      </c>
    </row>
    <row r="957" spans="2:4" x14ac:dyDescent="0.25">
      <c r="B957" s="90">
        <v>953</v>
      </c>
      <c r="C957" s="39">
        <f t="shared" si="30"/>
        <v>4293355.413518222</v>
      </c>
      <c r="D957" s="39">
        <f t="shared" si="31"/>
        <v>3019928.9420866841</v>
      </c>
    </row>
    <row r="958" spans="2:4" x14ac:dyDescent="0.25">
      <c r="B958" s="90">
        <v>954</v>
      </c>
      <c r="C958" s="39">
        <f t="shared" si="30"/>
        <v>4296018.3258094266</v>
      </c>
      <c r="D958" s="39">
        <f t="shared" si="31"/>
        <v>3023097.807713218</v>
      </c>
    </row>
    <row r="959" spans="2:4" x14ac:dyDescent="0.25">
      <c r="B959" s="90">
        <v>955</v>
      </c>
      <c r="C959" s="39">
        <f t="shared" si="30"/>
        <v>4298681.2381006312</v>
      </c>
      <c r="D959" s="39">
        <f t="shared" si="31"/>
        <v>3026266.6733397515</v>
      </c>
    </row>
    <row r="960" spans="2:4" x14ac:dyDescent="0.25">
      <c r="B960" s="90">
        <v>956</v>
      </c>
      <c r="C960" s="39">
        <f t="shared" si="30"/>
        <v>4301344.1503918357</v>
      </c>
      <c r="D960" s="39">
        <f t="shared" si="31"/>
        <v>3029435.5389662855</v>
      </c>
    </row>
    <row r="961" spans="2:4" x14ac:dyDescent="0.25">
      <c r="B961" s="90">
        <v>957</v>
      </c>
      <c r="C961" s="39">
        <f t="shared" si="30"/>
        <v>4304007.0626830412</v>
      </c>
      <c r="D961" s="39">
        <f t="shared" si="31"/>
        <v>3032604.404592819</v>
      </c>
    </row>
    <row r="962" spans="2:4" x14ac:dyDescent="0.25">
      <c r="B962" s="90">
        <v>958</v>
      </c>
      <c r="C962" s="39">
        <f t="shared" si="30"/>
        <v>4306669.9749742458</v>
      </c>
      <c r="D962" s="39">
        <f t="shared" si="31"/>
        <v>3035773.270219353</v>
      </c>
    </row>
    <row r="963" spans="2:4" x14ac:dyDescent="0.25">
      <c r="B963" s="90">
        <v>959</v>
      </c>
      <c r="C963" s="39">
        <f t="shared" si="30"/>
        <v>4309332.8872654513</v>
      </c>
      <c r="D963" s="39">
        <f t="shared" si="31"/>
        <v>3038942.1358458865</v>
      </c>
    </row>
    <row r="964" spans="2:4" x14ac:dyDescent="0.25">
      <c r="B964" s="90">
        <v>960</v>
      </c>
      <c r="C964" s="39">
        <f t="shared" si="30"/>
        <v>4311995.7995566558</v>
      </c>
      <c r="D964" s="39">
        <f t="shared" si="31"/>
        <v>3042111.0014724205</v>
      </c>
    </row>
    <row r="965" spans="2:4" x14ac:dyDescent="0.25">
      <c r="B965" s="90">
        <v>961</v>
      </c>
      <c r="C965" s="39">
        <f t="shared" si="30"/>
        <v>4314658.7118478604</v>
      </c>
      <c r="D965" s="39">
        <f t="shared" si="31"/>
        <v>3045279.867098954</v>
      </c>
    </row>
    <row r="966" spans="2:4" x14ac:dyDescent="0.25">
      <c r="B966" s="90">
        <v>962</v>
      </c>
      <c r="C966" s="39">
        <f t="shared" si="30"/>
        <v>4317321.6241390649</v>
      </c>
      <c r="D966" s="39">
        <f t="shared" si="31"/>
        <v>3048448.732725488</v>
      </c>
    </row>
    <row r="967" spans="2:4" x14ac:dyDescent="0.25">
      <c r="B967" s="90">
        <v>963</v>
      </c>
      <c r="C967" s="39">
        <f t="shared" si="30"/>
        <v>4319984.5364302704</v>
      </c>
      <c r="D967" s="39">
        <f t="shared" si="31"/>
        <v>3051617.598352022</v>
      </c>
    </row>
    <row r="968" spans="2:4" x14ac:dyDescent="0.25">
      <c r="B968" s="90">
        <v>964</v>
      </c>
      <c r="C968" s="39">
        <f t="shared" si="30"/>
        <v>4322647.448721475</v>
      </c>
      <c r="D968" s="39">
        <f t="shared" si="31"/>
        <v>3054786.4639785555</v>
      </c>
    </row>
    <row r="969" spans="2:4" x14ac:dyDescent="0.25">
      <c r="B969" s="90">
        <v>965</v>
      </c>
      <c r="C969" s="39">
        <f t="shared" si="30"/>
        <v>4325310.3610126805</v>
      </c>
      <c r="D969" s="39">
        <f t="shared" si="31"/>
        <v>3057955.3296050895</v>
      </c>
    </row>
    <row r="970" spans="2:4" x14ac:dyDescent="0.25">
      <c r="B970" s="90">
        <v>966</v>
      </c>
      <c r="C970" s="39">
        <f t="shared" si="30"/>
        <v>4327973.273303885</v>
      </c>
      <c r="D970" s="39">
        <f t="shared" si="31"/>
        <v>3061124.195231623</v>
      </c>
    </row>
    <row r="971" spans="2:4" x14ac:dyDescent="0.25">
      <c r="B971" s="90">
        <v>967</v>
      </c>
      <c r="C971" s="39">
        <f t="shared" si="30"/>
        <v>4330636.1855950896</v>
      </c>
      <c r="D971" s="39">
        <f t="shared" si="31"/>
        <v>3064293.060858157</v>
      </c>
    </row>
    <row r="972" spans="2:4" x14ac:dyDescent="0.25">
      <c r="B972" s="90">
        <v>968</v>
      </c>
      <c r="C972" s="39">
        <f t="shared" si="30"/>
        <v>4333299.0978862941</v>
      </c>
      <c r="D972" s="39">
        <f t="shared" si="31"/>
        <v>3067461.9264846905</v>
      </c>
    </row>
    <row r="973" spans="2:4" x14ac:dyDescent="0.25">
      <c r="B973" s="90">
        <v>969</v>
      </c>
      <c r="C973" s="39">
        <f t="shared" si="30"/>
        <v>4335962.0101774987</v>
      </c>
      <c r="D973" s="39">
        <f t="shared" si="31"/>
        <v>3070630.7921112245</v>
      </c>
    </row>
    <row r="974" spans="2:4" x14ac:dyDescent="0.25">
      <c r="B974" s="90">
        <v>970</v>
      </c>
      <c r="C974" s="39">
        <f t="shared" si="30"/>
        <v>4338624.9224687042</v>
      </c>
      <c r="D974" s="39">
        <f t="shared" si="31"/>
        <v>3073799.657737758</v>
      </c>
    </row>
    <row r="975" spans="2:4" x14ac:dyDescent="0.25">
      <c r="B975" s="90">
        <v>971</v>
      </c>
      <c r="C975" s="39">
        <f t="shared" si="30"/>
        <v>4341287.8347599097</v>
      </c>
      <c r="D975" s="39">
        <f t="shared" si="31"/>
        <v>3076968.523364292</v>
      </c>
    </row>
    <row r="976" spans="2:4" x14ac:dyDescent="0.25">
      <c r="B976" s="90">
        <v>972</v>
      </c>
      <c r="C976" s="39">
        <f t="shared" si="30"/>
        <v>4343950.7470511142</v>
      </c>
      <c r="D976" s="39">
        <f t="shared" si="31"/>
        <v>3080137.3889908255</v>
      </c>
    </row>
    <row r="977" spans="2:4" x14ac:dyDescent="0.25">
      <c r="B977" s="90">
        <v>973</v>
      </c>
      <c r="C977" s="39">
        <f t="shared" si="30"/>
        <v>4346613.6593423188</v>
      </c>
      <c r="D977" s="39">
        <f t="shared" si="31"/>
        <v>3083306.2546173595</v>
      </c>
    </row>
    <row r="978" spans="2:4" x14ac:dyDescent="0.25">
      <c r="B978" s="90">
        <v>974</v>
      </c>
      <c r="C978" s="39">
        <f t="shared" si="30"/>
        <v>4349276.5716335233</v>
      </c>
      <c r="D978" s="39">
        <f t="shared" si="31"/>
        <v>3086475.1202438935</v>
      </c>
    </row>
    <row r="979" spans="2:4" x14ac:dyDescent="0.25">
      <c r="B979" s="90">
        <v>975</v>
      </c>
      <c r="C979" s="39">
        <f t="shared" si="30"/>
        <v>4351939.4839247279</v>
      </c>
      <c r="D979" s="39">
        <f t="shared" si="31"/>
        <v>3089643.985870427</v>
      </c>
    </row>
    <row r="980" spans="2:4" x14ac:dyDescent="0.25">
      <c r="B980" s="90">
        <v>976</v>
      </c>
      <c r="C980" s="39">
        <f t="shared" si="30"/>
        <v>4354602.3962159334</v>
      </c>
      <c r="D980" s="39">
        <f t="shared" si="31"/>
        <v>3092812.851496961</v>
      </c>
    </row>
    <row r="981" spans="2:4" x14ac:dyDescent="0.25">
      <c r="B981" s="90">
        <v>977</v>
      </c>
      <c r="C981" s="39">
        <f t="shared" si="30"/>
        <v>4357265.3085071379</v>
      </c>
      <c r="D981" s="39">
        <f t="shared" si="31"/>
        <v>3095981.7171234945</v>
      </c>
    </row>
    <row r="982" spans="2:4" x14ac:dyDescent="0.25">
      <c r="B982" s="90">
        <v>978</v>
      </c>
      <c r="C982" s="39">
        <f t="shared" si="30"/>
        <v>4359928.2207983434</v>
      </c>
      <c r="D982" s="39">
        <f t="shared" si="31"/>
        <v>3099150.5827500285</v>
      </c>
    </row>
    <row r="983" spans="2:4" x14ac:dyDescent="0.25">
      <c r="B983" s="90">
        <v>979</v>
      </c>
      <c r="C983" s="39">
        <f t="shared" si="30"/>
        <v>4362591.133089548</v>
      </c>
      <c r="D983" s="39">
        <f t="shared" si="31"/>
        <v>3102319.448376562</v>
      </c>
    </row>
    <row r="984" spans="2:4" x14ac:dyDescent="0.25">
      <c r="B984" s="90">
        <v>980</v>
      </c>
      <c r="C984" s="39">
        <f t="shared" si="30"/>
        <v>4365254.0453807525</v>
      </c>
      <c r="D984" s="39">
        <f t="shared" si="31"/>
        <v>3105488.314003096</v>
      </c>
    </row>
    <row r="985" spans="2:4" x14ac:dyDescent="0.25">
      <c r="B985" s="90">
        <v>981</v>
      </c>
      <c r="C985" s="39">
        <f t="shared" si="30"/>
        <v>4367916.9576719571</v>
      </c>
      <c r="D985" s="39">
        <f t="shared" si="31"/>
        <v>3108657.1796296295</v>
      </c>
    </row>
    <row r="986" spans="2:4" x14ac:dyDescent="0.25">
      <c r="B986" s="90">
        <v>982</v>
      </c>
      <c r="C986" s="39">
        <f t="shared" si="30"/>
        <v>4370579.8699631626</v>
      </c>
      <c r="D986" s="39">
        <f t="shared" si="31"/>
        <v>3111826.0452561635</v>
      </c>
    </row>
    <row r="987" spans="2:4" x14ac:dyDescent="0.25">
      <c r="B987" s="90">
        <v>983</v>
      </c>
      <c r="C987" s="39">
        <f t="shared" si="30"/>
        <v>4373242.7822543671</v>
      </c>
      <c r="D987" s="39">
        <f t="shared" si="31"/>
        <v>3114994.910882697</v>
      </c>
    </row>
    <row r="988" spans="2:4" x14ac:dyDescent="0.25">
      <c r="B988" s="90">
        <v>984</v>
      </c>
      <c r="C988" s="39">
        <f t="shared" si="30"/>
        <v>4375905.6945455726</v>
      </c>
      <c r="D988" s="39">
        <f t="shared" si="31"/>
        <v>3118163.776509231</v>
      </c>
    </row>
    <row r="989" spans="2:4" x14ac:dyDescent="0.25">
      <c r="B989" s="90">
        <v>985</v>
      </c>
      <c r="C989" s="39">
        <f t="shared" si="30"/>
        <v>4378568.6068367772</v>
      </c>
      <c r="D989" s="39">
        <f t="shared" si="31"/>
        <v>3121332.6421357649</v>
      </c>
    </row>
    <row r="990" spans="2:4" x14ac:dyDescent="0.25">
      <c r="B990" s="90">
        <v>986</v>
      </c>
      <c r="C990" s="39">
        <f t="shared" si="30"/>
        <v>4381231.5191279817</v>
      </c>
      <c r="D990" s="39">
        <f t="shared" si="31"/>
        <v>3124501.5077622985</v>
      </c>
    </row>
    <row r="991" spans="2:4" x14ac:dyDescent="0.25">
      <c r="B991" s="90">
        <v>987</v>
      </c>
      <c r="C991" s="39">
        <f t="shared" si="30"/>
        <v>4383894.4314191863</v>
      </c>
      <c r="D991" s="39">
        <f t="shared" si="31"/>
        <v>3127670.3733888324</v>
      </c>
    </row>
    <row r="992" spans="2:4" x14ac:dyDescent="0.25">
      <c r="B992" s="90">
        <v>988</v>
      </c>
      <c r="C992" s="39">
        <f t="shared" si="30"/>
        <v>4386557.3437103909</v>
      </c>
      <c r="D992" s="39">
        <f t="shared" si="31"/>
        <v>3130839.239015366</v>
      </c>
    </row>
    <row r="993" spans="2:4" x14ac:dyDescent="0.25">
      <c r="B993" s="90">
        <v>989</v>
      </c>
      <c r="C993" s="39">
        <f t="shared" si="30"/>
        <v>4389220.2560015963</v>
      </c>
      <c r="D993" s="39">
        <f t="shared" si="31"/>
        <v>3134008.1046418999</v>
      </c>
    </row>
    <row r="994" spans="2:4" x14ac:dyDescent="0.25">
      <c r="B994" s="90">
        <v>990</v>
      </c>
      <c r="C994" s="39">
        <f t="shared" si="30"/>
        <v>4391883.1682928018</v>
      </c>
      <c r="D994" s="39">
        <f t="shared" si="31"/>
        <v>3137176.9702684334</v>
      </c>
    </row>
    <row r="995" spans="2:4" x14ac:dyDescent="0.25">
      <c r="B995" s="90">
        <v>991</v>
      </c>
      <c r="C995" s="39">
        <f t="shared" si="30"/>
        <v>4394546.0805840064</v>
      </c>
      <c r="D995" s="39">
        <f t="shared" si="31"/>
        <v>3140345.8358949674</v>
      </c>
    </row>
    <row r="996" spans="2:4" x14ac:dyDescent="0.25">
      <c r="B996" s="90">
        <v>992</v>
      </c>
      <c r="C996" s="39">
        <f t="shared" si="30"/>
        <v>4397208.9928752109</v>
      </c>
      <c r="D996" s="39">
        <f t="shared" si="31"/>
        <v>3143514.7015215009</v>
      </c>
    </row>
    <row r="997" spans="2:4" x14ac:dyDescent="0.25">
      <c r="B997" s="90">
        <v>993</v>
      </c>
      <c r="C997" s="39">
        <f t="shared" si="30"/>
        <v>4399871.9051664155</v>
      </c>
      <c r="D997" s="39">
        <f t="shared" si="31"/>
        <v>3146683.5671480349</v>
      </c>
    </row>
    <row r="998" spans="2:4" x14ac:dyDescent="0.25">
      <c r="B998" s="90">
        <v>994</v>
      </c>
      <c r="C998" s="39">
        <f t="shared" si="30"/>
        <v>4402534.8174576201</v>
      </c>
      <c r="D998" s="39">
        <f t="shared" si="31"/>
        <v>3149852.4327745689</v>
      </c>
    </row>
    <row r="999" spans="2:4" x14ac:dyDescent="0.25">
      <c r="B999" s="90">
        <v>995</v>
      </c>
      <c r="C999" s="39">
        <f t="shared" si="30"/>
        <v>4405197.7297488255</v>
      </c>
      <c r="D999" s="39">
        <f t="shared" si="31"/>
        <v>3153021.2984011024</v>
      </c>
    </row>
    <row r="1000" spans="2:4" x14ac:dyDescent="0.25">
      <c r="B1000" s="90">
        <v>996</v>
      </c>
      <c r="C1000" s="39">
        <f t="shared" si="30"/>
        <v>4407860.6420400301</v>
      </c>
      <c r="D1000" s="39">
        <f t="shared" si="31"/>
        <v>3156190.1640276364</v>
      </c>
    </row>
    <row r="1001" spans="2:4" x14ac:dyDescent="0.25">
      <c r="B1001" s="90">
        <v>997</v>
      </c>
      <c r="C1001" s="39">
        <f t="shared" si="30"/>
        <v>4410523.5543312356</v>
      </c>
      <c r="D1001" s="39">
        <f t="shared" si="31"/>
        <v>3159359.0296541699</v>
      </c>
    </row>
    <row r="1002" spans="2:4" x14ac:dyDescent="0.25">
      <c r="B1002" s="90">
        <v>998</v>
      </c>
      <c r="C1002" s="39">
        <f t="shared" si="30"/>
        <v>4413186.4666224401</v>
      </c>
      <c r="D1002" s="39">
        <f t="shared" si="31"/>
        <v>3162527.8952807039</v>
      </c>
    </row>
    <row r="1003" spans="2:4" x14ac:dyDescent="0.25">
      <c r="B1003" s="90">
        <v>999</v>
      </c>
      <c r="C1003" s="39">
        <f t="shared" si="30"/>
        <v>4415849.3789136447</v>
      </c>
      <c r="D1003" s="39">
        <f t="shared" si="31"/>
        <v>3165696.7609072374</v>
      </c>
    </row>
    <row r="1004" spans="2:4" x14ac:dyDescent="0.25">
      <c r="B1004" s="90">
        <v>1000</v>
      </c>
      <c r="C1004" s="39">
        <f t="shared" si="30"/>
        <v>4418512.2912048493</v>
      </c>
      <c r="D1004" s="39">
        <f t="shared" si="31"/>
        <v>3168865.6265337714</v>
      </c>
    </row>
    <row r="1005" spans="2:4" x14ac:dyDescent="0.25">
      <c r="B1005" s="90">
        <v>1001</v>
      </c>
      <c r="C1005" s="39">
        <f t="shared" si="30"/>
        <v>4421175.2034960547</v>
      </c>
      <c r="D1005" s="39">
        <f t="shared" si="31"/>
        <v>3172034.4921603049</v>
      </c>
    </row>
    <row r="1006" spans="2:4" x14ac:dyDescent="0.25">
      <c r="B1006" s="90">
        <v>1002</v>
      </c>
      <c r="C1006" s="39">
        <f t="shared" si="30"/>
        <v>4423838.1157872593</v>
      </c>
      <c r="D1006" s="39">
        <f t="shared" si="31"/>
        <v>3175203.3577868389</v>
      </c>
    </row>
    <row r="1007" spans="2:4" x14ac:dyDescent="0.25">
      <c r="B1007" s="90">
        <v>1003</v>
      </c>
      <c r="C1007" s="39">
        <f t="shared" si="30"/>
        <v>4426501.0280784648</v>
      </c>
      <c r="D1007" s="39">
        <f t="shared" si="31"/>
        <v>3178372.2234133724</v>
      </c>
    </row>
    <row r="1008" spans="2:4" x14ac:dyDescent="0.25">
      <c r="B1008" s="90">
        <v>1004</v>
      </c>
      <c r="C1008" s="39">
        <f t="shared" si="30"/>
        <v>4429163.9403696693</v>
      </c>
      <c r="D1008" s="39">
        <f t="shared" si="31"/>
        <v>3181541.0890399064</v>
      </c>
    </row>
    <row r="1009" spans="2:4" x14ac:dyDescent="0.25">
      <c r="B1009" s="90">
        <v>1005</v>
      </c>
      <c r="C1009" s="39">
        <f t="shared" ref="C1009:C1072" si="32">($C$2*B1009)+$C$1</f>
        <v>4431826.8526608739</v>
      </c>
      <c r="D1009" s="39">
        <f t="shared" ref="D1009:D1072" si="33">$D$2*B1009</f>
        <v>3184709.9546664404</v>
      </c>
    </row>
    <row r="1010" spans="2:4" x14ac:dyDescent="0.25">
      <c r="B1010" s="90">
        <v>1006</v>
      </c>
      <c r="C1010" s="39">
        <f t="shared" si="32"/>
        <v>4434489.7649520785</v>
      </c>
      <c r="D1010" s="39">
        <f t="shared" si="33"/>
        <v>3187878.8202929739</v>
      </c>
    </row>
    <row r="1011" spans="2:4" x14ac:dyDescent="0.25">
      <c r="B1011" s="90">
        <v>1007</v>
      </c>
      <c r="C1011" s="39">
        <f t="shared" si="32"/>
        <v>4437152.677243283</v>
      </c>
      <c r="D1011" s="39">
        <f t="shared" si="33"/>
        <v>3191047.6859195079</v>
      </c>
    </row>
    <row r="1012" spans="2:4" x14ac:dyDescent="0.25">
      <c r="B1012" s="90">
        <v>1008</v>
      </c>
      <c r="C1012" s="39">
        <f t="shared" si="32"/>
        <v>4439815.5895344885</v>
      </c>
      <c r="D1012" s="39">
        <f t="shared" si="33"/>
        <v>3194216.5515460414</v>
      </c>
    </row>
    <row r="1013" spans="2:4" x14ac:dyDescent="0.25">
      <c r="B1013" s="90">
        <v>1009</v>
      </c>
      <c r="C1013" s="39">
        <f t="shared" si="32"/>
        <v>4442478.501825694</v>
      </c>
      <c r="D1013" s="39">
        <f t="shared" si="33"/>
        <v>3197385.4171725754</v>
      </c>
    </row>
    <row r="1014" spans="2:4" x14ac:dyDescent="0.25">
      <c r="B1014" s="90">
        <v>1010</v>
      </c>
      <c r="C1014" s="39">
        <f t="shared" si="32"/>
        <v>4445141.4141168986</v>
      </c>
      <c r="D1014" s="39">
        <f t="shared" si="33"/>
        <v>3200554.2827991089</v>
      </c>
    </row>
    <row r="1015" spans="2:4" x14ac:dyDescent="0.25">
      <c r="B1015" s="90">
        <v>1011</v>
      </c>
      <c r="C1015" s="39">
        <f t="shared" si="32"/>
        <v>4447804.3264081031</v>
      </c>
      <c r="D1015" s="39">
        <f t="shared" si="33"/>
        <v>3203723.1484256429</v>
      </c>
    </row>
    <row r="1016" spans="2:4" x14ac:dyDescent="0.25">
      <c r="B1016" s="90">
        <v>1012</v>
      </c>
      <c r="C1016" s="39">
        <f t="shared" si="32"/>
        <v>4450467.2386993077</v>
      </c>
      <c r="D1016" s="39">
        <f t="shared" si="33"/>
        <v>3206892.0140521764</v>
      </c>
    </row>
    <row r="1017" spans="2:4" x14ac:dyDescent="0.25">
      <c r="B1017" s="90">
        <v>1013</v>
      </c>
      <c r="C1017" s="39">
        <f t="shared" si="32"/>
        <v>4453130.1509905122</v>
      </c>
      <c r="D1017" s="39">
        <f t="shared" si="33"/>
        <v>3210060.8796787104</v>
      </c>
    </row>
    <row r="1018" spans="2:4" x14ac:dyDescent="0.25">
      <c r="B1018" s="90">
        <v>1014</v>
      </c>
      <c r="C1018" s="39">
        <f t="shared" si="32"/>
        <v>4455793.0632817177</v>
      </c>
      <c r="D1018" s="39">
        <f t="shared" si="33"/>
        <v>3213229.7453052443</v>
      </c>
    </row>
    <row r="1019" spans="2:4" x14ac:dyDescent="0.25">
      <c r="B1019" s="90">
        <v>1015</v>
      </c>
      <c r="C1019" s="39">
        <f t="shared" si="32"/>
        <v>4458455.9755729223</v>
      </c>
      <c r="D1019" s="39">
        <f t="shared" si="33"/>
        <v>3216398.6109317779</v>
      </c>
    </row>
    <row r="1020" spans="2:4" x14ac:dyDescent="0.25">
      <c r="B1020" s="90">
        <v>1016</v>
      </c>
      <c r="C1020" s="39">
        <f t="shared" si="32"/>
        <v>4461118.8878641278</v>
      </c>
      <c r="D1020" s="39">
        <f t="shared" si="33"/>
        <v>3219567.4765583118</v>
      </c>
    </row>
    <row r="1021" spans="2:4" x14ac:dyDescent="0.25">
      <c r="B1021" s="90">
        <v>1017</v>
      </c>
      <c r="C1021" s="39">
        <f t="shared" si="32"/>
        <v>4463781.8001553323</v>
      </c>
      <c r="D1021" s="39">
        <f t="shared" si="33"/>
        <v>3222736.3421848454</v>
      </c>
    </row>
    <row r="1022" spans="2:4" x14ac:dyDescent="0.25">
      <c r="B1022" s="90">
        <v>1018</v>
      </c>
      <c r="C1022" s="39">
        <f t="shared" si="32"/>
        <v>4466444.7124465369</v>
      </c>
      <c r="D1022" s="39">
        <f t="shared" si="33"/>
        <v>3225905.2078113793</v>
      </c>
    </row>
    <row r="1023" spans="2:4" x14ac:dyDescent="0.25">
      <c r="B1023" s="90">
        <v>1019</v>
      </c>
      <c r="C1023" s="39">
        <f t="shared" si="32"/>
        <v>4469107.6247377414</v>
      </c>
      <c r="D1023" s="39">
        <f t="shared" si="33"/>
        <v>3229074.0734379129</v>
      </c>
    </row>
    <row r="1024" spans="2:4" x14ac:dyDescent="0.25">
      <c r="B1024" s="90">
        <v>1020</v>
      </c>
      <c r="C1024" s="39">
        <f t="shared" si="32"/>
        <v>4471770.537028946</v>
      </c>
      <c r="D1024" s="39">
        <f t="shared" si="33"/>
        <v>3232242.9390644468</v>
      </c>
    </row>
    <row r="1025" spans="2:4" x14ac:dyDescent="0.25">
      <c r="B1025" s="90">
        <v>1021</v>
      </c>
      <c r="C1025" s="39">
        <f t="shared" si="32"/>
        <v>4474433.4493201515</v>
      </c>
      <c r="D1025" s="39">
        <f t="shared" si="33"/>
        <v>3235411.8046909804</v>
      </c>
    </row>
    <row r="1026" spans="2:4" x14ac:dyDescent="0.25">
      <c r="B1026" s="90">
        <v>1022</v>
      </c>
      <c r="C1026" s="39">
        <f t="shared" si="32"/>
        <v>4477096.361611357</v>
      </c>
      <c r="D1026" s="39">
        <f t="shared" si="33"/>
        <v>3238580.6703175143</v>
      </c>
    </row>
    <row r="1027" spans="2:4" x14ac:dyDescent="0.25">
      <c r="B1027" s="90">
        <v>1023</v>
      </c>
      <c r="C1027" s="39">
        <f t="shared" si="32"/>
        <v>4479759.2739025615</v>
      </c>
      <c r="D1027" s="39">
        <f t="shared" si="33"/>
        <v>3241749.5359440478</v>
      </c>
    </row>
    <row r="1028" spans="2:4" x14ac:dyDescent="0.25">
      <c r="B1028" s="90">
        <v>1024</v>
      </c>
      <c r="C1028" s="39">
        <f t="shared" si="32"/>
        <v>4482422.1861937661</v>
      </c>
      <c r="D1028" s="39">
        <f t="shared" si="33"/>
        <v>3244918.4015705818</v>
      </c>
    </row>
    <row r="1029" spans="2:4" x14ac:dyDescent="0.25">
      <c r="B1029" s="90">
        <v>1025</v>
      </c>
      <c r="C1029" s="39">
        <f t="shared" si="32"/>
        <v>4485085.0984849706</v>
      </c>
      <c r="D1029" s="39">
        <f t="shared" si="33"/>
        <v>3248087.2671971158</v>
      </c>
    </row>
    <row r="1030" spans="2:4" x14ac:dyDescent="0.25">
      <c r="B1030" s="90">
        <v>1026</v>
      </c>
      <c r="C1030" s="39">
        <f t="shared" si="32"/>
        <v>4487748.0107761752</v>
      </c>
      <c r="D1030" s="39">
        <f t="shared" si="33"/>
        <v>3251256.1328236493</v>
      </c>
    </row>
    <row r="1031" spans="2:4" x14ac:dyDescent="0.25">
      <c r="B1031" s="90">
        <v>1027</v>
      </c>
      <c r="C1031" s="39">
        <f t="shared" si="32"/>
        <v>4490410.9230673807</v>
      </c>
      <c r="D1031" s="39">
        <f t="shared" si="33"/>
        <v>3254424.9984501833</v>
      </c>
    </row>
    <row r="1032" spans="2:4" x14ac:dyDescent="0.25">
      <c r="B1032" s="90">
        <v>1028</v>
      </c>
      <c r="C1032" s="39">
        <f t="shared" si="32"/>
        <v>4493073.8353585862</v>
      </c>
      <c r="D1032" s="39">
        <f t="shared" si="33"/>
        <v>3257593.8640767168</v>
      </c>
    </row>
    <row r="1033" spans="2:4" x14ac:dyDescent="0.25">
      <c r="B1033" s="90">
        <v>1029</v>
      </c>
      <c r="C1033" s="39">
        <f t="shared" si="32"/>
        <v>4495736.7476497907</v>
      </c>
      <c r="D1033" s="39">
        <f t="shared" si="33"/>
        <v>3260762.7297032508</v>
      </c>
    </row>
    <row r="1034" spans="2:4" x14ac:dyDescent="0.25">
      <c r="B1034" s="90">
        <v>1030</v>
      </c>
      <c r="C1034" s="39">
        <f t="shared" si="32"/>
        <v>4498399.6599409953</v>
      </c>
      <c r="D1034" s="39">
        <f t="shared" si="33"/>
        <v>3263931.5953297843</v>
      </c>
    </row>
    <row r="1035" spans="2:4" x14ac:dyDescent="0.25">
      <c r="B1035" s="90">
        <v>1031</v>
      </c>
      <c r="C1035" s="39">
        <f t="shared" si="32"/>
        <v>4501062.5722321998</v>
      </c>
      <c r="D1035" s="39">
        <f t="shared" si="33"/>
        <v>3267100.4609563183</v>
      </c>
    </row>
    <row r="1036" spans="2:4" x14ac:dyDescent="0.25">
      <c r="B1036" s="90">
        <v>1032</v>
      </c>
      <c r="C1036" s="39">
        <f t="shared" si="32"/>
        <v>4503725.4845234044</v>
      </c>
      <c r="D1036" s="39">
        <f t="shared" si="33"/>
        <v>3270269.3265828518</v>
      </c>
    </row>
    <row r="1037" spans="2:4" x14ac:dyDescent="0.25">
      <c r="B1037" s="90">
        <v>1033</v>
      </c>
      <c r="C1037" s="39">
        <f t="shared" si="32"/>
        <v>4506388.3968146099</v>
      </c>
      <c r="D1037" s="39">
        <f t="shared" si="33"/>
        <v>3273438.1922093858</v>
      </c>
    </row>
    <row r="1038" spans="2:4" x14ac:dyDescent="0.25">
      <c r="B1038" s="90">
        <v>1034</v>
      </c>
      <c r="C1038" s="39">
        <f t="shared" si="32"/>
        <v>4509051.3091058144</v>
      </c>
      <c r="D1038" s="39">
        <f t="shared" si="33"/>
        <v>3276607.0578359193</v>
      </c>
    </row>
    <row r="1039" spans="2:4" x14ac:dyDescent="0.25">
      <c r="B1039" s="90">
        <v>1035</v>
      </c>
      <c r="C1039" s="39">
        <f t="shared" si="32"/>
        <v>4511714.2213970199</v>
      </c>
      <c r="D1039" s="39">
        <f t="shared" si="33"/>
        <v>3279775.9234624533</v>
      </c>
    </row>
    <row r="1040" spans="2:4" x14ac:dyDescent="0.25">
      <c r="B1040" s="90">
        <v>1036</v>
      </c>
      <c r="C1040" s="39">
        <f t="shared" si="32"/>
        <v>4514377.1336882245</v>
      </c>
      <c r="D1040" s="39">
        <f t="shared" si="33"/>
        <v>3282944.7890889873</v>
      </c>
    </row>
    <row r="1041" spans="2:4" x14ac:dyDescent="0.25">
      <c r="B1041" s="90">
        <v>1037</v>
      </c>
      <c r="C1041" s="39">
        <f t="shared" si="32"/>
        <v>4517040.045979429</v>
      </c>
      <c r="D1041" s="39">
        <f t="shared" si="33"/>
        <v>3286113.6547155208</v>
      </c>
    </row>
    <row r="1042" spans="2:4" x14ac:dyDescent="0.25">
      <c r="B1042" s="90">
        <v>1038</v>
      </c>
      <c r="C1042" s="39">
        <f t="shared" si="32"/>
        <v>4519702.9582706336</v>
      </c>
      <c r="D1042" s="39">
        <f t="shared" si="33"/>
        <v>3289282.5203420548</v>
      </c>
    </row>
    <row r="1043" spans="2:4" x14ac:dyDescent="0.25">
      <c r="B1043" s="90">
        <v>1039</v>
      </c>
      <c r="C1043" s="39">
        <f t="shared" si="32"/>
        <v>4522365.8705618382</v>
      </c>
      <c r="D1043" s="39">
        <f t="shared" si="33"/>
        <v>3292451.3859685883</v>
      </c>
    </row>
    <row r="1044" spans="2:4" x14ac:dyDescent="0.25">
      <c r="B1044" s="90">
        <v>1040</v>
      </c>
      <c r="C1044" s="39">
        <f t="shared" si="32"/>
        <v>4525028.7828530436</v>
      </c>
      <c r="D1044" s="39">
        <f t="shared" si="33"/>
        <v>3295620.2515951223</v>
      </c>
    </row>
    <row r="1045" spans="2:4" x14ac:dyDescent="0.25">
      <c r="B1045" s="90">
        <v>1041</v>
      </c>
      <c r="C1045" s="39">
        <f t="shared" si="32"/>
        <v>4527691.6951442491</v>
      </c>
      <c r="D1045" s="39">
        <f t="shared" si="33"/>
        <v>3298789.1172216558</v>
      </c>
    </row>
    <row r="1046" spans="2:4" x14ac:dyDescent="0.25">
      <c r="B1046" s="90">
        <v>1042</v>
      </c>
      <c r="C1046" s="39">
        <f t="shared" si="32"/>
        <v>4530354.6074354537</v>
      </c>
      <c r="D1046" s="39">
        <f t="shared" si="33"/>
        <v>3301957.9828481898</v>
      </c>
    </row>
    <row r="1047" spans="2:4" x14ac:dyDescent="0.25">
      <c r="B1047" s="90">
        <v>1043</v>
      </c>
      <c r="C1047" s="39">
        <f t="shared" si="32"/>
        <v>4533017.5197266582</v>
      </c>
      <c r="D1047" s="39">
        <f t="shared" si="33"/>
        <v>3305126.8484747233</v>
      </c>
    </row>
    <row r="1048" spans="2:4" x14ac:dyDescent="0.25">
      <c r="B1048" s="90">
        <v>1044</v>
      </c>
      <c r="C1048" s="39">
        <f t="shared" si="32"/>
        <v>4535680.4320178628</v>
      </c>
      <c r="D1048" s="39">
        <f t="shared" si="33"/>
        <v>3308295.7141012573</v>
      </c>
    </row>
    <row r="1049" spans="2:4" x14ac:dyDescent="0.25">
      <c r="B1049" s="90">
        <v>1045</v>
      </c>
      <c r="C1049" s="39">
        <f t="shared" si="32"/>
        <v>4538343.3443090674</v>
      </c>
      <c r="D1049" s="39">
        <f t="shared" si="33"/>
        <v>3311464.5797277912</v>
      </c>
    </row>
    <row r="1050" spans="2:4" x14ac:dyDescent="0.25">
      <c r="B1050" s="90">
        <v>1046</v>
      </c>
      <c r="C1050" s="39">
        <f t="shared" si="32"/>
        <v>4541006.2566002728</v>
      </c>
      <c r="D1050" s="39">
        <f t="shared" si="33"/>
        <v>3314633.4453543248</v>
      </c>
    </row>
    <row r="1051" spans="2:4" x14ac:dyDescent="0.25">
      <c r="B1051" s="90">
        <v>1047</v>
      </c>
      <c r="C1051" s="39">
        <f t="shared" si="32"/>
        <v>4543669.1688914774</v>
      </c>
      <c r="D1051" s="39">
        <f t="shared" si="33"/>
        <v>3317802.3109808587</v>
      </c>
    </row>
    <row r="1052" spans="2:4" x14ac:dyDescent="0.25">
      <c r="B1052" s="90">
        <v>1048</v>
      </c>
      <c r="C1052" s="39">
        <f t="shared" si="32"/>
        <v>4546332.0811826829</v>
      </c>
      <c r="D1052" s="39">
        <f t="shared" si="33"/>
        <v>3320971.1766073923</v>
      </c>
    </row>
    <row r="1053" spans="2:4" x14ac:dyDescent="0.25">
      <c r="B1053" s="90">
        <v>1049</v>
      </c>
      <c r="C1053" s="39">
        <f t="shared" si="32"/>
        <v>4548994.9934738874</v>
      </c>
      <c r="D1053" s="39">
        <f t="shared" si="33"/>
        <v>3324140.0422339262</v>
      </c>
    </row>
    <row r="1054" spans="2:4" x14ac:dyDescent="0.25">
      <c r="B1054" s="90">
        <v>1050</v>
      </c>
      <c r="C1054" s="39">
        <f t="shared" si="32"/>
        <v>4551657.905765092</v>
      </c>
      <c r="D1054" s="39">
        <f t="shared" si="33"/>
        <v>3327308.9078604598</v>
      </c>
    </row>
    <row r="1055" spans="2:4" x14ac:dyDescent="0.25">
      <c r="B1055" s="90">
        <v>1051</v>
      </c>
      <c r="C1055" s="39">
        <f t="shared" si="32"/>
        <v>4554320.8180562966</v>
      </c>
      <c r="D1055" s="39">
        <f t="shared" si="33"/>
        <v>3330477.7734869937</v>
      </c>
    </row>
    <row r="1056" spans="2:4" x14ac:dyDescent="0.25">
      <c r="B1056" s="90">
        <v>1052</v>
      </c>
      <c r="C1056" s="39">
        <f t="shared" si="32"/>
        <v>4556983.730347502</v>
      </c>
      <c r="D1056" s="39">
        <f t="shared" si="33"/>
        <v>3333646.6391135273</v>
      </c>
    </row>
    <row r="1057" spans="2:4" x14ac:dyDescent="0.25">
      <c r="B1057" s="90">
        <v>1053</v>
      </c>
      <c r="C1057" s="39">
        <f t="shared" si="32"/>
        <v>4559646.6426387066</v>
      </c>
      <c r="D1057" s="39">
        <f t="shared" si="33"/>
        <v>3336815.5047400612</v>
      </c>
    </row>
    <row r="1058" spans="2:4" x14ac:dyDescent="0.25">
      <c r="B1058" s="90">
        <v>1054</v>
      </c>
      <c r="C1058" s="39">
        <f t="shared" si="32"/>
        <v>4562309.5549299121</v>
      </c>
      <c r="D1058" s="39">
        <f t="shared" si="33"/>
        <v>3339984.3703665948</v>
      </c>
    </row>
    <row r="1059" spans="2:4" x14ac:dyDescent="0.25">
      <c r="B1059" s="90">
        <v>1055</v>
      </c>
      <c r="C1059" s="39">
        <f t="shared" si="32"/>
        <v>4564972.4672211166</v>
      </c>
      <c r="D1059" s="39">
        <f t="shared" si="33"/>
        <v>3343153.2359931287</v>
      </c>
    </row>
    <row r="1060" spans="2:4" x14ac:dyDescent="0.25">
      <c r="B1060" s="90">
        <v>1056</v>
      </c>
      <c r="C1060" s="39">
        <f t="shared" si="32"/>
        <v>4567635.3795123212</v>
      </c>
      <c r="D1060" s="39">
        <f t="shared" si="33"/>
        <v>3346322.1016196627</v>
      </c>
    </row>
    <row r="1061" spans="2:4" x14ac:dyDescent="0.25">
      <c r="B1061" s="90">
        <v>1057</v>
      </c>
      <c r="C1061" s="39">
        <f t="shared" si="32"/>
        <v>4570298.2918035258</v>
      </c>
      <c r="D1061" s="39">
        <f t="shared" si="33"/>
        <v>3349490.9672461962</v>
      </c>
    </row>
    <row r="1062" spans="2:4" x14ac:dyDescent="0.25">
      <c r="B1062" s="90">
        <v>1058</v>
      </c>
      <c r="C1062" s="39">
        <f t="shared" si="32"/>
        <v>4572961.2040947303</v>
      </c>
      <c r="D1062" s="39">
        <f t="shared" si="33"/>
        <v>3352659.8328727302</v>
      </c>
    </row>
    <row r="1063" spans="2:4" x14ac:dyDescent="0.25">
      <c r="B1063" s="90">
        <v>1059</v>
      </c>
      <c r="C1063" s="39">
        <f t="shared" si="32"/>
        <v>4575624.1163859358</v>
      </c>
      <c r="D1063" s="39">
        <f t="shared" si="33"/>
        <v>3355828.6984992637</v>
      </c>
    </row>
    <row r="1064" spans="2:4" x14ac:dyDescent="0.25">
      <c r="B1064" s="90">
        <v>1060</v>
      </c>
      <c r="C1064" s="39">
        <f t="shared" si="32"/>
        <v>4578287.0286771413</v>
      </c>
      <c r="D1064" s="39">
        <f t="shared" si="33"/>
        <v>3358997.5641257977</v>
      </c>
    </row>
    <row r="1065" spans="2:4" x14ac:dyDescent="0.25">
      <c r="B1065" s="90">
        <v>1061</v>
      </c>
      <c r="C1065" s="39">
        <f t="shared" si="32"/>
        <v>4580949.9409683459</v>
      </c>
      <c r="D1065" s="39">
        <f t="shared" si="33"/>
        <v>3362166.4297523312</v>
      </c>
    </row>
    <row r="1066" spans="2:4" x14ac:dyDescent="0.25">
      <c r="B1066" s="90">
        <v>1062</v>
      </c>
      <c r="C1066" s="39">
        <f t="shared" si="32"/>
        <v>4583612.8532595504</v>
      </c>
      <c r="D1066" s="39">
        <f t="shared" si="33"/>
        <v>3365335.2953788652</v>
      </c>
    </row>
    <row r="1067" spans="2:4" x14ac:dyDescent="0.25">
      <c r="B1067" s="90">
        <v>1063</v>
      </c>
      <c r="C1067" s="39">
        <f t="shared" si="32"/>
        <v>4586275.765550755</v>
      </c>
      <c r="D1067" s="39">
        <f t="shared" si="33"/>
        <v>3368504.1610053987</v>
      </c>
    </row>
    <row r="1068" spans="2:4" x14ac:dyDescent="0.25">
      <c r="B1068" s="90">
        <v>1064</v>
      </c>
      <c r="C1068" s="39">
        <f t="shared" si="32"/>
        <v>4588938.6778419595</v>
      </c>
      <c r="D1068" s="39">
        <f t="shared" si="33"/>
        <v>3371673.0266319327</v>
      </c>
    </row>
    <row r="1069" spans="2:4" x14ac:dyDescent="0.25">
      <c r="B1069" s="90">
        <v>1065</v>
      </c>
      <c r="C1069" s="39">
        <f t="shared" si="32"/>
        <v>4591601.590133165</v>
      </c>
      <c r="D1069" s="39">
        <f t="shared" si="33"/>
        <v>3374841.8922584667</v>
      </c>
    </row>
    <row r="1070" spans="2:4" x14ac:dyDescent="0.25">
      <c r="B1070" s="90">
        <v>1066</v>
      </c>
      <c r="C1070" s="39">
        <f t="shared" si="32"/>
        <v>4594264.5024243696</v>
      </c>
      <c r="D1070" s="39">
        <f t="shared" si="33"/>
        <v>3378010.7578850002</v>
      </c>
    </row>
    <row r="1071" spans="2:4" x14ac:dyDescent="0.25">
      <c r="B1071" s="90">
        <v>1067</v>
      </c>
      <c r="C1071" s="39">
        <f t="shared" si="32"/>
        <v>4596927.4147155751</v>
      </c>
      <c r="D1071" s="39">
        <f t="shared" si="33"/>
        <v>3381179.6235115342</v>
      </c>
    </row>
    <row r="1072" spans="2:4" x14ac:dyDescent="0.25">
      <c r="B1072" s="90">
        <v>1068</v>
      </c>
      <c r="C1072" s="39">
        <f t="shared" si="32"/>
        <v>4599590.3270067796</v>
      </c>
      <c r="D1072" s="39">
        <f t="shared" si="33"/>
        <v>3384348.4891380677</v>
      </c>
    </row>
    <row r="1073" spans="2:4" x14ac:dyDescent="0.25">
      <c r="B1073" s="90">
        <v>1069</v>
      </c>
      <c r="C1073" s="39">
        <f t="shared" ref="C1073:C1136" si="34">($C$2*B1073)+$C$1</f>
        <v>4602253.2392979842</v>
      </c>
      <c r="D1073" s="39">
        <f t="shared" ref="D1073:D1136" si="35">$D$2*B1073</f>
        <v>3387517.3547646017</v>
      </c>
    </row>
    <row r="1074" spans="2:4" x14ac:dyDescent="0.25">
      <c r="B1074" s="90">
        <v>1070</v>
      </c>
      <c r="C1074" s="39">
        <f t="shared" si="34"/>
        <v>4604916.1515891887</v>
      </c>
      <c r="D1074" s="39">
        <f t="shared" si="35"/>
        <v>3390686.2203911352</v>
      </c>
    </row>
    <row r="1075" spans="2:4" x14ac:dyDescent="0.25">
      <c r="B1075" s="90">
        <v>1071</v>
      </c>
      <c r="C1075" s="39">
        <f t="shared" si="34"/>
        <v>4607579.0638803942</v>
      </c>
      <c r="D1075" s="39">
        <f t="shared" si="35"/>
        <v>3393855.0860176692</v>
      </c>
    </row>
    <row r="1076" spans="2:4" x14ac:dyDescent="0.25">
      <c r="B1076" s="90">
        <v>1072</v>
      </c>
      <c r="C1076" s="39">
        <f t="shared" si="34"/>
        <v>4610241.9761715988</v>
      </c>
      <c r="D1076" s="39">
        <f t="shared" si="35"/>
        <v>3397023.9516442027</v>
      </c>
    </row>
    <row r="1077" spans="2:4" x14ac:dyDescent="0.25">
      <c r="B1077" s="90">
        <v>1073</v>
      </c>
      <c r="C1077" s="39">
        <f t="shared" si="34"/>
        <v>4612904.8884628043</v>
      </c>
      <c r="D1077" s="39">
        <f t="shared" si="35"/>
        <v>3400192.8172707367</v>
      </c>
    </row>
    <row r="1078" spans="2:4" x14ac:dyDescent="0.25">
      <c r="B1078" s="90">
        <v>1074</v>
      </c>
      <c r="C1078" s="39">
        <f t="shared" si="34"/>
        <v>4615567.8007540088</v>
      </c>
      <c r="D1078" s="39">
        <f t="shared" si="35"/>
        <v>3403361.6828972702</v>
      </c>
    </row>
    <row r="1079" spans="2:4" x14ac:dyDescent="0.25">
      <c r="B1079" s="90">
        <v>1075</v>
      </c>
      <c r="C1079" s="39">
        <f t="shared" si="34"/>
        <v>4618230.7130452134</v>
      </c>
      <c r="D1079" s="39">
        <f t="shared" si="35"/>
        <v>3406530.5485238042</v>
      </c>
    </row>
    <row r="1080" spans="2:4" x14ac:dyDescent="0.25">
      <c r="B1080" s="90">
        <v>1076</v>
      </c>
      <c r="C1080" s="39">
        <f t="shared" si="34"/>
        <v>4620893.6253364179</v>
      </c>
      <c r="D1080" s="39">
        <f t="shared" si="35"/>
        <v>3409699.4141503382</v>
      </c>
    </row>
    <row r="1081" spans="2:4" x14ac:dyDescent="0.25">
      <c r="B1081" s="90">
        <v>1077</v>
      </c>
      <c r="C1081" s="39">
        <f t="shared" si="34"/>
        <v>4623556.5376276225</v>
      </c>
      <c r="D1081" s="39">
        <f t="shared" si="35"/>
        <v>3412868.2797768717</v>
      </c>
    </row>
    <row r="1082" spans="2:4" x14ac:dyDescent="0.25">
      <c r="B1082" s="90">
        <v>1078</v>
      </c>
      <c r="C1082" s="39">
        <f t="shared" si="34"/>
        <v>4626219.449918828</v>
      </c>
      <c r="D1082" s="39">
        <f t="shared" si="35"/>
        <v>3416037.1454034057</v>
      </c>
    </row>
    <row r="1083" spans="2:4" x14ac:dyDescent="0.25">
      <c r="B1083" s="90">
        <v>1079</v>
      </c>
      <c r="C1083" s="39">
        <f t="shared" si="34"/>
        <v>4628882.3622100335</v>
      </c>
      <c r="D1083" s="39">
        <f t="shared" si="35"/>
        <v>3419206.0110299392</v>
      </c>
    </row>
    <row r="1084" spans="2:4" x14ac:dyDescent="0.25">
      <c r="B1084" s="90">
        <v>1080</v>
      </c>
      <c r="C1084" s="39">
        <f t="shared" si="34"/>
        <v>4631545.274501238</v>
      </c>
      <c r="D1084" s="39">
        <f t="shared" si="35"/>
        <v>3422374.8766564731</v>
      </c>
    </row>
    <row r="1085" spans="2:4" x14ac:dyDescent="0.25">
      <c r="B1085" s="90">
        <v>1081</v>
      </c>
      <c r="C1085" s="39">
        <f t="shared" si="34"/>
        <v>4634208.1867924426</v>
      </c>
      <c r="D1085" s="39">
        <f t="shared" si="35"/>
        <v>3425543.7422830067</v>
      </c>
    </row>
    <row r="1086" spans="2:4" x14ac:dyDescent="0.25">
      <c r="B1086" s="90">
        <v>1082</v>
      </c>
      <c r="C1086" s="39">
        <f t="shared" si="34"/>
        <v>4636871.0990836471</v>
      </c>
      <c r="D1086" s="39">
        <f t="shared" si="35"/>
        <v>3428712.6079095406</v>
      </c>
    </row>
    <row r="1087" spans="2:4" x14ac:dyDescent="0.25">
      <c r="B1087" s="90">
        <v>1083</v>
      </c>
      <c r="C1087" s="39">
        <f t="shared" si="34"/>
        <v>4639534.0113748517</v>
      </c>
      <c r="D1087" s="39">
        <f t="shared" si="35"/>
        <v>3431881.4735360742</v>
      </c>
    </row>
    <row r="1088" spans="2:4" x14ac:dyDescent="0.25">
      <c r="B1088" s="90">
        <v>1084</v>
      </c>
      <c r="C1088" s="39">
        <f t="shared" si="34"/>
        <v>4642196.9236660572</v>
      </c>
      <c r="D1088" s="39">
        <f t="shared" si="35"/>
        <v>3435050.3391626081</v>
      </c>
    </row>
    <row r="1089" spans="2:4" x14ac:dyDescent="0.25">
      <c r="B1089" s="90">
        <v>1085</v>
      </c>
      <c r="C1089" s="39">
        <f t="shared" si="34"/>
        <v>4644859.8359572617</v>
      </c>
      <c r="D1089" s="39">
        <f t="shared" si="35"/>
        <v>3438219.2047891417</v>
      </c>
    </row>
    <row r="1090" spans="2:4" x14ac:dyDescent="0.25">
      <c r="B1090" s="90">
        <v>1086</v>
      </c>
      <c r="C1090" s="39">
        <f t="shared" si="34"/>
        <v>4647522.7482484672</v>
      </c>
      <c r="D1090" s="39">
        <f t="shared" si="35"/>
        <v>3441388.0704156756</v>
      </c>
    </row>
    <row r="1091" spans="2:4" x14ac:dyDescent="0.25">
      <c r="B1091" s="90">
        <v>1087</v>
      </c>
      <c r="C1091" s="39">
        <f t="shared" si="34"/>
        <v>4650185.6605396718</v>
      </c>
      <c r="D1091" s="39">
        <f t="shared" si="35"/>
        <v>3444556.9360422096</v>
      </c>
    </row>
    <row r="1092" spans="2:4" x14ac:dyDescent="0.25">
      <c r="B1092" s="90">
        <v>1088</v>
      </c>
      <c r="C1092" s="39">
        <f t="shared" si="34"/>
        <v>4652848.5728308763</v>
      </c>
      <c r="D1092" s="39">
        <f t="shared" si="35"/>
        <v>3447725.8016687431</v>
      </c>
    </row>
    <row r="1093" spans="2:4" x14ac:dyDescent="0.25">
      <c r="B1093" s="90">
        <v>1089</v>
      </c>
      <c r="C1093" s="39">
        <f t="shared" si="34"/>
        <v>4655511.4851220809</v>
      </c>
      <c r="D1093" s="39">
        <f t="shared" si="35"/>
        <v>3450894.6672952771</v>
      </c>
    </row>
    <row r="1094" spans="2:4" x14ac:dyDescent="0.25">
      <c r="B1094" s="90">
        <v>1090</v>
      </c>
      <c r="C1094" s="39">
        <f t="shared" si="34"/>
        <v>4658174.3974132864</v>
      </c>
      <c r="D1094" s="39">
        <f t="shared" si="35"/>
        <v>3454063.5329218106</v>
      </c>
    </row>
    <row r="1095" spans="2:4" x14ac:dyDescent="0.25">
      <c r="B1095" s="90">
        <v>1091</v>
      </c>
      <c r="C1095" s="39">
        <f t="shared" si="34"/>
        <v>4660837.3097044909</v>
      </c>
      <c r="D1095" s="39">
        <f t="shared" si="35"/>
        <v>3457232.3985483446</v>
      </c>
    </row>
    <row r="1096" spans="2:4" x14ac:dyDescent="0.25">
      <c r="B1096" s="90">
        <v>1092</v>
      </c>
      <c r="C1096" s="39">
        <f t="shared" si="34"/>
        <v>4663500.2219956964</v>
      </c>
      <c r="D1096" s="39">
        <f t="shared" si="35"/>
        <v>3460401.2641748781</v>
      </c>
    </row>
    <row r="1097" spans="2:4" x14ac:dyDescent="0.25">
      <c r="B1097" s="90">
        <v>1093</v>
      </c>
      <c r="C1097" s="39">
        <f t="shared" si="34"/>
        <v>4666163.134286901</v>
      </c>
      <c r="D1097" s="39">
        <f t="shared" si="35"/>
        <v>3463570.1298014121</v>
      </c>
    </row>
    <row r="1098" spans="2:4" x14ac:dyDescent="0.25">
      <c r="B1098" s="90">
        <v>1094</v>
      </c>
      <c r="C1098" s="39">
        <f t="shared" si="34"/>
        <v>4668826.0465781055</v>
      </c>
      <c r="D1098" s="39">
        <f t="shared" si="35"/>
        <v>3466738.9954279456</v>
      </c>
    </row>
    <row r="1099" spans="2:4" x14ac:dyDescent="0.25">
      <c r="B1099" s="90">
        <v>1095</v>
      </c>
      <c r="C1099" s="39">
        <f t="shared" si="34"/>
        <v>4671488.9588693101</v>
      </c>
      <c r="D1099" s="39">
        <f t="shared" si="35"/>
        <v>3469907.8610544796</v>
      </c>
    </row>
    <row r="1100" spans="2:4" x14ac:dyDescent="0.25">
      <c r="B1100" s="90">
        <v>1096</v>
      </c>
      <c r="C1100" s="39">
        <f t="shared" si="34"/>
        <v>4674151.8711605147</v>
      </c>
      <c r="D1100" s="39">
        <f t="shared" si="35"/>
        <v>3473076.7266810136</v>
      </c>
    </row>
    <row r="1101" spans="2:4" x14ac:dyDescent="0.25">
      <c r="B1101" s="90">
        <v>1097</v>
      </c>
      <c r="C1101" s="39">
        <f t="shared" si="34"/>
        <v>4676814.7834517201</v>
      </c>
      <c r="D1101" s="39">
        <f t="shared" si="35"/>
        <v>3476245.5923075471</v>
      </c>
    </row>
    <row r="1102" spans="2:4" x14ac:dyDescent="0.25">
      <c r="B1102" s="90">
        <v>1098</v>
      </c>
      <c r="C1102" s="39">
        <f t="shared" si="34"/>
        <v>4679477.6957429256</v>
      </c>
      <c r="D1102" s="39">
        <f t="shared" si="35"/>
        <v>3479414.4579340811</v>
      </c>
    </row>
    <row r="1103" spans="2:4" x14ac:dyDescent="0.25">
      <c r="B1103" s="90">
        <v>1099</v>
      </c>
      <c r="C1103" s="39">
        <f t="shared" si="34"/>
        <v>4682140.6080341302</v>
      </c>
      <c r="D1103" s="39">
        <f t="shared" si="35"/>
        <v>3482583.3235606146</v>
      </c>
    </row>
    <row r="1104" spans="2:4" x14ac:dyDescent="0.25">
      <c r="B1104" s="90">
        <v>1100</v>
      </c>
      <c r="C1104" s="39">
        <f t="shared" si="34"/>
        <v>4684803.5203253347</v>
      </c>
      <c r="D1104" s="39">
        <f t="shared" si="35"/>
        <v>3485752.1891871486</v>
      </c>
    </row>
    <row r="1105" spans="2:4" x14ac:dyDescent="0.25">
      <c r="B1105" s="90">
        <v>1101</v>
      </c>
      <c r="C1105" s="39">
        <f t="shared" si="34"/>
        <v>4687466.4326165393</v>
      </c>
      <c r="D1105" s="39">
        <f t="shared" si="35"/>
        <v>3488921.0548136821</v>
      </c>
    </row>
    <row r="1106" spans="2:4" x14ac:dyDescent="0.25">
      <c r="B1106" s="90">
        <v>1102</v>
      </c>
      <c r="C1106" s="39">
        <f t="shared" si="34"/>
        <v>4690129.3449077439</v>
      </c>
      <c r="D1106" s="39">
        <f t="shared" si="35"/>
        <v>3492089.9204402161</v>
      </c>
    </row>
    <row r="1107" spans="2:4" x14ac:dyDescent="0.25">
      <c r="B1107" s="90">
        <v>1103</v>
      </c>
      <c r="C1107" s="39">
        <f t="shared" si="34"/>
        <v>4692792.2571989493</v>
      </c>
      <c r="D1107" s="39">
        <f t="shared" si="35"/>
        <v>3495258.7860667496</v>
      </c>
    </row>
    <row r="1108" spans="2:4" x14ac:dyDescent="0.25">
      <c r="B1108" s="90">
        <v>1104</v>
      </c>
      <c r="C1108" s="39">
        <f t="shared" si="34"/>
        <v>4695455.1694901539</v>
      </c>
      <c r="D1108" s="39">
        <f t="shared" si="35"/>
        <v>3498427.6516932836</v>
      </c>
    </row>
    <row r="1109" spans="2:4" x14ac:dyDescent="0.25">
      <c r="B1109" s="90">
        <v>1105</v>
      </c>
      <c r="C1109" s="39">
        <f t="shared" si="34"/>
        <v>4698118.0817813594</v>
      </c>
      <c r="D1109" s="39">
        <f t="shared" si="35"/>
        <v>3501596.5173198171</v>
      </c>
    </row>
    <row r="1110" spans="2:4" x14ac:dyDescent="0.25">
      <c r="B1110" s="90">
        <v>1106</v>
      </c>
      <c r="C1110" s="39">
        <f t="shared" si="34"/>
        <v>4700780.9940725639</v>
      </c>
      <c r="D1110" s="39">
        <f t="shared" si="35"/>
        <v>3504765.3829463511</v>
      </c>
    </row>
    <row r="1111" spans="2:4" x14ac:dyDescent="0.25">
      <c r="B1111" s="90">
        <v>1107</v>
      </c>
      <c r="C1111" s="39">
        <f t="shared" si="34"/>
        <v>4703443.9063637685</v>
      </c>
      <c r="D1111" s="39">
        <f t="shared" si="35"/>
        <v>3507934.2485728851</v>
      </c>
    </row>
    <row r="1112" spans="2:4" x14ac:dyDescent="0.25">
      <c r="B1112" s="90">
        <v>1108</v>
      </c>
      <c r="C1112" s="39">
        <f t="shared" si="34"/>
        <v>4706106.8186549731</v>
      </c>
      <c r="D1112" s="39">
        <f t="shared" si="35"/>
        <v>3511103.1141994186</v>
      </c>
    </row>
    <row r="1113" spans="2:4" x14ac:dyDescent="0.25">
      <c r="B1113" s="90">
        <v>1109</v>
      </c>
      <c r="C1113" s="39">
        <f t="shared" si="34"/>
        <v>4708769.7309461776</v>
      </c>
      <c r="D1113" s="39">
        <f t="shared" si="35"/>
        <v>3514271.9798259526</v>
      </c>
    </row>
    <row r="1114" spans="2:4" x14ac:dyDescent="0.25">
      <c r="B1114" s="90">
        <v>1110</v>
      </c>
      <c r="C1114" s="39">
        <f t="shared" si="34"/>
        <v>4711432.6432373831</v>
      </c>
      <c r="D1114" s="39">
        <f t="shared" si="35"/>
        <v>3517440.8454524861</v>
      </c>
    </row>
    <row r="1115" spans="2:4" x14ac:dyDescent="0.25">
      <c r="B1115" s="90">
        <v>1111</v>
      </c>
      <c r="C1115" s="39">
        <f t="shared" si="34"/>
        <v>4714095.5555285886</v>
      </c>
      <c r="D1115" s="39">
        <f t="shared" si="35"/>
        <v>3520609.7110790201</v>
      </c>
    </row>
    <row r="1116" spans="2:4" x14ac:dyDescent="0.25">
      <c r="B1116" s="90">
        <v>1112</v>
      </c>
      <c r="C1116" s="39">
        <f t="shared" si="34"/>
        <v>4716758.4678197931</v>
      </c>
      <c r="D1116" s="39">
        <f t="shared" si="35"/>
        <v>3523778.5767055536</v>
      </c>
    </row>
    <row r="1117" spans="2:4" x14ac:dyDescent="0.25">
      <c r="B1117" s="90">
        <v>1113</v>
      </c>
      <c r="C1117" s="39">
        <f t="shared" si="34"/>
        <v>4719421.3801109977</v>
      </c>
      <c r="D1117" s="39">
        <f t="shared" si="35"/>
        <v>3526947.4423320876</v>
      </c>
    </row>
    <row r="1118" spans="2:4" x14ac:dyDescent="0.25">
      <c r="B1118" s="90">
        <v>1114</v>
      </c>
      <c r="C1118" s="39">
        <f t="shared" si="34"/>
        <v>4722084.2924022023</v>
      </c>
      <c r="D1118" s="39">
        <f t="shared" si="35"/>
        <v>3530116.3079586211</v>
      </c>
    </row>
    <row r="1119" spans="2:4" x14ac:dyDescent="0.25">
      <c r="B1119" s="90">
        <v>1115</v>
      </c>
      <c r="C1119" s="39">
        <f t="shared" si="34"/>
        <v>4724747.2046934068</v>
      </c>
      <c r="D1119" s="39">
        <f t="shared" si="35"/>
        <v>3533285.173585155</v>
      </c>
    </row>
    <row r="1120" spans="2:4" x14ac:dyDescent="0.25">
      <c r="B1120" s="90">
        <v>1116</v>
      </c>
      <c r="C1120" s="39">
        <f t="shared" si="34"/>
        <v>4727410.1169846123</v>
      </c>
      <c r="D1120" s="39">
        <f t="shared" si="35"/>
        <v>3536454.0392116886</v>
      </c>
    </row>
    <row r="1121" spans="2:4" x14ac:dyDescent="0.25">
      <c r="B1121" s="90">
        <v>1117</v>
      </c>
      <c r="C1121" s="39">
        <f t="shared" si="34"/>
        <v>4730073.0292758169</v>
      </c>
      <c r="D1121" s="39">
        <f t="shared" si="35"/>
        <v>3539622.9048382225</v>
      </c>
    </row>
    <row r="1122" spans="2:4" x14ac:dyDescent="0.25">
      <c r="B1122" s="90">
        <v>1118</v>
      </c>
      <c r="C1122" s="39">
        <f t="shared" si="34"/>
        <v>4732735.9415670224</v>
      </c>
      <c r="D1122" s="39">
        <f t="shared" si="35"/>
        <v>3542791.7704647565</v>
      </c>
    </row>
    <row r="1123" spans="2:4" x14ac:dyDescent="0.25">
      <c r="B1123" s="90">
        <v>1119</v>
      </c>
      <c r="C1123" s="39">
        <f t="shared" si="34"/>
        <v>4735398.8538582269</v>
      </c>
      <c r="D1123" s="39">
        <f t="shared" si="35"/>
        <v>3545960.63609129</v>
      </c>
    </row>
    <row r="1124" spans="2:4" x14ac:dyDescent="0.25">
      <c r="B1124" s="90">
        <v>1120</v>
      </c>
      <c r="C1124" s="39">
        <f t="shared" si="34"/>
        <v>4738061.7661494315</v>
      </c>
      <c r="D1124" s="39">
        <f t="shared" si="35"/>
        <v>3549129.501717824</v>
      </c>
    </row>
    <row r="1125" spans="2:4" x14ac:dyDescent="0.25">
      <c r="B1125" s="90">
        <v>1121</v>
      </c>
      <c r="C1125" s="39">
        <f t="shared" si="34"/>
        <v>4740724.678440636</v>
      </c>
      <c r="D1125" s="39">
        <f t="shared" si="35"/>
        <v>3552298.3673443575</v>
      </c>
    </row>
    <row r="1126" spans="2:4" x14ac:dyDescent="0.25">
      <c r="B1126" s="90">
        <v>1122</v>
      </c>
      <c r="C1126" s="39">
        <f t="shared" si="34"/>
        <v>4743387.5907318415</v>
      </c>
      <c r="D1126" s="39">
        <f t="shared" si="35"/>
        <v>3555467.2329708915</v>
      </c>
    </row>
    <row r="1127" spans="2:4" x14ac:dyDescent="0.25">
      <c r="B1127" s="90">
        <v>1123</v>
      </c>
      <c r="C1127" s="39">
        <f t="shared" si="34"/>
        <v>4746050.5030230461</v>
      </c>
      <c r="D1127" s="39">
        <f t="shared" si="35"/>
        <v>3558636.098597425</v>
      </c>
    </row>
    <row r="1128" spans="2:4" x14ac:dyDescent="0.25">
      <c r="B1128" s="90">
        <v>1124</v>
      </c>
      <c r="C1128" s="39">
        <f t="shared" si="34"/>
        <v>4748713.4153142516</v>
      </c>
      <c r="D1128" s="39">
        <f t="shared" si="35"/>
        <v>3561804.964223959</v>
      </c>
    </row>
    <row r="1129" spans="2:4" x14ac:dyDescent="0.25">
      <c r="B1129" s="90">
        <v>1125</v>
      </c>
      <c r="C1129" s="39">
        <f t="shared" si="34"/>
        <v>4751376.3276054561</v>
      </c>
      <c r="D1129" s="39">
        <f t="shared" si="35"/>
        <v>3564973.8298504925</v>
      </c>
    </row>
    <row r="1130" spans="2:4" x14ac:dyDescent="0.25">
      <c r="B1130" s="90">
        <v>1126</v>
      </c>
      <c r="C1130" s="39">
        <f t="shared" si="34"/>
        <v>4754039.2398966607</v>
      </c>
      <c r="D1130" s="39">
        <f t="shared" si="35"/>
        <v>3568142.6954770265</v>
      </c>
    </row>
    <row r="1131" spans="2:4" x14ac:dyDescent="0.25">
      <c r="B1131" s="90">
        <v>1127</v>
      </c>
      <c r="C1131" s="39">
        <f t="shared" si="34"/>
        <v>4756702.1521878652</v>
      </c>
      <c r="D1131" s="39">
        <f t="shared" si="35"/>
        <v>3571311.5611035605</v>
      </c>
    </row>
    <row r="1132" spans="2:4" x14ac:dyDescent="0.25">
      <c r="B1132" s="90">
        <v>1128</v>
      </c>
      <c r="C1132" s="39">
        <f t="shared" si="34"/>
        <v>4759365.0644790698</v>
      </c>
      <c r="D1132" s="39">
        <f t="shared" si="35"/>
        <v>3574480.426730094</v>
      </c>
    </row>
    <row r="1133" spans="2:4" x14ac:dyDescent="0.25">
      <c r="B1133" s="90">
        <v>1129</v>
      </c>
      <c r="C1133" s="39">
        <f t="shared" si="34"/>
        <v>4762027.9767702753</v>
      </c>
      <c r="D1133" s="39">
        <f t="shared" si="35"/>
        <v>3577649.292356628</v>
      </c>
    </row>
    <row r="1134" spans="2:4" x14ac:dyDescent="0.25">
      <c r="B1134" s="90">
        <v>1130</v>
      </c>
      <c r="C1134" s="39">
        <f t="shared" si="34"/>
        <v>4764690.8890614808</v>
      </c>
      <c r="D1134" s="39">
        <f t="shared" si="35"/>
        <v>3580818.1579831615</v>
      </c>
    </row>
    <row r="1135" spans="2:4" x14ac:dyDescent="0.25">
      <c r="B1135" s="90">
        <v>1131</v>
      </c>
      <c r="C1135" s="39">
        <f t="shared" si="34"/>
        <v>4767353.8013526853</v>
      </c>
      <c r="D1135" s="39">
        <f t="shared" si="35"/>
        <v>3583987.0236096955</v>
      </c>
    </row>
    <row r="1136" spans="2:4" x14ac:dyDescent="0.25">
      <c r="B1136" s="90">
        <v>1132</v>
      </c>
      <c r="C1136" s="39">
        <f t="shared" si="34"/>
        <v>4770016.7136438899</v>
      </c>
      <c r="D1136" s="39">
        <f t="shared" si="35"/>
        <v>3587155.889236229</v>
      </c>
    </row>
    <row r="1137" spans="2:4" x14ac:dyDescent="0.25">
      <c r="B1137" s="90">
        <v>1133</v>
      </c>
      <c r="C1137" s="39">
        <f t="shared" ref="C1137:C1200" si="36">($C$2*B1137)+$C$1</f>
        <v>4772679.6259350944</v>
      </c>
      <c r="D1137" s="39">
        <f t="shared" ref="D1137:D1200" si="37">$D$2*B1137</f>
        <v>3590324.754862763</v>
      </c>
    </row>
    <row r="1138" spans="2:4" x14ac:dyDescent="0.25">
      <c r="B1138" s="90">
        <v>1134</v>
      </c>
      <c r="C1138" s="39">
        <f t="shared" si="36"/>
        <v>4775342.538226299</v>
      </c>
      <c r="D1138" s="39">
        <f t="shared" si="37"/>
        <v>3593493.6204892965</v>
      </c>
    </row>
    <row r="1139" spans="2:4" x14ac:dyDescent="0.25">
      <c r="B1139" s="90">
        <v>1135</v>
      </c>
      <c r="C1139" s="39">
        <f t="shared" si="36"/>
        <v>4778005.4505175045</v>
      </c>
      <c r="D1139" s="39">
        <f t="shared" si="37"/>
        <v>3596662.4861158305</v>
      </c>
    </row>
    <row r="1140" spans="2:4" x14ac:dyDescent="0.25">
      <c r="B1140" s="90">
        <v>1136</v>
      </c>
      <c r="C1140" s="39">
        <f t="shared" si="36"/>
        <v>4780668.362808709</v>
      </c>
      <c r="D1140" s="39">
        <f t="shared" si="37"/>
        <v>3599831.351742364</v>
      </c>
    </row>
    <row r="1141" spans="2:4" x14ac:dyDescent="0.25">
      <c r="B1141" s="90">
        <v>1137</v>
      </c>
      <c r="C1141" s="39">
        <f t="shared" si="36"/>
        <v>4783331.2750999145</v>
      </c>
      <c r="D1141" s="39">
        <f t="shared" si="37"/>
        <v>3603000.217368898</v>
      </c>
    </row>
    <row r="1142" spans="2:4" x14ac:dyDescent="0.25">
      <c r="B1142" s="90">
        <v>1138</v>
      </c>
      <c r="C1142" s="39">
        <f t="shared" si="36"/>
        <v>4785994.1873911191</v>
      </c>
      <c r="D1142" s="39">
        <f t="shared" si="37"/>
        <v>3606169.082995432</v>
      </c>
    </row>
    <row r="1143" spans="2:4" x14ac:dyDescent="0.25">
      <c r="B1143" s="90">
        <v>1139</v>
      </c>
      <c r="C1143" s="39">
        <f t="shared" si="36"/>
        <v>4788657.0996823236</v>
      </c>
      <c r="D1143" s="39">
        <f t="shared" si="37"/>
        <v>3609337.9486219655</v>
      </c>
    </row>
    <row r="1144" spans="2:4" x14ac:dyDescent="0.25">
      <c r="B1144" s="90">
        <v>1140</v>
      </c>
      <c r="C1144" s="39">
        <f t="shared" si="36"/>
        <v>4791320.0119735282</v>
      </c>
      <c r="D1144" s="39">
        <f t="shared" si="37"/>
        <v>3612506.8142484995</v>
      </c>
    </row>
    <row r="1145" spans="2:4" x14ac:dyDescent="0.25">
      <c r="B1145" s="90">
        <v>1141</v>
      </c>
      <c r="C1145" s="39">
        <f t="shared" si="36"/>
        <v>4793982.9242647337</v>
      </c>
      <c r="D1145" s="39">
        <f t="shared" si="37"/>
        <v>3615675.679875033</v>
      </c>
    </row>
    <row r="1146" spans="2:4" x14ac:dyDescent="0.25">
      <c r="B1146" s="90">
        <v>1142</v>
      </c>
      <c r="C1146" s="39">
        <f t="shared" si="36"/>
        <v>4796645.8365559382</v>
      </c>
      <c r="D1146" s="39">
        <f t="shared" si="37"/>
        <v>3618844.545501567</v>
      </c>
    </row>
    <row r="1147" spans="2:4" x14ac:dyDescent="0.25">
      <c r="B1147" s="90">
        <v>1143</v>
      </c>
      <c r="C1147" s="39">
        <f t="shared" si="36"/>
        <v>4799308.7488471437</v>
      </c>
      <c r="D1147" s="39">
        <f t="shared" si="37"/>
        <v>3622013.4111281005</v>
      </c>
    </row>
    <row r="1148" spans="2:4" x14ac:dyDescent="0.25">
      <c r="B1148" s="90">
        <v>1144</v>
      </c>
      <c r="C1148" s="39">
        <f t="shared" si="36"/>
        <v>4801971.6611383483</v>
      </c>
      <c r="D1148" s="39">
        <f t="shared" si="37"/>
        <v>3625182.2767546345</v>
      </c>
    </row>
    <row r="1149" spans="2:4" x14ac:dyDescent="0.25">
      <c r="B1149" s="90">
        <v>1145</v>
      </c>
      <c r="C1149" s="39">
        <f t="shared" si="36"/>
        <v>4804634.5734295528</v>
      </c>
      <c r="D1149" s="39">
        <f t="shared" si="37"/>
        <v>3628351.142381168</v>
      </c>
    </row>
    <row r="1150" spans="2:4" x14ac:dyDescent="0.25">
      <c r="B1150" s="90">
        <v>1146</v>
      </c>
      <c r="C1150" s="39">
        <f t="shared" si="36"/>
        <v>4807297.4857207574</v>
      </c>
      <c r="D1150" s="39">
        <f t="shared" si="37"/>
        <v>3631520.008007702</v>
      </c>
    </row>
    <row r="1151" spans="2:4" x14ac:dyDescent="0.25">
      <c r="B1151" s="90">
        <v>1147</v>
      </c>
      <c r="C1151" s="39">
        <f t="shared" si="36"/>
        <v>4809960.398011962</v>
      </c>
      <c r="D1151" s="39">
        <f t="shared" si="37"/>
        <v>3634688.8736342359</v>
      </c>
    </row>
    <row r="1152" spans="2:4" x14ac:dyDescent="0.25">
      <c r="B1152" s="90">
        <v>1148</v>
      </c>
      <c r="C1152" s="39">
        <f t="shared" si="36"/>
        <v>4812623.3103031674</v>
      </c>
      <c r="D1152" s="39">
        <f t="shared" si="37"/>
        <v>3637857.7392607694</v>
      </c>
    </row>
    <row r="1153" spans="2:4" x14ac:dyDescent="0.25">
      <c r="B1153" s="90">
        <v>1149</v>
      </c>
      <c r="C1153" s="39">
        <f t="shared" si="36"/>
        <v>4815286.2225943729</v>
      </c>
      <c r="D1153" s="39">
        <f t="shared" si="37"/>
        <v>3641026.6048873034</v>
      </c>
    </row>
    <row r="1154" spans="2:4" x14ac:dyDescent="0.25">
      <c r="B1154" s="90">
        <v>1150</v>
      </c>
      <c r="C1154" s="39">
        <f t="shared" si="36"/>
        <v>4817949.1348855775</v>
      </c>
      <c r="D1154" s="39">
        <f t="shared" si="37"/>
        <v>3644195.4705138369</v>
      </c>
    </row>
    <row r="1155" spans="2:4" x14ac:dyDescent="0.25">
      <c r="B1155" s="90">
        <v>1151</v>
      </c>
      <c r="C1155" s="39">
        <f t="shared" si="36"/>
        <v>4820612.047176782</v>
      </c>
      <c r="D1155" s="39">
        <f t="shared" si="37"/>
        <v>3647364.3361403709</v>
      </c>
    </row>
    <row r="1156" spans="2:4" x14ac:dyDescent="0.25">
      <c r="B1156" s="90">
        <v>1152</v>
      </c>
      <c r="C1156" s="39">
        <f t="shared" si="36"/>
        <v>4823274.9594679866</v>
      </c>
      <c r="D1156" s="39">
        <f t="shared" si="37"/>
        <v>3650533.2017669044</v>
      </c>
    </row>
    <row r="1157" spans="2:4" x14ac:dyDescent="0.25">
      <c r="B1157" s="90">
        <v>1153</v>
      </c>
      <c r="C1157" s="39">
        <f t="shared" si="36"/>
        <v>4825937.8717591912</v>
      </c>
      <c r="D1157" s="39">
        <f t="shared" si="37"/>
        <v>3653702.0673934384</v>
      </c>
    </row>
    <row r="1158" spans="2:4" x14ac:dyDescent="0.25">
      <c r="B1158" s="90">
        <v>1154</v>
      </c>
      <c r="C1158" s="39">
        <f t="shared" si="36"/>
        <v>4828600.7840503966</v>
      </c>
      <c r="D1158" s="39">
        <f t="shared" si="37"/>
        <v>3656870.9330199719</v>
      </c>
    </row>
    <row r="1159" spans="2:4" x14ac:dyDescent="0.25">
      <c r="B1159" s="90">
        <v>1155</v>
      </c>
      <c r="C1159" s="39">
        <f t="shared" si="36"/>
        <v>4831263.6963416012</v>
      </c>
      <c r="D1159" s="39">
        <f t="shared" si="37"/>
        <v>3660039.7986465059</v>
      </c>
    </row>
    <row r="1160" spans="2:4" x14ac:dyDescent="0.25">
      <c r="B1160" s="90">
        <v>1156</v>
      </c>
      <c r="C1160" s="39">
        <f t="shared" si="36"/>
        <v>4833926.6086328067</v>
      </c>
      <c r="D1160" s="39">
        <f t="shared" si="37"/>
        <v>3663208.6642730394</v>
      </c>
    </row>
    <row r="1161" spans="2:4" x14ac:dyDescent="0.25">
      <c r="B1161" s="90">
        <v>1157</v>
      </c>
      <c r="C1161" s="39">
        <f t="shared" si="36"/>
        <v>4836589.5209240112</v>
      </c>
      <c r="D1161" s="39">
        <f t="shared" si="37"/>
        <v>3666377.5298995734</v>
      </c>
    </row>
    <row r="1162" spans="2:4" x14ac:dyDescent="0.25">
      <c r="B1162" s="90">
        <v>1158</v>
      </c>
      <c r="C1162" s="39">
        <f t="shared" si="36"/>
        <v>4839252.4332152158</v>
      </c>
      <c r="D1162" s="39">
        <f t="shared" si="37"/>
        <v>3669546.3955261074</v>
      </c>
    </row>
    <row r="1163" spans="2:4" x14ac:dyDescent="0.25">
      <c r="B1163" s="90">
        <v>1159</v>
      </c>
      <c r="C1163" s="39">
        <f t="shared" si="36"/>
        <v>4841915.3455064204</v>
      </c>
      <c r="D1163" s="39">
        <f t="shared" si="37"/>
        <v>3672715.2611526409</v>
      </c>
    </row>
    <row r="1164" spans="2:4" x14ac:dyDescent="0.25">
      <c r="B1164" s="90">
        <v>1160</v>
      </c>
      <c r="C1164" s="39">
        <f t="shared" si="36"/>
        <v>4844578.2577976258</v>
      </c>
      <c r="D1164" s="39">
        <f t="shared" si="37"/>
        <v>3675884.1267791749</v>
      </c>
    </row>
    <row r="1165" spans="2:4" x14ac:dyDescent="0.25">
      <c r="B1165" s="90">
        <v>1161</v>
      </c>
      <c r="C1165" s="39">
        <f t="shared" si="36"/>
        <v>4847241.1700888304</v>
      </c>
      <c r="D1165" s="39">
        <f t="shared" si="37"/>
        <v>3679052.9924057084</v>
      </c>
    </row>
    <row r="1166" spans="2:4" x14ac:dyDescent="0.25">
      <c r="B1166" s="90">
        <v>1162</v>
      </c>
      <c r="C1166" s="39">
        <f t="shared" si="36"/>
        <v>4849904.0823800359</v>
      </c>
      <c r="D1166" s="39">
        <f t="shared" si="37"/>
        <v>3682221.8580322424</v>
      </c>
    </row>
    <row r="1167" spans="2:4" x14ac:dyDescent="0.25">
      <c r="B1167" s="90">
        <v>1163</v>
      </c>
      <c r="C1167" s="39">
        <f t="shared" si="36"/>
        <v>4852566.9946712404</v>
      </c>
      <c r="D1167" s="39">
        <f t="shared" si="37"/>
        <v>3685390.7236587759</v>
      </c>
    </row>
    <row r="1168" spans="2:4" x14ac:dyDescent="0.25">
      <c r="B1168" s="90">
        <v>1164</v>
      </c>
      <c r="C1168" s="39">
        <f t="shared" si="36"/>
        <v>4855229.906962445</v>
      </c>
      <c r="D1168" s="39">
        <f t="shared" si="37"/>
        <v>3688559.5892853099</v>
      </c>
    </row>
    <row r="1169" spans="2:4" x14ac:dyDescent="0.25">
      <c r="B1169" s="90">
        <v>1165</v>
      </c>
      <c r="C1169" s="39">
        <f t="shared" si="36"/>
        <v>4857892.8192536496</v>
      </c>
      <c r="D1169" s="39">
        <f t="shared" si="37"/>
        <v>3691728.4549118434</v>
      </c>
    </row>
    <row r="1170" spans="2:4" x14ac:dyDescent="0.25">
      <c r="B1170" s="90">
        <v>1166</v>
      </c>
      <c r="C1170" s="39">
        <f t="shared" si="36"/>
        <v>4860555.7315448541</v>
      </c>
      <c r="D1170" s="39">
        <f t="shared" si="37"/>
        <v>3694897.3205383774</v>
      </c>
    </row>
    <row r="1171" spans="2:4" x14ac:dyDescent="0.25">
      <c r="B1171" s="90">
        <v>1167</v>
      </c>
      <c r="C1171" s="39">
        <f t="shared" si="36"/>
        <v>4863218.6438360596</v>
      </c>
      <c r="D1171" s="39">
        <f t="shared" si="37"/>
        <v>3698066.1861649109</v>
      </c>
    </row>
    <row r="1172" spans="2:4" x14ac:dyDescent="0.25">
      <c r="B1172" s="90">
        <v>1168</v>
      </c>
      <c r="C1172" s="39">
        <f t="shared" si="36"/>
        <v>4865881.5561272651</v>
      </c>
      <c r="D1172" s="39">
        <f t="shared" si="37"/>
        <v>3701235.0517914449</v>
      </c>
    </row>
    <row r="1173" spans="2:4" x14ac:dyDescent="0.25">
      <c r="B1173" s="90">
        <v>1169</v>
      </c>
      <c r="C1173" s="39">
        <f t="shared" si="36"/>
        <v>4868544.4684184697</v>
      </c>
      <c r="D1173" s="39">
        <f t="shared" si="37"/>
        <v>3704403.9174179789</v>
      </c>
    </row>
    <row r="1174" spans="2:4" x14ac:dyDescent="0.25">
      <c r="B1174" s="90">
        <v>1170</v>
      </c>
      <c r="C1174" s="39">
        <f t="shared" si="36"/>
        <v>4871207.3807096742</v>
      </c>
      <c r="D1174" s="39">
        <f t="shared" si="37"/>
        <v>3707572.7830445124</v>
      </c>
    </row>
    <row r="1175" spans="2:4" x14ac:dyDescent="0.25">
      <c r="B1175" s="90">
        <v>1171</v>
      </c>
      <c r="C1175" s="39">
        <f t="shared" si="36"/>
        <v>4873870.2930008788</v>
      </c>
      <c r="D1175" s="39">
        <f t="shared" si="37"/>
        <v>3710741.6486710464</v>
      </c>
    </row>
    <row r="1176" spans="2:4" x14ac:dyDescent="0.25">
      <c r="B1176" s="90">
        <v>1172</v>
      </c>
      <c r="C1176" s="39">
        <f t="shared" si="36"/>
        <v>4876533.2052920833</v>
      </c>
      <c r="D1176" s="39">
        <f t="shared" si="37"/>
        <v>3713910.5142975799</v>
      </c>
    </row>
    <row r="1177" spans="2:4" x14ac:dyDescent="0.25">
      <c r="B1177" s="90">
        <v>1173</v>
      </c>
      <c r="C1177" s="39">
        <f t="shared" si="36"/>
        <v>4879196.1175832888</v>
      </c>
      <c r="D1177" s="39">
        <f t="shared" si="37"/>
        <v>3717079.3799241139</v>
      </c>
    </row>
    <row r="1178" spans="2:4" x14ac:dyDescent="0.25">
      <c r="B1178" s="90">
        <v>1174</v>
      </c>
      <c r="C1178" s="39">
        <f t="shared" si="36"/>
        <v>4881859.0298744934</v>
      </c>
      <c r="D1178" s="39">
        <f t="shared" si="37"/>
        <v>3720248.2455506474</v>
      </c>
    </row>
    <row r="1179" spans="2:4" x14ac:dyDescent="0.25">
      <c r="B1179" s="90">
        <v>1175</v>
      </c>
      <c r="C1179" s="39">
        <f t="shared" si="36"/>
        <v>4884521.9421656989</v>
      </c>
      <c r="D1179" s="39">
        <f t="shared" si="37"/>
        <v>3723417.1111771814</v>
      </c>
    </row>
    <row r="1180" spans="2:4" x14ac:dyDescent="0.25">
      <c r="B1180" s="90">
        <v>1176</v>
      </c>
      <c r="C1180" s="39">
        <f t="shared" si="36"/>
        <v>4887184.8544569034</v>
      </c>
      <c r="D1180" s="39">
        <f t="shared" si="37"/>
        <v>3726585.9768037149</v>
      </c>
    </row>
    <row r="1181" spans="2:4" x14ac:dyDescent="0.25">
      <c r="B1181" s="90">
        <v>1177</v>
      </c>
      <c r="C1181" s="39">
        <f t="shared" si="36"/>
        <v>4889847.766748108</v>
      </c>
      <c r="D1181" s="39">
        <f t="shared" si="37"/>
        <v>3729754.8424302489</v>
      </c>
    </row>
    <row r="1182" spans="2:4" x14ac:dyDescent="0.25">
      <c r="B1182" s="90">
        <v>1178</v>
      </c>
      <c r="C1182" s="39">
        <f t="shared" si="36"/>
        <v>4892510.6790393125</v>
      </c>
      <c r="D1182" s="39">
        <f t="shared" si="37"/>
        <v>3732923.7080567828</v>
      </c>
    </row>
    <row r="1183" spans="2:4" x14ac:dyDescent="0.25">
      <c r="B1183" s="90">
        <v>1179</v>
      </c>
      <c r="C1183" s="39">
        <f t="shared" si="36"/>
        <v>4895173.5913305171</v>
      </c>
      <c r="D1183" s="39">
        <f t="shared" si="37"/>
        <v>3736092.5736833164</v>
      </c>
    </row>
    <row r="1184" spans="2:4" x14ac:dyDescent="0.25">
      <c r="B1184" s="90">
        <v>1180</v>
      </c>
      <c r="C1184" s="39">
        <f t="shared" si="36"/>
        <v>4897836.5036217226</v>
      </c>
      <c r="D1184" s="39">
        <f t="shared" si="37"/>
        <v>3739261.4393098503</v>
      </c>
    </row>
    <row r="1185" spans="2:4" x14ac:dyDescent="0.25">
      <c r="B1185" s="90">
        <v>1181</v>
      </c>
      <c r="C1185" s="39">
        <f t="shared" si="36"/>
        <v>4900499.4159129281</v>
      </c>
      <c r="D1185" s="39">
        <f t="shared" si="37"/>
        <v>3742430.3049363839</v>
      </c>
    </row>
    <row r="1186" spans="2:4" x14ac:dyDescent="0.25">
      <c r="B1186" s="90">
        <v>1182</v>
      </c>
      <c r="C1186" s="39">
        <f t="shared" si="36"/>
        <v>4903162.3282041326</v>
      </c>
      <c r="D1186" s="39">
        <f t="shared" si="37"/>
        <v>3745599.1705629178</v>
      </c>
    </row>
    <row r="1187" spans="2:4" x14ac:dyDescent="0.25">
      <c r="B1187" s="90">
        <v>1183</v>
      </c>
      <c r="C1187" s="39">
        <f t="shared" si="36"/>
        <v>4905825.2404953372</v>
      </c>
      <c r="D1187" s="39">
        <f t="shared" si="37"/>
        <v>3748768.0361894513</v>
      </c>
    </row>
    <row r="1188" spans="2:4" x14ac:dyDescent="0.25">
      <c r="B1188" s="90">
        <v>1184</v>
      </c>
      <c r="C1188" s="39">
        <f t="shared" si="36"/>
        <v>4908488.1527865417</v>
      </c>
      <c r="D1188" s="39">
        <f t="shared" si="37"/>
        <v>3751936.9018159853</v>
      </c>
    </row>
    <row r="1189" spans="2:4" x14ac:dyDescent="0.25">
      <c r="B1189" s="90">
        <v>1185</v>
      </c>
      <c r="C1189" s="39">
        <f t="shared" si="36"/>
        <v>4911151.0650777463</v>
      </c>
      <c r="D1189" s="39">
        <f t="shared" si="37"/>
        <v>3755105.7674425188</v>
      </c>
    </row>
    <row r="1190" spans="2:4" x14ac:dyDescent="0.25">
      <c r="B1190" s="90">
        <v>1186</v>
      </c>
      <c r="C1190" s="39">
        <f t="shared" si="36"/>
        <v>4913813.9773689518</v>
      </c>
      <c r="D1190" s="39">
        <f t="shared" si="37"/>
        <v>3758274.6330690528</v>
      </c>
    </row>
    <row r="1191" spans="2:4" x14ac:dyDescent="0.25">
      <c r="B1191" s="90">
        <v>1187</v>
      </c>
      <c r="C1191" s="39">
        <f t="shared" si="36"/>
        <v>4916476.8896601573</v>
      </c>
      <c r="D1191" s="39">
        <f t="shared" si="37"/>
        <v>3761443.4986955863</v>
      </c>
    </row>
    <row r="1192" spans="2:4" x14ac:dyDescent="0.25">
      <c r="B1192" s="90">
        <v>1188</v>
      </c>
      <c r="C1192" s="39">
        <f t="shared" si="36"/>
        <v>4919139.8019513618</v>
      </c>
      <c r="D1192" s="39">
        <f t="shared" si="37"/>
        <v>3764612.3643221203</v>
      </c>
    </row>
    <row r="1193" spans="2:4" x14ac:dyDescent="0.25">
      <c r="B1193" s="90">
        <v>1189</v>
      </c>
      <c r="C1193" s="39">
        <f t="shared" si="36"/>
        <v>4921802.7142425664</v>
      </c>
      <c r="D1193" s="39">
        <f t="shared" si="37"/>
        <v>3767781.2299486543</v>
      </c>
    </row>
    <row r="1194" spans="2:4" x14ac:dyDescent="0.25">
      <c r="B1194" s="90">
        <v>1190</v>
      </c>
      <c r="C1194" s="39">
        <f t="shared" si="36"/>
        <v>4924465.6265337709</v>
      </c>
      <c r="D1194" s="39">
        <f t="shared" si="37"/>
        <v>3770950.0955751878</v>
      </c>
    </row>
    <row r="1195" spans="2:4" x14ac:dyDescent="0.25">
      <c r="B1195" s="90">
        <v>1191</v>
      </c>
      <c r="C1195" s="39">
        <f t="shared" si="36"/>
        <v>4927128.5388249755</v>
      </c>
      <c r="D1195" s="39">
        <f t="shared" si="37"/>
        <v>3774118.9612017218</v>
      </c>
    </row>
    <row r="1196" spans="2:4" x14ac:dyDescent="0.25">
      <c r="B1196" s="90">
        <v>1192</v>
      </c>
      <c r="C1196" s="39">
        <f t="shared" si="36"/>
        <v>4929791.451116181</v>
      </c>
      <c r="D1196" s="39">
        <f t="shared" si="37"/>
        <v>3777287.8268282553</v>
      </c>
    </row>
    <row r="1197" spans="2:4" x14ac:dyDescent="0.25">
      <c r="B1197" s="90">
        <v>1193</v>
      </c>
      <c r="C1197" s="39">
        <f t="shared" si="36"/>
        <v>4932454.3634073855</v>
      </c>
      <c r="D1197" s="39">
        <f t="shared" si="37"/>
        <v>3780456.6924547893</v>
      </c>
    </row>
    <row r="1198" spans="2:4" x14ac:dyDescent="0.25">
      <c r="B1198" s="90">
        <v>1194</v>
      </c>
      <c r="C1198" s="39">
        <f t="shared" si="36"/>
        <v>4935117.275698591</v>
      </c>
      <c r="D1198" s="39">
        <f t="shared" si="37"/>
        <v>3783625.5580813228</v>
      </c>
    </row>
    <row r="1199" spans="2:4" x14ac:dyDescent="0.25">
      <c r="B1199" s="90">
        <v>1195</v>
      </c>
      <c r="C1199" s="39">
        <f t="shared" si="36"/>
        <v>4937780.1879897956</v>
      </c>
      <c r="D1199" s="39">
        <f t="shared" si="37"/>
        <v>3786794.4237078568</v>
      </c>
    </row>
    <row r="1200" spans="2:4" x14ac:dyDescent="0.25">
      <c r="B1200" s="90">
        <v>1196</v>
      </c>
      <c r="C1200" s="39">
        <f t="shared" si="36"/>
        <v>4940443.1002810001</v>
      </c>
      <c r="D1200" s="39">
        <f t="shared" si="37"/>
        <v>3789963.2893343903</v>
      </c>
    </row>
    <row r="1201" spans="2:4" x14ac:dyDescent="0.25">
      <c r="B1201" s="90">
        <v>1197</v>
      </c>
      <c r="C1201" s="39">
        <f t="shared" ref="C1201:C1264" si="38">($C$2*B1201)+$C$1</f>
        <v>4943106.0125722047</v>
      </c>
      <c r="D1201" s="39">
        <f t="shared" ref="D1201:D1264" si="39">$D$2*B1201</f>
        <v>3793132.1549609243</v>
      </c>
    </row>
    <row r="1202" spans="2:4" x14ac:dyDescent="0.25">
      <c r="B1202" s="90">
        <v>1198</v>
      </c>
      <c r="C1202" s="39">
        <f t="shared" si="38"/>
        <v>4945768.9248634093</v>
      </c>
      <c r="D1202" s="39">
        <f t="shared" si="39"/>
        <v>3796301.0205874578</v>
      </c>
    </row>
    <row r="1203" spans="2:4" x14ac:dyDescent="0.25">
      <c r="B1203" s="90">
        <v>1199</v>
      </c>
      <c r="C1203" s="39">
        <f t="shared" si="38"/>
        <v>4948431.8371546147</v>
      </c>
      <c r="D1203" s="39">
        <f t="shared" si="39"/>
        <v>3799469.8862139918</v>
      </c>
    </row>
    <row r="1204" spans="2:4" x14ac:dyDescent="0.25">
      <c r="B1204" s="90">
        <v>1200</v>
      </c>
      <c r="C1204" s="39">
        <f t="shared" si="38"/>
        <v>4951094.7494458202</v>
      </c>
      <c r="D1204" s="39">
        <f t="shared" si="39"/>
        <v>3802638.7518405258</v>
      </c>
    </row>
    <row r="1205" spans="2:4" x14ac:dyDescent="0.25">
      <c r="B1205" s="90">
        <v>1201</v>
      </c>
      <c r="C1205" s="39">
        <f t="shared" si="38"/>
        <v>4953757.6617370248</v>
      </c>
      <c r="D1205" s="39">
        <f t="shared" si="39"/>
        <v>3805807.6174670593</v>
      </c>
    </row>
    <row r="1206" spans="2:4" x14ac:dyDescent="0.25">
      <c r="B1206" s="90">
        <v>1202</v>
      </c>
      <c r="C1206" s="39">
        <f t="shared" si="38"/>
        <v>4956420.5740282293</v>
      </c>
      <c r="D1206" s="39">
        <f t="shared" si="39"/>
        <v>3808976.4830935933</v>
      </c>
    </row>
    <row r="1207" spans="2:4" x14ac:dyDescent="0.25">
      <c r="B1207" s="90">
        <v>1203</v>
      </c>
      <c r="C1207" s="39">
        <f t="shared" si="38"/>
        <v>4959083.4863194339</v>
      </c>
      <c r="D1207" s="39">
        <f t="shared" si="39"/>
        <v>3812145.3487201268</v>
      </c>
    </row>
    <row r="1208" spans="2:4" x14ac:dyDescent="0.25">
      <c r="B1208" s="90">
        <v>1204</v>
      </c>
      <c r="C1208" s="39">
        <f t="shared" si="38"/>
        <v>4961746.3986106385</v>
      </c>
      <c r="D1208" s="39">
        <f t="shared" si="39"/>
        <v>3815314.2143466608</v>
      </c>
    </row>
    <row r="1209" spans="2:4" x14ac:dyDescent="0.25">
      <c r="B1209" s="90">
        <v>1205</v>
      </c>
      <c r="C1209" s="39">
        <f t="shared" si="38"/>
        <v>4964409.3109018439</v>
      </c>
      <c r="D1209" s="39">
        <f t="shared" si="39"/>
        <v>3818483.0799731943</v>
      </c>
    </row>
    <row r="1210" spans="2:4" x14ac:dyDescent="0.25">
      <c r="B1210" s="90">
        <v>1206</v>
      </c>
      <c r="C1210" s="39">
        <f t="shared" si="38"/>
        <v>4967072.2231930485</v>
      </c>
      <c r="D1210" s="39">
        <f t="shared" si="39"/>
        <v>3821651.9455997283</v>
      </c>
    </row>
    <row r="1211" spans="2:4" x14ac:dyDescent="0.25">
      <c r="B1211" s="90">
        <v>1207</v>
      </c>
      <c r="C1211" s="39">
        <f t="shared" si="38"/>
        <v>4969735.135484254</v>
      </c>
      <c r="D1211" s="39">
        <f t="shared" si="39"/>
        <v>3824820.8112262618</v>
      </c>
    </row>
    <row r="1212" spans="2:4" x14ac:dyDescent="0.25">
      <c r="B1212" s="90">
        <v>1208</v>
      </c>
      <c r="C1212" s="39">
        <f t="shared" si="38"/>
        <v>4972398.0477754585</v>
      </c>
      <c r="D1212" s="39">
        <f t="shared" si="39"/>
        <v>3827989.6768527958</v>
      </c>
    </row>
    <row r="1213" spans="2:4" x14ac:dyDescent="0.25">
      <c r="B1213" s="90">
        <v>1209</v>
      </c>
      <c r="C1213" s="39">
        <f t="shared" si="38"/>
        <v>4975060.9600666631</v>
      </c>
      <c r="D1213" s="39">
        <f t="shared" si="39"/>
        <v>3831158.5424793297</v>
      </c>
    </row>
    <row r="1214" spans="2:4" x14ac:dyDescent="0.25">
      <c r="B1214" s="90">
        <v>1210</v>
      </c>
      <c r="C1214" s="39">
        <f t="shared" si="38"/>
        <v>4977723.8723578677</v>
      </c>
      <c r="D1214" s="39">
        <f t="shared" si="39"/>
        <v>3834327.4081058633</v>
      </c>
    </row>
    <row r="1215" spans="2:4" x14ac:dyDescent="0.25">
      <c r="B1215" s="90">
        <v>1211</v>
      </c>
      <c r="C1215" s="39">
        <f t="shared" si="38"/>
        <v>4980386.7846490731</v>
      </c>
      <c r="D1215" s="39">
        <f t="shared" si="39"/>
        <v>3837496.2737323972</v>
      </c>
    </row>
    <row r="1216" spans="2:4" x14ac:dyDescent="0.25">
      <c r="B1216" s="90">
        <v>1212</v>
      </c>
      <c r="C1216" s="39">
        <f t="shared" si="38"/>
        <v>4983049.6969402777</v>
      </c>
      <c r="D1216" s="39">
        <f t="shared" si="39"/>
        <v>3840665.1393589308</v>
      </c>
    </row>
    <row r="1217" spans="2:4" x14ac:dyDescent="0.25">
      <c r="B1217" s="90">
        <v>1213</v>
      </c>
      <c r="C1217" s="39">
        <f t="shared" si="38"/>
        <v>4985712.6092314832</v>
      </c>
      <c r="D1217" s="39">
        <f t="shared" si="39"/>
        <v>3843834.0049854647</v>
      </c>
    </row>
    <row r="1218" spans="2:4" x14ac:dyDescent="0.25">
      <c r="B1218" s="90">
        <v>1214</v>
      </c>
      <c r="C1218" s="39">
        <f t="shared" si="38"/>
        <v>4988375.5215226877</v>
      </c>
      <c r="D1218" s="39">
        <f t="shared" si="39"/>
        <v>3847002.8706119983</v>
      </c>
    </row>
    <row r="1219" spans="2:4" x14ac:dyDescent="0.25">
      <c r="B1219" s="90">
        <v>1215</v>
      </c>
      <c r="C1219" s="39">
        <f t="shared" si="38"/>
        <v>4991038.4338138923</v>
      </c>
      <c r="D1219" s="39">
        <f t="shared" si="39"/>
        <v>3850171.7362385322</v>
      </c>
    </row>
    <row r="1220" spans="2:4" x14ac:dyDescent="0.25">
      <c r="B1220" s="90">
        <v>1216</v>
      </c>
      <c r="C1220" s="39">
        <f t="shared" si="38"/>
        <v>4993701.3461050969</v>
      </c>
      <c r="D1220" s="39">
        <f t="shared" si="39"/>
        <v>3853340.6018650657</v>
      </c>
    </row>
    <row r="1221" spans="2:4" x14ac:dyDescent="0.25">
      <c r="B1221" s="90">
        <v>1217</v>
      </c>
      <c r="C1221" s="39">
        <f t="shared" si="38"/>
        <v>4996364.2583963014</v>
      </c>
      <c r="D1221" s="39">
        <f t="shared" si="39"/>
        <v>3856509.4674915997</v>
      </c>
    </row>
    <row r="1222" spans="2:4" x14ac:dyDescent="0.25">
      <c r="B1222" s="90">
        <v>1218</v>
      </c>
      <c r="C1222" s="39">
        <f t="shared" si="38"/>
        <v>4999027.1706875069</v>
      </c>
      <c r="D1222" s="39">
        <f t="shared" si="39"/>
        <v>3859678.3331181332</v>
      </c>
    </row>
    <row r="1223" spans="2:4" x14ac:dyDescent="0.25">
      <c r="B1223" s="90">
        <v>1219</v>
      </c>
      <c r="C1223" s="39">
        <f t="shared" si="38"/>
        <v>5001690.0829787124</v>
      </c>
      <c r="D1223" s="39">
        <f t="shared" si="39"/>
        <v>3862847.1987446672</v>
      </c>
    </row>
    <row r="1224" spans="2:4" x14ac:dyDescent="0.25">
      <c r="B1224" s="90">
        <v>1220</v>
      </c>
      <c r="C1224" s="39">
        <f t="shared" si="38"/>
        <v>5004352.995269917</v>
      </c>
      <c r="D1224" s="39">
        <f t="shared" si="39"/>
        <v>3866016.0643712012</v>
      </c>
    </row>
    <row r="1225" spans="2:4" x14ac:dyDescent="0.25">
      <c r="B1225" s="90">
        <v>1221</v>
      </c>
      <c r="C1225" s="39">
        <f t="shared" si="38"/>
        <v>5007015.9075611215</v>
      </c>
      <c r="D1225" s="39">
        <f t="shared" si="39"/>
        <v>3869184.9299977347</v>
      </c>
    </row>
    <row r="1226" spans="2:4" x14ac:dyDescent="0.25">
      <c r="B1226" s="90">
        <v>1222</v>
      </c>
      <c r="C1226" s="39">
        <f t="shared" si="38"/>
        <v>5009678.8198523261</v>
      </c>
      <c r="D1226" s="39">
        <f t="shared" si="39"/>
        <v>3872353.7956242687</v>
      </c>
    </row>
    <row r="1227" spans="2:4" x14ac:dyDescent="0.25">
      <c r="B1227" s="90">
        <v>1223</v>
      </c>
      <c r="C1227" s="39">
        <f t="shared" si="38"/>
        <v>5012341.7321435306</v>
      </c>
      <c r="D1227" s="39">
        <f t="shared" si="39"/>
        <v>3875522.6612508022</v>
      </c>
    </row>
    <row r="1228" spans="2:4" x14ac:dyDescent="0.25">
      <c r="B1228" s="90">
        <v>1224</v>
      </c>
      <c r="C1228" s="39">
        <f t="shared" si="38"/>
        <v>5015004.6444347361</v>
      </c>
      <c r="D1228" s="39">
        <f t="shared" si="39"/>
        <v>3878691.5268773362</v>
      </c>
    </row>
    <row r="1229" spans="2:4" x14ac:dyDescent="0.25">
      <c r="B1229" s="90">
        <v>1225</v>
      </c>
      <c r="C1229" s="39">
        <f t="shared" si="38"/>
        <v>5017667.5567259407</v>
      </c>
      <c r="D1229" s="39">
        <f t="shared" si="39"/>
        <v>3881860.3925038697</v>
      </c>
    </row>
    <row r="1230" spans="2:4" x14ac:dyDescent="0.25">
      <c r="B1230" s="90">
        <v>1226</v>
      </c>
      <c r="C1230" s="39">
        <f t="shared" si="38"/>
        <v>5020330.4690171462</v>
      </c>
      <c r="D1230" s="39">
        <f t="shared" si="39"/>
        <v>3885029.2581304037</v>
      </c>
    </row>
    <row r="1231" spans="2:4" x14ac:dyDescent="0.25">
      <c r="B1231" s="90">
        <v>1227</v>
      </c>
      <c r="C1231" s="39">
        <f t="shared" si="38"/>
        <v>5022993.3813083507</v>
      </c>
      <c r="D1231" s="39">
        <f t="shared" si="39"/>
        <v>3888198.1237569372</v>
      </c>
    </row>
    <row r="1232" spans="2:4" x14ac:dyDescent="0.25">
      <c r="B1232" s="90">
        <v>1228</v>
      </c>
      <c r="C1232" s="39">
        <f t="shared" si="38"/>
        <v>5025656.2935995553</v>
      </c>
      <c r="D1232" s="39">
        <f t="shared" si="39"/>
        <v>3891366.9893834712</v>
      </c>
    </row>
    <row r="1233" spans="2:4" x14ac:dyDescent="0.25">
      <c r="B1233" s="90">
        <v>1229</v>
      </c>
      <c r="C1233" s="39">
        <f t="shared" si="38"/>
        <v>5028319.2058907598</v>
      </c>
      <c r="D1233" s="39">
        <f t="shared" si="39"/>
        <v>3894535.8550100052</v>
      </c>
    </row>
    <row r="1234" spans="2:4" x14ac:dyDescent="0.25">
      <c r="B1234" s="90">
        <v>1230</v>
      </c>
      <c r="C1234" s="39">
        <f t="shared" si="38"/>
        <v>5030982.1181819653</v>
      </c>
      <c r="D1234" s="39">
        <f t="shared" si="39"/>
        <v>3897704.7206365387</v>
      </c>
    </row>
    <row r="1235" spans="2:4" x14ac:dyDescent="0.25">
      <c r="B1235" s="90">
        <v>1231</v>
      </c>
      <c r="C1235" s="39">
        <f t="shared" si="38"/>
        <v>5033645.0304731699</v>
      </c>
      <c r="D1235" s="39">
        <f t="shared" si="39"/>
        <v>3900873.5862630727</v>
      </c>
    </row>
    <row r="1236" spans="2:4" x14ac:dyDescent="0.25">
      <c r="B1236" s="90">
        <v>1232</v>
      </c>
      <c r="C1236" s="39">
        <f t="shared" si="38"/>
        <v>5036307.9427643754</v>
      </c>
      <c r="D1236" s="39">
        <f t="shared" si="39"/>
        <v>3904042.4518896062</v>
      </c>
    </row>
    <row r="1237" spans="2:4" x14ac:dyDescent="0.25">
      <c r="B1237" s="90">
        <v>1233</v>
      </c>
      <c r="C1237" s="39">
        <f t="shared" si="38"/>
        <v>5038970.8550555799</v>
      </c>
      <c r="D1237" s="39">
        <f t="shared" si="39"/>
        <v>3907211.3175161402</v>
      </c>
    </row>
    <row r="1238" spans="2:4" x14ac:dyDescent="0.25">
      <c r="B1238" s="90">
        <v>1234</v>
      </c>
      <c r="C1238" s="39">
        <f t="shared" si="38"/>
        <v>5041633.7673467845</v>
      </c>
      <c r="D1238" s="39">
        <f t="shared" si="39"/>
        <v>3910380.1831426737</v>
      </c>
    </row>
    <row r="1239" spans="2:4" x14ac:dyDescent="0.25">
      <c r="B1239" s="90">
        <v>1235</v>
      </c>
      <c r="C1239" s="39">
        <f t="shared" si="38"/>
        <v>5044296.679637989</v>
      </c>
      <c r="D1239" s="39">
        <f t="shared" si="39"/>
        <v>3913549.0487692077</v>
      </c>
    </row>
    <row r="1240" spans="2:4" x14ac:dyDescent="0.25">
      <c r="B1240" s="90">
        <v>1236</v>
      </c>
      <c r="C1240" s="39">
        <f t="shared" si="38"/>
        <v>5046959.5919291936</v>
      </c>
      <c r="D1240" s="39">
        <f t="shared" si="39"/>
        <v>3916717.9143957412</v>
      </c>
    </row>
    <row r="1241" spans="2:4" x14ac:dyDescent="0.25">
      <c r="B1241" s="90">
        <v>1237</v>
      </c>
      <c r="C1241" s="39">
        <f t="shared" si="38"/>
        <v>5049622.5042203991</v>
      </c>
      <c r="D1241" s="39">
        <f t="shared" si="39"/>
        <v>3919886.7800222752</v>
      </c>
    </row>
    <row r="1242" spans="2:4" x14ac:dyDescent="0.25">
      <c r="B1242" s="90">
        <v>1238</v>
      </c>
      <c r="C1242" s="39">
        <f t="shared" si="38"/>
        <v>5052285.4165116046</v>
      </c>
      <c r="D1242" s="39">
        <f t="shared" si="39"/>
        <v>3923055.6456488087</v>
      </c>
    </row>
    <row r="1243" spans="2:4" x14ac:dyDescent="0.25">
      <c r="B1243" s="90">
        <v>1239</v>
      </c>
      <c r="C1243" s="39">
        <f t="shared" si="38"/>
        <v>5054948.3288028091</v>
      </c>
      <c r="D1243" s="39">
        <f t="shared" si="39"/>
        <v>3926224.5112753427</v>
      </c>
    </row>
    <row r="1244" spans="2:4" x14ac:dyDescent="0.25">
      <c r="B1244" s="90">
        <v>1240</v>
      </c>
      <c r="C1244" s="39">
        <f t="shared" si="38"/>
        <v>5057611.2410940137</v>
      </c>
      <c r="D1244" s="39">
        <f t="shared" si="39"/>
        <v>3929393.3769018766</v>
      </c>
    </row>
    <row r="1245" spans="2:4" x14ac:dyDescent="0.25">
      <c r="B1245" s="90">
        <v>1241</v>
      </c>
      <c r="C1245" s="39">
        <f t="shared" si="38"/>
        <v>5060274.1533852182</v>
      </c>
      <c r="D1245" s="39">
        <f t="shared" si="39"/>
        <v>3932562.2425284102</v>
      </c>
    </row>
    <row r="1246" spans="2:4" x14ac:dyDescent="0.25">
      <c r="B1246" s="90">
        <v>1242</v>
      </c>
      <c r="C1246" s="39">
        <f t="shared" si="38"/>
        <v>5062937.0656764228</v>
      </c>
      <c r="D1246" s="39">
        <f t="shared" si="39"/>
        <v>3935731.1081549441</v>
      </c>
    </row>
    <row r="1247" spans="2:4" x14ac:dyDescent="0.25">
      <c r="B1247" s="90">
        <v>1243</v>
      </c>
      <c r="C1247" s="39">
        <f t="shared" si="38"/>
        <v>5065599.9779676283</v>
      </c>
      <c r="D1247" s="39">
        <f t="shared" si="39"/>
        <v>3938899.9737814777</v>
      </c>
    </row>
    <row r="1248" spans="2:4" x14ac:dyDescent="0.25">
      <c r="B1248" s="90">
        <v>1244</v>
      </c>
      <c r="C1248" s="39">
        <f t="shared" si="38"/>
        <v>5068262.8902588328</v>
      </c>
      <c r="D1248" s="39">
        <f t="shared" si="39"/>
        <v>3942068.8394080116</v>
      </c>
    </row>
    <row r="1249" spans="2:4" x14ac:dyDescent="0.25">
      <c r="B1249" s="90">
        <v>1245</v>
      </c>
      <c r="C1249" s="39">
        <f t="shared" si="38"/>
        <v>5070925.8025500383</v>
      </c>
      <c r="D1249" s="39">
        <f t="shared" si="39"/>
        <v>3945237.7050345452</v>
      </c>
    </row>
    <row r="1250" spans="2:4" x14ac:dyDescent="0.25">
      <c r="B1250" s="90">
        <v>1246</v>
      </c>
      <c r="C1250" s="39">
        <f t="shared" si="38"/>
        <v>5073588.7148412429</v>
      </c>
      <c r="D1250" s="39">
        <f t="shared" si="39"/>
        <v>3948406.5706610791</v>
      </c>
    </row>
    <row r="1251" spans="2:4" x14ac:dyDescent="0.25">
      <c r="B1251" s="90">
        <v>1247</v>
      </c>
      <c r="C1251" s="39">
        <f t="shared" si="38"/>
        <v>5076251.6271324474</v>
      </c>
      <c r="D1251" s="39">
        <f t="shared" si="39"/>
        <v>3951575.4362876127</v>
      </c>
    </row>
    <row r="1252" spans="2:4" x14ac:dyDescent="0.25">
      <c r="B1252" s="90">
        <v>1248</v>
      </c>
      <c r="C1252" s="39">
        <f t="shared" si="38"/>
        <v>5078914.539423652</v>
      </c>
      <c r="D1252" s="39">
        <f t="shared" si="39"/>
        <v>3954744.3019141466</v>
      </c>
    </row>
    <row r="1253" spans="2:4" x14ac:dyDescent="0.25">
      <c r="B1253" s="90">
        <v>1249</v>
      </c>
      <c r="C1253" s="39">
        <f t="shared" si="38"/>
        <v>5081577.4517148575</v>
      </c>
      <c r="D1253" s="39">
        <f t="shared" si="39"/>
        <v>3957913.1675406802</v>
      </c>
    </row>
    <row r="1254" spans="2:4" x14ac:dyDescent="0.25">
      <c r="B1254" s="90">
        <v>1250</v>
      </c>
      <c r="C1254" s="39">
        <f t="shared" si="38"/>
        <v>5084240.364006062</v>
      </c>
      <c r="D1254" s="39">
        <f t="shared" si="39"/>
        <v>3961082.0331672141</v>
      </c>
    </row>
    <row r="1255" spans="2:4" x14ac:dyDescent="0.25">
      <c r="B1255" s="90">
        <v>1251</v>
      </c>
      <c r="C1255" s="39">
        <f t="shared" si="38"/>
        <v>5086903.2762972675</v>
      </c>
      <c r="D1255" s="39">
        <f t="shared" si="39"/>
        <v>3964250.8987937481</v>
      </c>
    </row>
    <row r="1256" spans="2:4" x14ac:dyDescent="0.25">
      <c r="B1256" s="90">
        <v>1252</v>
      </c>
      <c r="C1256" s="39">
        <f t="shared" si="38"/>
        <v>5089566.1885884721</v>
      </c>
      <c r="D1256" s="39">
        <f t="shared" si="39"/>
        <v>3967419.7644202816</v>
      </c>
    </row>
    <row r="1257" spans="2:4" x14ac:dyDescent="0.25">
      <c r="B1257" s="90">
        <v>1253</v>
      </c>
      <c r="C1257" s="39">
        <f t="shared" si="38"/>
        <v>5092229.1008796766</v>
      </c>
      <c r="D1257" s="39">
        <f t="shared" si="39"/>
        <v>3970588.6300468156</v>
      </c>
    </row>
    <row r="1258" spans="2:4" x14ac:dyDescent="0.25">
      <c r="B1258" s="90">
        <v>1254</v>
      </c>
      <c r="C1258" s="39">
        <f t="shared" si="38"/>
        <v>5094892.0131708812</v>
      </c>
      <c r="D1258" s="39">
        <f t="shared" si="39"/>
        <v>3973757.4956733491</v>
      </c>
    </row>
    <row r="1259" spans="2:4" x14ac:dyDescent="0.25">
      <c r="B1259" s="90">
        <v>1255</v>
      </c>
      <c r="C1259" s="39">
        <f t="shared" si="38"/>
        <v>5097554.9254620858</v>
      </c>
      <c r="D1259" s="39">
        <f t="shared" si="39"/>
        <v>3976926.3612998831</v>
      </c>
    </row>
    <row r="1260" spans="2:4" x14ac:dyDescent="0.25">
      <c r="B1260" s="90">
        <v>1256</v>
      </c>
      <c r="C1260" s="39">
        <f t="shared" si="38"/>
        <v>5100217.8377532912</v>
      </c>
      <c r="D1260" s="39">
        <f t="shared" si="39"/>
        <v>3980095.2269264166</v>
      </c>
    </row>
    <row r="1261" spans="2:4" x14ac:dyDescent="0.25">
      <c r="B1261" s="90">
        <v>1257</v>
      </c>
      <c r="C1261" s="39">
        <f t="shared" si="38"/>
        <v>5102880.7500444967</v>
      </c>
      <c r="D1261" s="39">
        <f t="shared" si="39"/>
        <v>3983264.0925529506</v>
      </c>
    </row>
    <row r="1262" spans="2:4" x14ac:dyDescent="0.25">
      <c r="B1262" s="90">
        <v>1258</v>
      </c>
      <c r="C1262" s="39">
        <f t="shared" si="38"/>
        <v>5105543.6623357013</v>
      </c>
      <c r="D1262" s="39">
        <f t="shared" si="39"/>
        <v>3986432.9581794841</v>
      </c>
    </row>
    <row r="1263" spans="2:4" x14ac:dyDescent="0.25">
      <c r="B1263" s="90">
        <v>1259</v>
      </c>
      <c r="C1263" s="39">
        <f t="shared" si="38"/>
        <v>5108206.5746269058</v>
      </c>
      <c r="D1263" s="39">
        <f t="shared" si="39"/>
        <v>3989601.8238060181</v>
      </c>
    </row>
    <row r="1264" spans="2:4" x14ac:dyDescent="0.25">
      <c r="B1264" s="90">
        <v>1260</v>
      </c>
      <c r="C1264" s="39">
        <f t="shared" si="38"/>
        <v>5110869.4869181104</v>
      </c>
      <c r="D1264" s="39">
        <f t="shared" si="39"/>
        <v>3992770.6894325521</v>
      </c>
    </row>
    <row r="1265" spans="2:4" x14ac:dyDescent="0.25">
      <c r="B1265" s="90">
        <v>1261</v>
      </c>
      <c r="C1265" s="39">
        <f t="shared" ref="C1265:C1328" si="40">($C$2*B1265)+$C$1</f>
        <v>5113532.399209315</v>
      </c>
      <c r="D1265" s="39">
        <f t="shared" ref="D1265:D1328" si="41">$D$2*B1265</f>
        <v>3995939.5550590856</v>
      </c>
    </row>
    <row r="1266" spans="2:4" x14ac:dyDescent="0.25">
      <c r="B1266" s="90">
        <v>1262</v>
      </c>
      <c r="C1266" s="39">
        <f t="shared" si="40"/>
        <v>5116195.3115005204</v>
      </c>
      <c r="D1266" s="39">
        <f t="shared" si="41"/>
        <v>3999108.4206856196</v>
      </c>
    </row>
    <row r="1267" spans="2:4" x14ac:dyDescent="0.25">
      <c r="B1267" s="90">
        <v>1263</v>
      </c>
      <c r="C1267" s="39">
        <f t="shared" si="40"/>
        <v>5118858.223791725</v>
      </c>
      <c r="D1267" s="39">
        <f t="shared" si="41"/>
        <v>4002277.2863121531</v>
      </c>
    </row>
    <row r="1268" spans="2:4" x14ac:dyDescent="0.25">
      <c r="B1268" s="90">
        <v>1264</v>
      </c>
      <c r="C1268" s="39">
        <f t="shared" si="40"/>
        <v>5121521.1360829305</v>
      </c>
      <c r="D1268" s="39">
        <f t="shared" si="41"/>
        <v>4005446.1519386871</v>
      </c>
    </row>
    <row r="1269" spans="2:4" x14ac:dyDescent="0.25">
      <c r="B1269" s="90">
        <v>1265</v>
      </c>
      <c r="C1269" s="39">
        <f t="shared" si="40"/>
        <v>5124184.048374135</v>
      </c>
      <c r="D1269" s="39">
        <f t="shared" si="41"/>
        <v>4008615.0175652206</v>
      </c>
    </row>
    <row r="1270" spans="2:4" x14ac:dyDescent="0.25">
      <c r="B1270" s="90">
        <v>1266</v>
      </c>
      <c r="C1270" s="39">
        <f t="shared" si="40"/>
        <v>5126846.9606653396</v>
      </c>
      <c r="D1270" s="39">
        <f t="shared" si="41"/>
        <v>4011783.8831917546</v>
      </c>
    </row>
    <row r="1271" spans="2:4" x14ac:dyDescent="0.25">
      <c r="B1271" s="90">
        <v>1267</v>
      </c>
      <c r="C1271" s="39">
        <f t="shared" si="40"/>
        <v>5129509.8729565442</v>
      </c>
      <c r="D1271" s="39">
        <f t="shared" si="41"/>
        <v>4014952.7488182881</v>
      </c>
    </row>
    <row r="1272" spans="2:4" x14ac:dyDescent="0.25">
      <c r="B1272" s="90">
        <v>1268</v>
      </c>
      <c r="C1272" s="39">
        <f t="shared" si="40"/>
        <v>5132172.7852477487</v>
      </c>
      <c r="D1272" s="39">
        <f t="shared" si="41"/>
        <v>4018121.6144448221</v>
      </c>
    </row>
    <row r="1273" spans="2:4" x14ac:dyDescent="0.25">
      <c r="B1273" s="90">
        <v>1269</v>
      </c>
      <c r="C1273" s="39">
        <f t="shared" si="40"/>
        <v>5134835.6975389542</v>
      </c>
      <c r="D1273" s="39">
        <f t="shared" si="41"/>
        <v>4021290.4800713556</v>
      </c>
    </row>
    <row r="1274" spans="2:4" x14ac:dyDescent="0.25">
      <c r="B1274" s="90">
        <v>1270</v>
      </c>
      <c r="C1274" s="39">
        <f t="shared" si="40"/>
        <v>5137498.6098301597</v>
      </c>
      <c r="D1274" s="39">
        <f t="shared" si="41"/>
        <v>4024459.3456978896</v>
      </c>
    </row>
    <row r="1275" spans="2:4" x14ac:dyDescent="0.25">
      <c r="B1275" s="90">
        <v>1271</v>
      </c>
      <c r="C1275" s="39">
        <f t="shared" si="40"/>
        <v>5140161.5221213643</v>
      </c>
      <c r="D1275" s="39">
        <f t="shared" si="41"/>
        <v>4027628.2113244236</v>
      </c>
    </row>
    <row r="1276" spans="2:4" x14ac:dyDescent="0.25">
      <c r="B1276" s="90">
        <v>1272</v>
      </c>
      <c r="C1276" s="39">
        <f t="shared" si="40"/>
        <v>5142824.4344125688</v>
      </c>
      <c r="D1276" s="39">
        <f t="shared" si="41"/>
        <v>4030797.0769509571</v>
      </c>
    </row>
    <row r="1277" spans="2:4" x14ac:dyDescent="0.25">
      <c r="B1277" s="90">
        <v>1273</v>
      </c>
      <c r="C1277" s="39">
        <f t="shared" si="40"/>
        <v>5145487.3467037734</v>
      </c>
      <c r="D1277" s="39">
        <f t="shared" si="41"/>
        <v>4033965.942577491</v>
      </c>
    </row>
    <row r="1278" spans="2:4" x14ac:dyDescent="0.25">
      <c r="B1278" s="90">
        <v>1274</v>
      </c>
      <c r="C1278" s="39">
        <f t="shared" si="40"/>
        <v>5148150.2589949779</v>
      </c>
      <c r="D1278" s="39">
        <f t="shared" si="41"/>
        <v>4037134.8082040246</v>
      </c>
    </row>
    <row r="1279" spans="2:4" x14ac:dyDescent="0.25">
      <c r="B1279" s="90">
        <v>1275</v>
      </c>
      <c r="C1279" s="39">
        <f t="shared" si="40"/>
        <v>5150813.1712861834</v>
      </c>
      <c r="D1279" s="39">
        <f t="shared" si="41"/>
        <v>4040303.6738305585</v>
      </c>
    </row>
    <row r="1280" spans="2:4" x14ac:dyDescent="0.25">
      <c r="B1280" s="90">
        <v>1276</v>
      </c>
      <c r="C1280" s="39">
        <f t="shared" si="40"/>
        <v>5153476.083577388</v>
      </c>
      <c r="D1280" s="39">
        <f t="shared" si="41"/>
        <v>4043472.5394570921</v>
      </c>
    </row>
    <row r="1281" spans="2:4" x14ac:dyDescent="0.25">
      <c r="B1281" s="90">
        <v>1277</v>
      </c>
      <c r="C1281" s="39">
        <f t="shared" si="40"/>
        <v>5156138.9958685935</v>
      </c>
      <c r="D1281" s="39">
        <f t="shared" si="41"/>
        <v>4046641.405083626</v>
      </c>
    </row>
    <row r="1282" spans="2:4" x14ac:dyDescent="0.25">
      <c r="B1282" s="90">
        <v>1278</v>
      </c>
      <c r="C1282" s="39">
        <f t="shared" si="40"/>
        <v>5158801.908159798</v>
      </c>
      <c r="D1282" s="39">
        <f t="shared" si="41"/>
        <v>4049810.2707101596</v>
      </c>
    </row>
    <row r="1283" spans="2:4" x14ac:dyDescent="0.25">
      <c r="B1283" s="90">
        <v>1279</v>
      </c>
      <c r="C1283" s="39">
        <f t="shared" si="40"/>
        <v>5161464.8204510026</v>
      </c>
      <c r="D1283" s="39">
        <f t="shared" si="41"/>
        <v>4052979.1363366935</v>
      </c>
    </row>
    <row r="1284" spans="2:4" x14ac:dyDescent="0.25">
      <c r="B1284" s="90">
        <v>1280</v>
      </c>
      <c r="C1284" s="39">
        <f t="shared" si="40"/>
        <v>5164127.7327422071</v>
      </c>
      <c r="D1284" s="39">
        <f t="shared" si="41"/>
        <v>4056148.0019632271</v>
      </c>
    </row>
    <row r="1285" spans="2:4" x14ac:dyDescent="0.25">
      <c r="B1285" s="90">
        <v>1281</v>
      </c>
      <c r="C1285" s="39">
        <f t="shared" si="40"/>
        <v>5166790.6450334126</v>
      </c>
      <c r="D1285" s="39">
        <f t="shared" si="41"/>
        <v>4059316.867589761</v>
      </c>
    </row>
    <row r="1286" spans="2:4" x14ac:dyDescent="0.25">
      <c r="B1286" s="90">
        <v>1282</v>
      </c>
      <c r="C1286" s="39">
        <f t="shared" si="40"/>
        <v>5169453.5573246172</v>
      </c>
      <c r="D1286" s="39">
        <f t="shared" si="41"/>
        <v>4062485.733216295</v>
      </c>
    </row>
    <row r="1287" spans="2:4" x14ac:dyDescent="0.25">
      <c r="B1287" s="90">
        <v>1283</v>
      </c>
      <c r="C1287" s="39">
        <f t="shared" si="40"/>
        <v>5172116.4696158227</v>
      </c>
      <c r="D1287" s="39">
        <f t="shared" si="41"/>
        <v>4065654.5988428285</v>
      </c>
    </row>
    <row r="1288" spans="2:4" x14ac:dyDescent="0.25">
      <c r="B1288" s="90">
        <v>1284</v>
      </c>
      <c r="C1288" s="39">
        <f t="shared" si="40"/>
        <v>5174779.3819070272</v>
      </c>
      <c r="D1288" s="39">
        <f t="shared" si="41"/>
        <v>4068823.4644693625</v>
      </c>
    </row>
    <row r="1289" spans="2:4" x14ac:dyDescent="0.25">
      <c r="B1289" s="90">
        <v>1285</v>
      </c>
      <c r="C1289" s="39">
        <f t="shared" si="40"/>
        <v>5177442.2941982318</v>
      </c>
      <c r="D1289" s="39">
        <f t="shared" si="41"/>
        <v>4071992.330095896</v>
      </c>
    </row>
    <row r="1290" spans="2:4" x14ac:dyDescent="0.25">
      <c r="B1290" s="90">
        <v>1286</v>
      </c>
      <c r="C1290" s="39">
        <f t="shared" si="40"/>
        <v>5180105.2064894363</v>
      </c>
      <c r="D1290" s="39">
        <f t="shared" si="41"/>
        <v>4075161.19572243</v>
      </c>
    </row>
    <row r="1291" spans="2:4" x14ac:dyDescent="0.25">
      <c r="B1291" s="90">
        <v>1287</v>
      </c>
      <c r="C1291" s="39">
        <f t="shared" si="40"/>
        <v>5182768.1187806409</v>
      </c>
      <c r="D1291" s="39">
        <f t="shared" si="41"/>
        <v>4078330.0613489635</v>
      </c>
    </row>
    <row r="1292" spans="2:4" x14ac:dyDescent="0.25">
      <c r="B1292" s="90">
        <v>1288</v>
      </c>
      <c r="C1292" s="39">
        <f t="shared" si="40"/>
        <v>5185431.0310718464</v>
      </c>
      <c r="D1292" s="39">
        <f t="shared" si="41"/>
        <v>4081498.9269754975</v>
      </c>
    </row>
    <row r="1293" spans="2:4" x14ac:dyDescent="0.25">
      <c r="B1293" s="90">
        <v>1289</v>
      </c>
      <c r="C1293" s="39">
        <f t="shared" si="40"/>
        <v>5188093.9433630519</v>
      </c>
      <c r="D1293" s="39">
        <f t="shared" si="41"/>
        <v>4084667.792602031</v>
      </c>
    </row>
    <row r="1294" spans="2:4" x14ac:dyDescent="0.25">
      <c r="B1294" s="90">
        <v>1290</v>
      </c>
      <c r="C1294" s="39">
        <f t="shared" si="40"/>
        <v>5190756.8556542564</v>
      </c>
      <c r="D1294" s="39">
        <f t="shared" si="41"/>
        <v>4087836.658228565</v>
      </c>
    </row>
    <row r="1295" spans="2:4" x14ac:dyDescent="0.25">
      <c r="B1295" s="90">
        <v>1291</v>
      </c>
      <c r="C1295" s="39">
        <f t="shared" si="40"/>
        <v>5193419.767945461</v>
      </c>
      <c r="D1295" s="39">
        <f t="shared" si="41"/>
        <v>4091005.523855099</v>
      </c>
    </row>
    <row r="1296" spans="2:4" x14ac:dyDescent="0.25">
      <c r="B1296" s="90">
        <v>1292</v>
      </c>
      <c r="C1296" s="39">
        <f t="shared" si="40"/>
        <v>5196082.6802366655</v>
      </c>
      <c r="D1296" s="39">
        <f t="shared" si="41"/>
        <v>4094174.3894816325</v>
      </c>
    </row>
    <row r="1297" spans="2:4" x14ac:dyDescent="0.25">
      <c r="B1297" s="90">
        <v>1293</v>
      </c>
      <c r="C1297" s="39">
        <f t="shared" si="40"/>
        <v>5198745.5925278701</v>
      </c>
      <c r="D1297" s="39">
        <f t="shared" si="41"/>
        <v>4097343.2551081665</v>
      </c>
    </row>
    <row r="1298" spans="2:4" x14ac:dyDescent="0.25">
      <c r="B1298" s="90">
        <v>1294</v>
      </c>
      <c r="C1298" s="39">
        <f t="shared" si="40"/>
        <v>5201408.5048190756</v>
      </c>
      <c r="D1298" s="39">
        <f t="shared" si="41"/>
        <v>4100512.1207347</v>
      </c>
    </row>
    <row r="1299" spans="2:4" x14ac:dyDescent="0.25">
      <c r="B1299" s="90">
        <v>1295</v>
      </c>
      <c r="C1299" s="39">
        <f t="shared" si="40"/>
        <v>5204071.4171102801</v>
      </c>
      <c r="D1299" s="39">
        <f t="shared" si="41"/>
        <v>4103680.986361234</v>
      </c>
    </row>
    <row r="1300" spans="2:4" x14ac:dyDescent="0.25">
      <c r="B1300" s="90">
        <v>1296</v>
      </c>
      <c r="C1300" s="39">
        <f t="shared" si="40"/>
        <v>5206734.3294014856</v>
      </c>
      <c r="D1300" s="39">
        <f t="shared" si="41"/>
        <v>4106849.8519877675</v>
      </c>
    </row>
    <row r="1301" spans="2:4" x14ac:dyDescent="0.25">
      <c r="B1301" s="90">
        <v>1297</v>
      </c>
      <c r="C1301" s="39">
        <f t="shared" si="40"/>
        <v>5209397.2416926902</v>
      </c>
      <c r="D1301" s="39">
        <f t="shared" si="41"/>
        <v>4110018.7176143015</v>
      </c>
    </row>
    <row r="1302" spans="2:4" x14ac:dyDescent="0.25">
      <c r="B1302" s="90">
        <v>1298</v>
      </c>
      <c r="C1302" s="39">
        <f t="shared" si="40"/>
        <v>5212060.1539838947</v>
      </c>
      <c r="D1302" s="39">
        <f t="shared" si="41"/>
        <v>4113187.583240835</v>
      </c>
    </row>
    <row r="1303" spans="2:4" x14ac:dyDescent="0.25">
      <c r="B1303" s="90">
        <v>1299</v>
      </c>
      <c r="C1303" s="39">
        <f t="shared" si="40"/>
        <v>5214723.0662750993</v>
      </c>
      <c r="D1303" s="39">
        <f t="shared" si="41"/>
        <v>4116356.448867369</v>
      </c>
    </row>
    <row r="1304" spans="2:4" x14ac:dyDescent="0.25">
      <c r="B1304" s="90">
        <v>1300</v>
      </c>
      <c r="C1304" s="39">
        <f t="shared" si="40"/>
        <v>5217385.9785663048</v>
      </c>
      <c r="D1304" s="39">
        <f t="shared" si="41"/>
        <v>4119525.3144939025</v>
      </c>
    </row>
    <row r="1305" spans="2:4" x14ac:dyDescent="0.25">
      <c r="B1305" s="90">
        <v>1301</v>
      </c>
      <c r="C1305" s="39">
        <f t="shared" si="40"/>
        <v>5220048.8908575093</v>
      </c>
      <c r="D1305" s="39">
        <f t="shared" si="41"/>
        <v>4122694.1801204365</v>
      </c>
    </row>
    <row r="1306" spans="2:4" x14ac:dyDescent="0.25">
      <c r="B1306" s="90">
        <v>1302</v>
      </c>
      <c r="C1306" s="39">
        <f t="shared" si="40"/>
        <v>5222711.8031487148</v>
      </c>
      <c r="D1306" s="39">
        <f t="shared" si="41"/>
        <v>4125863.0457469705</v>
      </c>
    </row>
    <row r="1307" spans="2:4" x14ac:dyDescent="0.25">
      <c r="B1307" s="90">
        <v>1303</v>
      </c>
      <c r="C1307" s="39">
        <f t="shared" si="40"/>
        <v>5225374.7154399194</v>
      </c>
      <c r="D1307" s="39">
        <f t="shared" si="41"/>
        <v>4129031.911373504</v>
      </c>
    </row>
    <row r="1308" spans="2:4" x14ac:dyDescent="0.25">
      <c r="B1308" s="90">
        <v>1304</v>
      </c>
      <c r="C1308" s="39">
        <f t="shared" si="40"/>
        <v>5228037.6277311239</v>
      </c>
      <c r="D1308" s="39">
        <f t="shared" si="41"/>
        <v>4132200.777000038</v>
      </c>
    </row>
    <row r="1309" spans="2:4" x14ac:dyDescent="0.25">
      <c r="B1309" s="90">
        <v>1305</v>
      </c>
      <c r="C1309" s="39">
        <f t="shared" si="40"/>
        <v>5230700.5400223285</v>
      </c>
      <c r="D1309" s="39">
        <f t="shared" si="41"/>
        <v>4135369.6426265715</v>
      </c>
    </row>
    <row r="1310" spans="2:4" x14ac:dyDescent="0.25">
      <c r="B1310" s="90">
        <v>1306</v>
      </c>
      <c r="C1310" s="39">
        <f t="shared" si="40"/>
        <v>5233363.4523135331</v>
      </c>
      <c r="D1310" s="39">
        <f t="shared" si="41"/>
        <v>4138538.5082531055</v>
      </c>
    </row>
    <row r="1311" spans="2:4" x14ac:dyDescent="0.25">
      <c r="B1311" s="90">
        <v>1307</v>
      </c>
      <c r="C1311" s="39">
        <f t="shared" si="40"/>
        <v>5236026.3646047385</v>
      </c>
      <c r="D1311" s="39">
        <f t="shared" si="41"/>
        <v>4141707.373879639</v>
      </c>
    </row>
    <row r="1312" spans="2:4" x14ac:dyDescent="0.25">
      <c r="B1312" s="90">
        <v>1308</v>
      </c>
      <c r="C1312" s="39">
        <f t="shared" si="40"/>
        <v>5238689.276895944</v>
      </c>
      <c r="D1312" s="39">
        <f t="shared" si="41"/>
        <v>4144876.2395061729</v>
      </c>
    </row>
    <row r="1313" spans="2:4" x14ac:dyDescent="0.25">
      <c r="B1313" s="90">
        <v>1309</v>
      </c>
      <c r="C1313" s="39">
        <f t="shared" si="40"/>
        <v>5241352.1891871486</v>
      </c>
      <c r="D1313" s="39">
        <f t="shared" si="41"/>
        <v>4148045.1051327065</v>
      </c>
    </row>
    <row r="1314" spans="2:4" x14ac:dyDescent="0.25">
      <c r="B1314" s="90">
        <v>1310</v>
      </c>
      <c r="C1314" s="39">
        <f t="shared" si="40"/>
        <v>5244015.1014783531</v>
      </c>
      <c r="D1314" s="39">
        <f t="shared" si="41"/>
        <v>4151213.9707592404</v>
      </c>
    </row>
    <row r="1315" spans="2:4" x14ac:dyDescent="0.25">
      <c r="B1315" s="90">
        <v>1311</v>
      </c>
      <c r="C1315" s="39">
        <f t="shared" si="40"/>
        <v>5246678.0137695577</v>
      </c>
      <c r="D1315" s="39">
        <f t="shared" si="41"/>
        <v>4154382.8363857744</v>
      </c>
    </row>
    <row r="1316" spans="2:4" x14ac:dyDescent="0.25">
      <c r="B1316" s="90">
        <v>1312</v>
      </c>
      <c r="C1316" s="39">
        <f t="shared" si="40"/>
        <v>5249340.9260607623</v>
      </c>
      <c r="D1316" s="39">
        <f t="shared" si="41"/>
        <v>4157551.7020123079</v>
      </c>
    </row>
    <row r="1317" spans="2:4" x14ac:dyDescent="0.25">
      <c r="B1317" s="90">
        <v>1313</v>
      </c>
      <c r="C1317" s="39">
        <f t="shared" si="40"/>
        <v>5252003.8383519677</v>
      </c>
      <c r="D1317" s="39">
        <f t="shared" si="41"/>
        <v>4160720.5676388419</v>
      </c>
    </row>
    <row r="1318" spans="2:4" x14ac:dyDescent="0.25">
      <c r="B1318" s="90">
        <v>1314</v>
      </c>
      <c r="C1318" s="39">
        <f t="shared" si="40"/>
        <v>5254666.7506431723</v>
      </c>
      <c r="D1318" s="39">
        <f t="shared" si="41"/>
        <v>4163889.4332653754</v>
      </c>
    </row>
    <row r="1319" spans="2:4" x14ac:dyDescent="0.25">
      <c r="B1319" s="90">
        <v>1315</v>
      </c>
      <c r="C1319" s="39">
        <f t="shared" si="40"/>
        <v>5257329.6629343778</v>
      </c>
      <c r="D1319" s="39">
        <f t="shared" si="41"/>
        <v>4167058.2988919094</v>
      </c>
    </row>
    <row r="1320" spans="2:4" x14ac:dyDescent="0.25">
      <c r="B1320" s="90">
        <v>1316</v>
      </c>
      <c r="C1320" s="39">
        <f t="shared" si="40"/>
        <v>5259992.5752255823</v>
      </c>
      <c r="D1320" s="39">
        <f t="shared" si="41"/>
        <v>4170227.1645184429</v>
      </c>
    </row>
    <row r="1321" spans="2:4" x14ac:dyDescent="0.25">
      <c r="B1321" s="90">
        <v>1317</v>
      </c>
      <c r="C1321" s="39">
        <f t="shared" si="40"/>
        <v>5262655.4875167869</v>
      </c>
      <c r="D1321" s="39">
        <f t="shared" si="41"/>
        <v>4173396.0301449769</v>
      </c>
    </row>
    <row r="1322" spans="2:4" x14ac:dyDescent="0.25">
      <c r="B1322" s="90">
        <v>1318</v>
      </c>
      <c r="C1322" s="39">
        <f t="shared" si="40"/>
        <v>5265318.3998079915</v>
      </c>
      <c r="D1322" s="39">
        <f t="shared" si="41"/>
        <v>4176564.8957715104</v>
      </c>
    </row>
    <row r="1323" spans="2:4" x14ac:dyDescent="0.25">
      <c r="B1323" s="90">
        <v>1319</v>
      </c>
      <c r="C1323" s="39">
        <f t="shared" si="40"/>
        <v>5267981.3120991969</v>
      </c>
      <c r="D1323" s="39">
        <f t="shared" si="41"/>
        <v>4179733.7613980444</v>
      </c>
    </row>
    <row r="1324" spans="2:4" x14ac:dyDescent="0.25">
      <c r="B1324" s="90">
        <v>1320</v>
      </c>
      <c r="C1324" s="39">
        <f t="shared" si="40"/>
        <v>5270644.2243904015</v>
      </c>
      <c r="D1324" s="39">
        <f t="shared" si="41"/>
        <v>4182902.6270245779</v>
      </c>
    </row>
    <row r="1325" spans="2:4" x14ac:dyDescent="0.25">
      <c r="B1325" s="90">
        <v>1321</v>
      </c>
      <c r="C1325" s="39">
        <f t="shared" si="40"/>
        <v>5273307.136681607</v>
      </c>
      <c r="D1325" s="39">
        <f t="shared" si="41"/>
        <v>4186071.4926511119</v>
      </c>
    </row>
    <row r="1326" spans="2:4" x14ac:dyDescent="0.25">
      <c r="B1326" s="90">
        <v>1322</v>
      </c>
      <c r="C1326" s="39">
        <f t="shared" si="40"/>
        <v>5275970.0489728115</v>
      </c>
      <c r="D1326" s="39">
        <f t="shared" si="41"/>
        <v>4189240.3582776459</v>
      </c>
    </row>
    <row r="1327" spans="2:4" x14ac:dyDescent="0.25">
      <c r="B1327" s="90">
        <v>1323</v>
      </c>
      <c r="C1327" s="39">
        <f t="shared" si="40"/>
        <v>5278632.9612640161</v>
      </c>
      <c r="D1327" s="39">
        <f t="shared" si="41"/>
        <v>4192409.2239041794</v>
      </c>
    </row>
    <row r="1328" spans="2:4" x14ac:dyDescent="0.25">
      <c r="B1328" s="90">
        <v>1324</v>
      </c>
      <c r="C1328" s="39">
        <f t="shared" si="40"/>
        <v>5281295.8735552207</v>
      </c>
      <c r="D1328" s="39">
        <f t="shared" si="41"/>
        <v>4195578.0895307129</v>
      </c>
    </row>
    <row r="1329" spans="2:4" x14ac:dyDescent="0.25">
      <c r="B1329" s="90">
        <v>1325</v>
      </c>
      <c r="C1329" s="39">
        <f t="shared" ref="C1329:C1392" si="42">($C$2*B1329)+$C$1</f>
        <v>5283958.7858464252</v>
      </c>
      <c r="D1329" s="39">
        <f t="shared" ref="D1329:D1392" si="43">$D$2*B1329</f>
        <v>4198746.9551572474</v>
      </c>
    </row>
    <row r="1330" spans="2:4" x14ac:dyDescent="0.25">
      <c r="B1330" s="90">
        <v>1326</v>
      </c>
      <c r="C1330" s="39">
        <f t="shared" si="42"/>
        <v>5286621.6981376307</v>
      </c>
      <c r="D1330" s="39">
        <f t="shared" si="43"/>
        <v>4201915.8207837809</v>
      </c>
    </row>
    <row r="1331" spans="2:4" x14ac:dyDescent="0.25">
      <c r="B1331" s="90">
        <v>1327</v>
      </c>
      <c r="C1331" s="39">
        <f t="shared" si="42"/>
        <v>5289284.6104288362</v>
      </c>
      <c r="D1331" s="39">
        <f t="shared" si="43"/>
        <v>4205084.6864103144</v>
      </c>
    </row>
    <row r="1332" spans="2:4" x14ac:dyDescent="0.25">
      <c r="B1332" s="90">
        <v>1328</v>
      </c>
      <c r="C1332" s="39">
        <f t="shared" si="42"/>
        <v>5291947.5227200408</v>
      </c>
      <c r="D1332" s="39">
        <f t="shared" si="43"/>
        <v>4208253.5520368479</v>
      </c>
    </row>
    <row r="1333" spans="2:4" x14ac:dyDescent="0.25">
      <c r="B1333" s="90">
        <v>1329</v>
      </c>
      <c r="C1333" s="39">
        <f t="shared" si="42"/>
        <v>5294610.4350112453</v>
      </c>
      <c r="D1333" s="39">
        <f t="shared" si="43"/>
        <v>4211422.4176633824</v>
      </c>
    </row>
    <row r="1334" spans="2:4" x14ac:dyDescent="0.25">
      <c r="B1334" s="90">
        <v>1330</v>
      </c>
      <c r="C1334" s="39">
        <f t="shared" si="42"/>
        <v>5297273.3473024499</v>
      </c>
      <c r="D1334" s="39">
        <f t="shared" si="43"/>
        <v>4214591.2832899159</v>
      </c>
    </row>
    <row r="1335" spans="2:4" x14ac:dyDescent="0.25">
      <c r="B1335" s="90">
        <v>1331</v>
      </c>
      <c r="C1335" s="39">
        <f t="shared" si="42"/>
        <v>5299936.2595936544</v>
      </c>
      <c r="D1335" s="39">
        <f t="shared" si="43"/>
        <v>4217760.1489164494</v>
      </c>
    </row>
    <row r="1336" spans="2:4" x14ac:dyDescent="0.25">
      <c r="B1336" s="90">
        <v>1332</v>
      </c>
      <c r="C1336" s="39">
        <f t="shared" si="42"/>
        <v>5302599.1718848599</v>
      </c>
      <c r="D1336" s="39">
        <f t="shared" si="43"/>
        <v>4220929.0145429838</v>
      </c>
    </row>
    <row r="1337" spans="2:4" x14ac:dyDescent="0.25">
      <c r="B1337" s="90">
        <v>1333</v>
      </c>
      <c r="C1337" s="39">
        <f t="shared" si="42"/>
        <v>5305262.0841760645</v>
      </c>
      <c r="D1337" s="39">
        <f t="shared" si="43"/>
        <v>4224097.8801695174</v>
      </c>
    </row>
    <row r="1338" spans="2:4" x14ac:dyDescent="0.25">
      <c r="B1338" s="90">
        <v>1334</v>
      </c>
      <c r="C1338" s="39">
        <f t="shared" si="42"/>
        <v>5307924.99646727</v>
      </c>
      <c r="D1338" s="39">
        <f t="shared" si="43"/>
        <v>4227266.7457960509</v>
      </c>
    </row>
    <row r="1339" spans="2:4" x14ac:dyDescent="0.25">
      <c r="B1339" s="90">
        <v>1335</v>
      </c>
      <c r="C1339" s="39">
        <f t="shared" si="42"/>
        <v>5310587.9087584745</v>
      </c>
      <c r="D1339" s="39">
        <f t="shared" si="43"/>
        <v>4230435.6114225844</v>
      </c>
    </row>
    <row r="1340" spans="2:4" x14ac:dyDescent="0.25">
      <c r="B1340" s="90">
        <v>1336</v>
      </c>
      <c r="C1340" s="39">
        <f t="shared" si="42"/>
        <v>5313250.8210496791</v>
      </c>
      <c r="D1340" s="39">
        <f t="shared" si="43"/>
        <v>4233604.4770491188</v>
      </c>
    </row>
    <row r="1341" spans="2:4" x14ac:dyDescent="0.25">
      <c r="B1341" s="90">
        <v>1337</v>
      </c>
      <c r="C1341" s="39">
        <f t="shared" si="42"/>
        <v>5315913.7333408836</v>
      </c>
      <c r="D1341" s="39">
        <f t="shared" si="43"/>
        <v>4236773.3426756524</v>
      </c>
    </row>
    <row r="1342" spans="2:4" x14ac:dyDescent="0.25">
      <c r="B1342" s="90">
        <v>1338</v>
      </c>
      <c r="C1342" s="39">
        <f t="shared" si="42"/>
        <v>5318576.6456320882</v>
      </c>
      <c r="D1342" s="39">
        <f t="shared" si="43"/>
        <v>4239942.2083021859</v>
      </c>
    </row>
    <row r="1343" spans="2:4" x14ac:dyDescent="0.25">
      <c r="B1343" s="90">
        <v>1339</v>
      </c>
      <c r="C1343" s="39">
        <f t="shared" si="42"/>
        <v>5321239.5579232937</v>
      </c>
      <c r="D1343" s="39">
        <f t="shared" si="43"/>
        <v>4243111.0739287194</v>
      </c>
    </row>
    <row r="1344" spans="2:4" x14ac:dyDescent="0.25">
      <c r="B1344" s="90">
        <v>1340</v>
      </c>
      <c r="C1344" s="39">
        <f t="shared" si="42"/>
        <v>5323902.4702144992</v>
      </c>
      <c r="D1344" s="39">
        <f t="shared" si="43"/>
        <v>4246279.9395552538</v>
      </c>
    </row>
    <row r="1345" spans="2:4" x14ac:dyDescent="0.25">
      <c r="B1345" s="90">
        <v>1341</v>
      </c>
      <c r="C1345" s="39">
        <f t="shared" si="42"/>
        <v>5326565.3825057037</v>
      </c>
      <c r="D1345" s="39">
        <f t="shared" si="43"/>
        <v>4249448.8051817873</v>
      </c>
    </row>
    <row r="1346" spans="2:4" x14ac:dyDescent="0.25">
      <c r="B1346" s="90">
        <v>1342</v>
      </c>
      <c r="C1346" s="39">
        <f t="shared" si="42"/>
        <v>5329228.2947969083</v>
      </c>
      <c r="D1346" s="39">
        <f t="shared" si="43"/>
        <v>4252617.6708083209</v>
      </c>
    </row>
    <row r="1347" spans="2:4" x14ac:dyDescent="0.25">
      <c r="B1347" s="90">
        <v>1343</v>
      </c>
      <c r="C1347" s="39">
        <f t="shared" si="42"/>
        <v>5331891.2070881128</v>
      </c>
      <c r="D1347" s="39">
        <f t="shared" si="43"/>
        <v>4255786.5364348553</v>
      </c>
    </row>
    <row r="1348" spans="2:4" x14ac:dyDescent="0.25">
      <c r="B1348" s="90">
        <v>1344</v>
      </c>
      <c r="C1348" s="39">
        <f t="shared" si="42"/>
        <v>5334554.1193793174</v>
      </c>
      <c r="D1348" s="39">
        <f t="shared" si="43"/>
        <v>4258955.4020613888</v>
      </c>
    </row>
    <row r="1349" spans="2:4" x14ac:dyDescent="0.25">
      <c r="B1349" s="90">
        <v>1345</v>
      </c>
      <c r="C1349" s="39">
        <f t="shared" si="42"/>
        <v>5337217.0316705229</v>
      </c>
      <c r="D1349" s="39">
        <f t="shared" si="43"/>
        <v>4262124.2676879223</v>
      </c>
    </row>
    <row r="1350" spans="2:4" x14ac:dyDescent="0.25">
      <c r="B1350" s="90">
        <v>1346</v>
      </c>
      <c r="C1350" s="39">
        <f t="shared" si="42"/>
        <v>5339879.9439617284</v>
      </c>
      <c r="D1350" s="39">
        <f t="shared" si="43"/>
        <v>4265293.1333144559</v>
      </c>
    </row>
    <row r="1351" spans="2:4" x14ac:dyDescent="0.25">
      <c r="B1351" s="90">
        <v>1347</v>
      </c>
      <c r="C1351" s="39">
        <f t="shared" si="42"/>
        <v>5342542.8562529329</v>
      </c>
      <c r="D1351" s="39">
        <f t="shared" si="43"/>
        <v>4268461.9989409903</v>
      </c>
    </row>
    <row r="1352" spans="2:4" x14ac:dyDescent="0.25">
      <c r="B1352" s="90">
        <v>1348</v>
      </c>
      <c r="C1352" s="39">
        <f t="shared" si="42"/>
        <v>5345205.7685441375</v>
      </c>
      <c r="D1352" s="39">
        <f t="shared" si="43"/>
        <v>4271630.8645675238</v>
      </c>
    </row>
    <row r="1353" spans="2:4" x14ac:dyDescent="0.25">
      <c r="B1353" s="90">
        <v>1349</v>
      </c>
      <c r="C1353" s="39">
        <f t="shared" si="42"/>
        <v>5347868.680835342</v>
      </c>
      <c r="D1353" s="39">
        <f t="shared" si="43"/>
        <v>4274799.7301940573</v>
      </c>
    </row>
    <row r="1354" spans="2:4" x14ac:dyDescent="0.25">
      <c r="B1354" s="90">
        <v>1350</v>
      </c>
      <c r="C1354" s="39">
        <f t="shared" si="42"/>
        <v>5350531.5931265466</v>
      </c>
      <c r="D1354" s="39">
        <f t="shared" si="43"/>
        <v>4277968.5958205909</v>
      </c>
    </row>
    <row r="1355" spans="2:4" x14ac:dyDescent="0.25">
      <c r="B1355" s="90">
        <v>1351</v>
      </c>
      <c r="C1355" s="39">
        <f t="shared" si="42"/>
        <v>5353194.5054177521</v>
      </c>
      <c r="D1355" s="39">
        <f t="shared" si="43"/>
        <v>4281137.4614471253</v>
      </c>
    </row>
    <row r="1356" spans="2:4" x14ac:dyDescent="0.25">
      <c r="B1356" s="90">
        <v>1352</v>
      </c>
      <c r="C1356" s="39">
        <f t="shared" si="42"/>
        <v>5355857.4177089566</v>
      </c>
      <c r="D1356" s="39">
        <f t="shared" si="43"/>
        <v>4284306.3270736588</v>
      </c>
    </row>
    <row r="1357" spans="2:4" x14ac:dyDescent="0.25">
      <c r="B1357" s="90">
        <v>1353</v>
      </c>
      <c r="C1357" s="39">
        <f t="shared" si="42"/>
        <v>5358520.3300001621</v>
      </c>
      <c r="D1357" s="39">
        <f t="shared" si="43"/>
        <v>4287475.1927001923</v>
      </c>
    </row>
    <row r="1358" spans="2:4" x14ac:dyDescent="0.25">
      <c r="B1358" s="90">
        <v>1354</v>
      </c>
      <c r="C1358" s="39">
        <f t="shared" si="42"/>
        <v>5361183.2422913667</v>
      </c>
      <c r="D1358" s="39">
        <f t="shared" si="43"/>
        <v>4290644.0583267268</v>
      </c>
    </row>
    <row r="1359" spans="2:4" x14ac:dyDescent="0.25">
      <c r="B1359" s="90">
        <v>1355</v>
      </c>
      <c r="C1359" s="39">
        <f t="shared" si="42"/>
        <v>5363846.1545825712</v>
      </c>
      <c r="D1359" s="39">
        <f t="shared" si="43"/>
        <v>4293812.9239532603</v>
      </c>
    </row>
    <row r="1360" spans="2:4" x14ac:dyDescent="0.25">
      <c r="B1360" s="90">
        <v>1356</v>
      </c>
      <c r="C1360" s="39">
        <f t="shared" si="42"/>
        <v>5366509.0668737758</v>
      </c>
      <c r="D1360" s="39">
        <f t="shared" si="43"/>
        <v>4296981.7895797938</v>
      </c>
    </row>
    <row r="1361" spans="2:4" x14ac:dyDescent="0.25">
      <c r="B1361" s="90">
        <v>1357</v>
      </c>
      <c r="C1361" s="39">
        <f t="shared" si="42"/>
        <v>5369171.9791649804</v>
      </c>
      <c r="D1361" s="39">
        <f t="shared" si="43"/>
        <v>4300150.6552063273</v>
      </c>
    </row>
    <row r="1362" spans="2:4" x14ac:dyDescent="0.25">
      <c r="B1362" s="90">
        <v>1358</v>
      </c>
      <c r="C1362" s="39">
        <f t="shared" si="42"/>
        <v>5371834.8914561858</v>
      </c>
      <c r="D1362" s="39">
        <f t="shared" si="43"/>
        <v>4303319.5208328618</v>
      </c>
    </row>
    <row r="1363" spans="2:4" x14ac:dyDescent="0.25">
      <c r="B1363" s="90">
        <v>1359</v>
      </c>
      <c r="C1363" s="39">
        <f t="shared" si="42"/>
        <v>5374497.8037473913</v>
      </c>
      <c r="D1363" s="39">
        <f t="shared" si="43"/>
        <v>4306488.3864593953</v>
      </c>
    </row>
    <row r="1364" spans="2:4" x14ac:dyDescent="0.25">
      <c r="B1364" s="90">
        <v>1360</v>
      </c>
      <c r="C1364" s="39">
        <f t="shared" si="42"/>
        <v>5377160.7160385959</v>
      </c>
      <c r="D1364" s="39">
        <f t="shared" si="43"/>
        <v>4309657.2520859288</v>
      </c>
    </row>
    <row r="1365" spans="2:4" x14ac:dyDescent="0.25">
      <c r="B1365" s="90">
        <v>1361</v>
      </c>
      <c r="C1365" s="39">
        <f t="shared" si="42"/>
        <v>5379823.6283298004</v>
      </c>
      <c r="D1365" s="39">
        <f t="shared" si="43"/>
        <v>4312826.1177124623</v>
      </c>
    </row>
    <row r="1366" spans="2:4" x14ac:dyDescent="0.25">
      <c r="B1366" s="90">
        <v>1362</v>
      </c>
      <c r="C1366" s="39">
        <f t="shared" si="42"/>
        <v>5382486.540621005</v>
      </c>
      <c r="D1366" s="39">
        <f t="shared" si="43"/>
        <v>4315994.9833389968</v>
      </c>
    </row>
    <row r="1367" spans="2:4" x14ac:dyDescent="0.25">
      <c r="B1367" s="90">
        <v>1363</v>
      </c>
      <c r="C1367" s="39">
        <f t="shared" si="42"/>
        <v>5385149.4529122096</v>
      </c>
      <c r="D1367" s="39">
        <f t="shared" si="43"/>
        <v>4319163.8489655303</v>
      </c>
    </row>
    <row r="1368" spans="2:4" x14ac:dyDescent="0.25">
      <c r="B1368" s="90">
        <v>1364</v>
      </c>
      <c r="C1368" s="39">
        <f t="shared" si="42"/>
        <v>5387812.365203415</v>
      </c>
      <c r="D1368" s="39">
        <f t="shared" si="43"/>
        <v>4322332.7145920638</v>
      </c>
    </row>
    <row r="1369" spans="2:4" x14ac:dyDescent="0.25">
      <c r="B1369" s="90">
        <v>1365</v>
      </c>
      <c r="C1369" s="39">
        <f t="shared" si="42"/>
        <v>5390475.2774946196</v>
      </c>
      <c r="D1369" s="39">
        <f t="shared" si="43"/>
        <v>4325501.5802185982</v>
      </c>
    </row>
    <row r="1370" spans="2:4" x14ac:dyDescent="0.25">
      <c r="B1370" s="90">
        <v>1366</v>
      </c>
      <c r="C1370" s="39">
        <f t="shared" si="42"/>
        <v>5393138.1897858251</v>
      </c>
      <c r="D1370" s="39">
        <f t="shared" si="43"/>
        <v>4328670.4458451318</v>
      </c>
    </row>
    <row r="1371" spans="2:4" x14ac:dyDescent="0.25">
      <c r="B1371" s="90">
        <v>1367</v>
      </c>
      <c r="C1371" s="39">
        <f t="shared" si="42"/>
        <v>5395801.1020770296</v>
      </c>
      <c r="D1371" s="39">
        <f t="shared" si="43"/>
        <v>4331839.3114716653</v>
      </c>
    </row>
    <row r="1372" spans="2:4" x14ac:dyDescent="0.25">
      <c r="B1372" s="90">
        <v>1368</v>
      </c>
      <c r="C1372" s="39">
        <f t="shared" si="42"/>
        <v>5398464.0143682342</v>
      </c>
      <c r="D1372" s="39">
        <f t="shared" si="43"/>
        <v>4335008.1770981988</v>
      </c>
    </row>
    <row r="1373" spans="2:4" x14ac:dyDescent="0.25">
      <c r="B1373" s="90">
        <v>1369</v>
      </c>
      <c r="C1373" s="39">
        <f t="shared" si="42"/>
        <v>5401126.9266594388</v>
      </c>
      <c r="D1373" s="39">
        <f t="shared" si="43"/>
        <v>4338177.0427247332</v>
      </c>
    </row>
    <row r="1374" spans="2:4" x14ac:dyDescent="0.25">
      <c r="B1374" s="90">
        <v>1370</v>
      </c>
      <c r="C1374" s="39">
        <f t="shared" si="42"/>
        <v>5403789.8389506442</v>
      </c>
      <c r="D1374" s="39">
        <f t="shared" si="43"/>
        <v>4341345.9083512668</v>
      </c>
    </row>
    <row r="1375" spans="2:4" x14ac:dyDescent="0.25">
      <c r="B1375" s="90">
        <v>1371</v>
      </c>
      <c r="C1375" s="39">
        <f t="shared" si="42"/>
        <v>5406452.7512418488</v>
      </c>
      <c r="D1375" s="39">
        <f t="shared" si="43"/>
        <v>4344514.7739778003</v>
      </c>
    </row>
    <row r="1376" spans="2:4" x14ac:dyDescent="0.25">
      <c r="B1376" s="90">
        <v>1372</v>
      </c>
      <c r="C1376" s="39">
        <f t="shared" si="42"/>
        <v>5409115.6635330543</v>
      </c>
      <c r="D1376" s="39">
        <f t="shared" si="43"/>
        <v>4347683.6396043338</v>
      </c>
    </row>
    <row r="1377" spans="2:4" x14ac:dyDescent="0.25">
      <c r="B1377" s="90">
        <v>1373</v>
      </c>
      <c r="C1377" s="39">
        <f t="shared" si="42"/>
        <v>5411778.5758242588</v>
      </c>
      <c r="D1377" s="39">
        <f t="shared" si="43"/>
        <v>4350852.5052308682</v>
      </c>
    </row>
    <row r="1378" spans="2:4" x14ac:dyDescent="0.25">
      <c r="B1378" s="90">
        <v>1374</v>
      </c>
      <c r="C1378" s="39">
        <f t="shared" si="42"/>
        <v>5414441.4881154634</v>
      </c>
      <c r="D1378" s="39">
        <f t="shared" si="43"/>
        <v>4354021.3708574018</v>
      </c>
    </row>
    <row r="1379" spans="2:4" x14ac:dyDescent="0.25">
      <c r="B1379" s="90">
        <v>1375</v>
      </c>
      <c r="C1379" s="39">
        <f t="shared" si="42"/>
        <v>5417104.400406668</v>
      </c>
      <c r="D1379" s="39">
        <f t="shared" si="43"/>
        <v>4357190.2364839353</v>
      </c>
    </row>
    <row r="1380" spans="2:4" x14ac:dyDescent="0.25">
      <c r="B1380" s="90">
        <v>1376</v>
      </c>
      <c r="C1380" s="39">
        <f t="shared" si="42"/>
        <v>5419767.3126978725</v>
      </c>
      <c r="D1380" s="39">
        <f t="shared" si="43"/>
        <v>4360359.1021104697</v>
      </c>
    </row>
    <row r="1381" spans="2:4" x14ac:dyDescent="0.25">
      <c r="B1381" s="90">
        <v>1377</v>
      </c>
      <c r="C1381" s="39">
        <f t="shared" si="42"/>
        <v>5422430.224989078</v>
      </c>
      <c r="D1381" s="39">
        <f t="shared" si="43"/>
        <v>4363527.9677370032</v>
      </c>
    </row>
    <row r="1382" spans="2:4" x14ac:dyDescent="0.25">
      <c r="B1382" s="90">
        <v>1378</v>
      </c>
      <c r="C1382" s="39">
        <f t="shared" si="42"/>
        <v>5425093.1372802835</v>
      </c>
      <c r="D1382" s="39">
        <f t="shared" si="43"/>
        <v>4366696.8333635367</v>
      </c>
    </row>
    <row r="1383" spans="2:4" x14ac:dyDescent="0.25">
      <c r="B1383" s="90">
        <v>1379</v>
      </c>
      <c r="C1383" s="39">
        <f t="shared" si="42"/>
        <v>5427756.0495714881</v>
      </c>
      <c r="D1383" s="39">
        <f t="shared" si="43"/>
        <v>4369865.6989900703</v>
      </c>
    </row>
    <row r="1384" spans="2:4" x14ac:dyDescent="0.25">
      <c r="B1384" s="90">
        <v>1380</v>
      </c>
      <c r="C1384" s="39">
        <f t="shared" si="42"/>
        <v>5430418.9618626926</v>
      </c>
      <c r="D1384" s="39">
        <f t="shared" si="43"/>
        <v>4373034.5646166047</v>
      </c>
    </row>
    <row r="1385" spans="2:4" x14ac:dyDescent="0.25">
      <c r="B1385" s="90">
        <v>1381</v>
      </c>
      <c r="C1385" s="39">
        <f t="shared" si="42"/>
        <v>5433081.8741538972</v>
      </c>
      <c r="D1385" s="39">
        <f t="shared" si="43"/>
        <v>4376203.4302431382</v>
      </c>
    </row>
    <row r="1386" spans="2:4" x14ac:dyDescent="0.25">
      <c r="B1386" s="90">
        <v>1382</v>
      </c>
      <c r="C1386" s="39">
        <f t="shared" si="42"/>
        <v>5435744.7864451017</v>
      </c>
      <c r="D1386" s="39">
        <f t="shared" si="43"/>
        <v>4379372.2958696717</v>
      </c>
    </row>
    <row r="1387" spans="2:4" x14ac:dyDescent="0.25">
      <c r="B1387" s="90">
        <v>1383</v>
      </c>
      <c r="C1387" s="39">
        <f t="shared" si="42"/>
        <v>5438407.6987363072</v>
      </c>
      <c r="D1387" s="39">
        <f t="shared" si="43"/>
        <v>4382541.1614962062</v>
      </c>
    </row>
    <row r="1388" spans="2:4" x14ac:dyDescent="0.25">
      <c r="B1388" s="90">
        <v>1384</v>
      </c>
      <c r="C1388" s="39">
        <f t="shared" si="42"/>
        <v>5441070.6110275118</v>
      </c>
      <c r="D1388" s="39">
        <f t="shared" si="43"/>
        <v>4385710.0271227397</v>
      </c>
    </row>
    <row r="1389" spans="2:4" x14ac:dyDescent="0.25">
      <c r="B1389" s="90">
        <v>1385</v>
      </c>
      <c r="C1389" s="39">
        <f t="shared" si="42"/>
        <v>5443733.5233187173</v>
      </c>
      <c r="D1389" s="39">
        <f t="shared" si="43"/>
        <v>4388878.8927492732</v>
      </c>
    </row>
    <row r="1390" spans="2:4" x14ac:dyDescent="0.25">
      <c r="B1390" s="90">
        <v>1386</v>
      </c>
      <c r="C1390" s="39">
        <f t="shared" si="42"/>
        <v>5446396.4356099218</v>
      </c>
      <c r="D1390" s="39">
        <f t="shared" si="43"/>
        <v>4392047.7583758067</v>
      </c>
    </row>
    <row r="1391" spans="2:4" x14ac:dyDescent="0.25">
      <c r="B1391" s="90">
        <v>1387</v>
      </c>
      <c r="C1391" s="39">
        <f t="shared" si="42"/>
        <v>5449059.3479011264</v>
      </c>
      <c r="D1391" s="39">
        <f t="shared" si="43"/>
        <v>4395216.6240023412</v>
      </c>
    </row>
    <row r="1392" spans="2:4" x14ac:dyDescent="0.25">
      <c r="B1392" s="90">
        <v>1388</v>
      </c>
      <c r="C1392" s="39">
        <f t="shared" si="42"/>
        <v>5451722.2601923309</v>
      </c>
      <c r="D1392" s="39">
        <f t="shared" si="43"/>
        <v>4398385.4896288747</v>
      </c>
    </row>
    <row r="1393" spans="2:4" x14ac:dyDescent="0.25">
      <c r="B1393" s="90">
        <v>1389</v>
      </c>
      <c r="C1393" s="39">
        <f t="shared" ref="C1393:C1456" si="44">($C$2*B1393)+$C$1</f>
        <v>5454385.1724835364</v>
      </c>
      <c r="D1393" s="39">
        <f t="shared" ref="D1393:D1456" si="45">$D$2*B1393</f>
        <v>4401554.3552554082</v>
      </c>
    </row>
    <row r="1394" spans="2:4" x14ac:dyDescent="0.25">
      <c r="B1394" s="90">
        <v>1390</v>
      </c>
      <c r="C1394" s="39">
        <f t="shared" si="44"/>
        <v>5457048.084774741</v>
      </c>
      <c r="D1394" s="39">
        <f t="shared" si="45"/>
        <v>4404723.2208819417</v>
      </c>
    </row>
    <row r="1395" spans="2:4" x14ac:dyDescent="0.25">
      <c r="B1395" s="90">
        <v>1391</v>
      </c>
      <c r="C1395" s="39">
        <f t="shared" si="44"/>
        <v>5459710.9970659465</v>
      </c>
      <c r="D1395" s="39">
        <f t="shared" si="45"/>
        <v>4407892.0865084762</v>
      </c>
    </row>
    <row r="1396" spans="2:4" x14ac:dyDescent="0.25">
      <c r="B1396" s="90">
        <v>1392</v>
      </c>
      <c r="C1396" s="39">
        <f t="shared" si="44"/>
        <v>5462373.909357151</v>
      </c>
      <c r="D1396" s="39">
        <f t="shared" si="45"/>
        <v>4411060.9521350097</v>
      </c>
    </row>
    <row r="1397" spans="2:4" x14ac:dyDescent="0.25">
      <c r="B1397" s="90">
        <v>1393</v>
      </c>
      <c r="C1397" s="39">
        <f t="shared" si="44"/>
        <v>5465036.8216483556</v>
      </c>
      <c r="D1397" s="39">
        <f t="shared" si="45"/>
        <v>4414229.8177615432</v>
      </c>
    </row>
    <row r="1398" spans="2:4" x14ac:dyDescent="0.25">
      <c r="B1398" s="90">
        <v>1394</v>
      </c>
      <c r="C1398" s="39">
        <f t="shared" si="44"/>
        <v>5467699.7339395601</v>
      </c>
      <c r="D1398" s="39">
        <f t="shared" si="45"/>
        <v>4417398.6833880777</v>
      </c>
    </row>
    <row r="1399" spans="2:4" x14ac:dyDescent="0.25">
      <c r="B1399" s="90">
        <v>1395</v>
      </c>
      <c r="C1399" s="39">
        <f t="shared" si="44"/>
        <v>5470362.6462307647</v>
      </c>
      <c r="D1399" s="39">
        <f t="shared" si="45"/>
        <v>4420567.5490146112</v>
      </c>
    </row>
    <row r="1400" spans="2:4" x14ac:dyDescent="0.25">
      <c r="B1400" s="90">
        <v>1396</v>
      </c>
      <c r="C1400" s="39">
        <f t="shared" si="44"/>
        <v>5473025.5585219702</v>
      </c>
      <c r="D1400" s="39">
        <f t="shared" si="45"/>
        <v>4423736.4146411447</v>
      </c>
    </row>
    <row r="1401" spans="2:4" x14ac:dyDescent="0.25">
      <c r="B1401" s="90">
        <v>1397</v>
      </c>
      <c r="C1401" s="39">
        <f t="shared" si="44"/>
        <v>5475688.4708131757</v>
      </c>
      <c r="D1401" s="39">
        <f t="shared" si="45"/>
        <v>4426905.2802676782</v>
      </c>
    </row>
    <row r="1402" spans="2:4" x14ac:dyDescent="0.25">
      <c r="B1402" s="90">
        <v>1398</v>
      </c>
      <c r="C1402" s="39">
        <f t="shared" si="44"/>
        <v>5478351.3831043802</v>
      </c>
      <c r="D1402" s="39">
        <f t="shared" si="45"/>
        <v>4430074.1458942126</v>
      </c>
    </row>
    <row r="1403" spans="2:4" x14ac:dyDescent="0.25">
      <c r="B1403" s="90">
        <v>1399</v>
      </c>
      <c r="C1403" s="39">
        <f t="shared" si="44"/>
        <v>5481014.2953955848</v>
      </c>
      <c r="D1403" s="39">
        <f t="shared" si="45"/>
        <v>4433243.0115207462</v>
      </c>
    </row>
    <row r="1404" spans="2:4" x14ac:dyDescent="0.25">
      <c r="B1404" s="90">
        <v>1400</v>
      </c>
      <c r="C1404" s="39">
        <f t="shared" si="44"/>
        <v>5483677.2076867893</v>
      </c>
      <c r="D1404" s="39">
        <f t="shared" si="45"/>
        <v>4436411.8771472797</v>
      </c>
    </row>
    <row r="1405" spans="2:4" x14ac:dyDescent="0.25">
      <c r="B1405" s="90">
        <v>1401</v>
      </c>
      <c r="C1405" s="39">
        <f t="shared" si="44"/>
        <v>5486340.1199779939</v>
      </c>
      <c r="D1405" s="39">
        <f t="shared" si="45"/>
        <v>4439580.7427738132</v>
      </c>
    </row>
    <row r="1406" spans="2:4" x14ac:dyDescent="0.25">
      <c r="B1406" s="90">
        <v>1402</v>
      </c>
      <c r="C1406" s="39">
        <f t="shared" si="44"/>
        <v>5489003.0322691994</v>
      </c>
      <c r="D1406" s="39">
        <f t="shared" si="45"/>
        <v>4442749.6084003476</v>
      </c>
    </row>
    <row r="1407" spans="2:4" x14ac:dyDescent="0.25">
      <c r="B1407" s="90">
        <v>1403</v>
      </c>
      <c r="C1407" s="39">
        <f t="shared" si="44"/>
        <v>5491665.9445604039</v>
      </c>
      <c r="D1407" s="39">
        <f t="shared" si="45"/>
        <v>4445918.4740268812</v>
      </c>
    </row>
    <row r="1408" spans="2:4" x14ac:dyDescent="0.25">
      <c r="B1408" s="90">
        <v>1404</v>
      </c>
      <c r="C1408" s="39">
        <f t="shared" si="44"/>
        <v>5494328.8568516094</v>
      </c>
      <c r="D1408" s="39">
        <f t="shared" si="45"/>
        <v>4449087.3396534147</v>
      </c>
    </row>
    <row r="1409" spans="2:4" x14ac:dyDescent="0.25">
      <c r="B1409" s="90">
        <v>1405</v>
      </c>
      <c r="C1409" s="39">
        <f t="shared" si="44"/>
        <v>5496991.769142814</v>
      </c>
      <c r="D1409" s="39">
        <f t="shared" si="45"/>
        <v>4452256.2052799491</v>
      </c>
    </row>
    <row r="1410" spans="2:4" x14ac:dyDescent="0.25">
      <c r="B1410" s="90">
        <v>1406</v>
      </c>
      <c r="C1410" s="39">
        <f t="shared" si="44"/>
        <v>5499654.6814340185</v>
      </c>
      <c r="D1410" s="39">
        <f t="shared" si="45"/>
        <v>4455425.0709064826</v>
      </c>
    </row>
    <row r="1411" spans="2:4" x14ac:dyDescent="0.25">
      <c r="B1411" s="90">
        <v>1407</v>
      </c>
      <c r="C1411" s="39">
        <f t="shared" si="44"/>
        <v>5502317.5937252231</v>
      </c>
      <c r="D1411" s="39">
        <f t="shared" si="45"/>
        <v>4458593.9365330162</v>
      </c>
    </row>
    <row r="1412" spans="2:4" x14ac:dyDescent="0.25">
      <c r="B1412" s="90">
        <v>1408</v>
      </c>
      <c r="C1412" s="39">
        <f t="shared" si="44"/>
        <v>5504980.5060164286</v>
      </c>
      <c r="D1412" s="39">
        <f t="shared" si="45"/>
        <v>4461762.8021595497</v>
      </c>
    </row>
    <row r="1413" spans="2:4" x14ac:dyDescent="0.25">
      <c r="B1413" s="90">
        <v>1409</v>
      </c>
      <c r="C1413" s="39">
        <f t="shared" si="44"/>
        <v>5507643.4183076331</v>
      </c>
      <c r="D1413" s="39">
        <f t="shared" si="45"/>
        <v>4464931.6677860841</v>
      </c>
    </row>
    <row r="1414" spans="2:4" x14ac:dyDescent="0.25">
      <c r="B1414" s="90">
        <v>1410</v>
      </c>
      <c r="C1414" s="39">
        <f t="shared" si="44"/>
        <v>5510306.3305988386</v>
      </c>
      <c r="D1414" s="39">
        <f t="shared" si="45"/>
        <v>4468100.5334126176</v>
      </c>
    </row>
    <row r="1415" spans="2:4" x14ac:dyDescent="0.25">
      <c r="B1415" s="90">
        <v>1411</v>
      </c>
      <c r="C1415" s="39">
        <f t="shared" si="44"/>
        <v>5512969.2428900432</v>
      </c>
      <c r="D1415" s="39">
        <f t="shared" si="45"/>
        <v>4471269.3990391511</v>
      </c>
    </row>
    <row r="1416" spans="2:4" x14ac:dyDescent="0.25">
      <c r="B1416" s="90">
        <v>1412</v>
      </c>
      <c r="C1416" s="39">
        <f t="shared" si="44"/>
        <v>5515632.1551812477</v>
      </c>
      <c r="D1416" s="39">
        <f t="shared" si="45"/>
        <v>4474438.2646656847</v>
      </c>
    </row>
    <row r="1417" spans="2:4" x14ac:dyDescent="0.25">
      <c r="B1417" s="90">
        <v>1413</v>
      </c>
      <c r="C1417" s="39">
        <f t="shared" si="44"/>
        <v>5518295.0674724523</v>
      </c>
      <c r="D1417" s="39">
        <f t="shared" si="45"/>
        <v>4477607.1302922191</v>
      </c>
    </row>
    <row r="1418" spans="2:4" x14ac:dyDescent="0.25">
      <c r="B1418" s="90">
        <v>1414</v>
      </c>
      <c r="C1418" s="39">
        <f t="shared" si="44"/>
        <v>5520957.9797636569</v>
      </c>
      <c r="D1418" s="39">
        <f t="shared" si="45"/>
        <v>4480775.9959187526</v>
      </c>
    </row>
    <row r="1419" spans="2:4" x14ac:dyDescent="0.25">
      <c r="B1419" s="90">
        <v>1415</v>
      </c>
      <c r="C1419" s="39">
        <f t="shared" si="44"/>
        <v>5523620.8920548623</v>
      </c>
      <c r="D1419" s="39">
        <f t="shared" si="45"/>
        <v>4483944.8615452861</v>
      </c>
    </row>
    <row r="1420" spans="2:4" x14ac:dyDescent="0.25">
      <c r="B1420" s="90">
        <v>1416</v>
      </c>
      <c r="C1420" s="39">
        <f t="shared" si="44"/>
        <v>5526283.8043460678</v>
      </c>
      <c r="D1420" s="39">
        <f t="shared" si="45"/>
        <v>4487113.7271718206</v>
      </c>
    </row>
    <row r="1421" spans="2:4" x14ac:dyDescent="0.25">
      <c r="B1421" s="90">
        <v>1417</v>
      </c>
      <c r="C1421" s="39">
        <f t="shared" si="44"/>
        <v>5528946.7166372724</v>
      </c>
      <c r="D1421" s="39">
        <f t="shared" si="45"/>
        <v>4490282.5927983541</v>
      </c>
    </row>
    <row r="1422" spans="2:4" x14ac:dyDescent="0.25">
      <c r="B1422" s="90">
        <v>1418</v>
      </c>
      <c r="C1422" s="39">
        <f t="shared" si="44"/>
        <v>5531609.6289284769</v>
      </c>
      <c r="D1422" s="39">
        <f t="shared" si="45"/>
        <v>4493451.4584248876</v>
      </c>
    </row>
    <row r="1423" spans="2:4" x14ac:dyDescent="0.25">
      <c r="B1423" s="90">
        <v>1419</v>
      </c>
      <c r="C1423" s="39">
        <f t="shared" si="44"/>
        <v>5534272.5412196815</v>
      </c>
      <c r="D1423" s="39">
        <f t="shared" si="45"/>
        <v>4496620.3240514211</v>
      </c>
    </row>
    <row r="1424" spans="2:4" x14ac:dyDescent="0.25">
      <c r="B1424" s="90">
        <v>1420</v>
      </c>
      <c r="C1424" s="39">
        <f t="shared" si="44"/>
        <v>5536935.4535108861</v>
      </c>
      <c r="D1424" s="39">
        <f t="shared" si="45"/>
        <v>4499789.1896779556</v>
      </c>
    </row>
    <row r="1425" spans="2:4" x14ac:dyDescent="0.25">
      <c r="B1425" s="90">
        <v>1421</v>
      </c>
      <c r="C1425" s="39">
        <f t="shared" si="44"/>
        <v>5539598.3658020915</v>
      </c>
      <c r="D1425" s="39">
        <f t="shared" si="45"/>
        <v>4502958.0553044891</v>
      </c>
    </row>
    <row r="1426" spans="2:4" x14ac:dyDescent="0.25">
      <c r="B1426" s="90">
        <v>1422</v>
      </c>
      <c r="C1426" s="39">
        <f t="shared" si="44"/>
        <v>5542261.2780932961</v>
      </c>
      <c r="D1426" s="39">
        <f t="shared" si="45"/>
        <v>4506126.9209310226</v>
      </c>
    </row>
    <row r="1427" spans="2:4" x14ac:dyDescent="0.25">
      <c r="B1427" s="90">
        <v>1423</v>
      </c>
      <c r="C1427" s="39">
        <f t="shared" si="44"/>
        <v>5544924.1903845016</v>
      </c>
      <c r="D1427" s="39">
        <f t="shared" si="45"/>
        <v>4509295.7865575561</v>
      </c>
    </row>
    <row r="1428" spans="2:4" x14ac:dyDescent="0.25">
      <c r="B1428" s="90">
        <v>1424</v>
      </c>
      <c r="C1428" s="39">
        <f t="shared" si="44"/>
        <v>5547587.1026757061</v>
      </c>
      <c r="D1428" s="39">
        <f t="shared" si="45"/>
        <v>4512464.6521840906</v>
      </c>
    </row>
    <row r="1429" spans="2:4" x14ac:dyDescent="0.25">
      <c r="B1429" s="90">
        <v>1425</v>
      </c>
      <c r="C1429" s="39">
        <f t="shared" si="44"/>
        <v>5550250.0149669107</v>
      </c>
      <c r="D1429" s="39">
        <f t="shared" si="45"/>
        <v>4515633.5178106241</v>
      </c>
    </row>
    <row r="1430" spans="2:4" x14ac:dyDescent="0.25">
      <c r="B1430" s="90">
        <v>1426</v>
      </c>
      <c r="C1430" s="39">
        <f t="shared" si="44"/>
        <v>5552912.9272581153</v>
      </c>
      <c r="D1430" s="39">
        <f t="shared" si="45"/>
        <v>4518802.3834371576</v>
      </c>
    </row>
    <row r="1431" spans="2:4" x14ac:dyDescent="0.25">
      <c r="B1431" s="90">
        <v>1427</v>
      </c>
      <c r="C1431" s="39">
        <f t="shared" si="44"/>
        <v>5555575.8395493198</v>
      </c>
      <c r="D1431" s="39">
        <f t="shared" si="45"/>
        <v>4521971.2490636921</v>
      </c>
    </row>
    <row r="1432" spans="2:4" x14ac:dyDescent="0.25">
      <c r="B1432" s="90">
        <v>1428</v>
      </c>
      <c r="C1432" s="39">
        <f t="shared" si="44"/>
        <v>5558238.7518405253</v>
      </c>
      <c r="D1432" s="39">
        <f t="shared" si="45"/>
        <v>4525140.1146902256</v>
      </c>
    </row>
    <row r="1433" spans="2:4" x14ac:dyDescent="0.25">
      <c r="B1433" s="90">
        <v>1429</v>
      </c>
      <c r="C1433" s="39">
        <f t="shared" si="44"/>
        <v>5560901.6641317308</v>
      </c>
      <c r="D1433" s="39">
        <f t="shared" si="45"/>
        <v>4528308.9803167591</v>
      </c>
    </row>
    <row r="1434" spans="2:4" x14ac:dyDescent="0.25">
      <c r="B1434" s="90">
        <v>1430</v>
      </c>
      <c r="C1434" s="39">
        <f t="shared" si="44"/>
        <v>5563564.5764229354</v>
      </c>
      <c r="D1434" s="39">
        <f t="shared" si="45"/>
        <v>4531477.8459432926</v>
      </c>
    </row>
    <row r="1435" spans="2:4" x14ac:dyDescent="0.25">
      <c r="B1435" s="90">
        <v>1431</v>
      </c>
      <c r="C1435" s="39">
        <f t="shared" si="44"/>
        <v>5566227.4887141399</v>
      </c>
      <c r="D1435" s="39">
        <f t="shared" si="45"/>
        <v>4534646.711569827</v>
      </c>
    </row>
    <row r="1436" spans="2:4" x14ac:dyDescent="0.25">
      <c r="B1436" s="90">
        <v>1432</v>
      </c>
      <c r="C1436" s="39">
        <f t="shared" si="44"/>
        <v>5568890.4010053445</v>
      </c>
      <c r="D1436" s="39">
        <f t="shared" si="45"/>
        <v>4537815.5771963606</v>
      </c>
    </row>
    <row r="1437" spans="2:4" x14ac:dyDescent="0.25">
      <c r="B1437" s="90">
        <v>1433</v>
      </c>
      <c r="C1437" s="39">
        <f t="shared" si="44"/>
        <v>5571553.313296549</v>
      </c>
      <c r="D1437" s="39">
        <f t="shared" si="45"/>
        <v>4540984.4428228941</v>
      </c>
    </row>
    <row r="1438" spans="2:4" x14ac:dyDescent="0.25">
      <c r="B1438" s="90">
        <v>1434</v>
      </c>
      <c r="C1438" s="39">
        <f t="shared" si="44"/>
        <v>5574216.2255877545</v>
      </c>
      <c r="D1438" s="39">
        <f t="shared" si="45"/>
        <v>4544153.3084494285</v>
      </c>
    </row>
    <row r="1439" spans="2:4" x14ac:dyDescent="0.25">
      <c r="B1439" s="90">
        <v>1435</v>
      </c>
      <c r="C1439" s="39">
        <f t="shared" si="44"/>
        <v>5576879.1378789591</v>
      </c>
      <c r="D1439" s="39">
        <f t="shared" si="45"/>
        <v>4547322.174075962</v>
      </c>
    </row>
    <row r="1440" spans="2:4" x14ac:dyDescent="0.25">
      <c r="B1440" s="90">
        <v>1436</v>
      </c>
      <c r="C1440" s="39">
        <f t="shared" si="44"/>
        <v>5579542.0501701646</v>
      </c>
      <c r="D1440" s="39">
        <f t="shared" si="45"/>
        <v>4550491.0397024956</v>
      </c>
    </row>
    <row r="1441" spans="2:4" x14ac:dyDescent="0.25">
      <c r="B1441" s="90">
        <v>1437</v>
      </c>
      <c r="C1441" s="39">
        <f t="shared" si="44"/>
        <v>5582204.9624613691</v>
      </c>
      <c r="D1441" s="39">
        <f t="shared" si="45"/>
        <v>4553659.9053290291</v>
      </c>
    </row>
    <row r="1442" spans="2:4" x14ac:dyDescent="0.25">
      <c r="B1442" s="90">
        <v>1438</v>
      </c>
      <c r="C1442" s="39">
        <f t="shared" si="44"/>
        <v>5584867.8747525737</v>
      </c>
      <c r="D1442" s="39">
        <f t="shared" si="45"/>
        <v>4556828.7709555635</v>
      </c>
    </row>
    <row r="1443" spans="2:4" x14ac:dyDescent="0.25">
      <c r="B1443" s="90">
        <v>1439</v>
      </c>
      <c r="C1443" s="39">
        <f t="shared" si="44"/>
        <v>5587530.7870437782</v>
      </c>
      <c r="D1443" s="39">
        <f t="shared" si="45"/>
        <v>4559997.636582097</v>
      </c>
    </row>
    <row r="1444" spans="2:4" x14ac:dyDescent="0.25">
      <c r="B1444" s="90">
        <v>1440</v>
      </c>
      <c r="C1444" s="39">
        <f t="shared" si="44"/>
        <v>5590193.6993349837</v>
      </c>
      <c r="D1444" s="39">
        <f t="shared" si="45"/>
        <v>4563166.5022086306</v>
      </c>
    </row>
    <row r="1445" spans="2:4" x14ac:dyDescent="0.25">
      <c r="B1445" s="90">
        <v>1441</v>
      </c>
      <c r="C1445" s="39">
        <f t="shared" si="44"/>
        <v>5592856.6116261883</v>
      </c>
      <c r="D1445" s="39">
        <f t="shared" si="45"/>
        <v>4566335.3678351641</v>
      </c>
    </row>
    <row r="1446" spans="2:4" x14ac:dyDescent="0.25">
      <c r="B1446" s="90">
        <v>1442</v>
      </c>
      <c r="C1446" s="39">
        <f t="shared" si="44"/>
        <v>5595519.5239173938</v>
      </c>
      <c r="D1446" s="39">
        <f t="shared" si="45"/>
        <v>4569504.2334616985</v>
      </c>
    </row>
    <row r="1447" spans="2:4" x14ac:dyDescent="0.25">
      <c r="B1447" s="90">
        <v>1443</v>
      </c>
      <c r="C1447" s="39">
        <f t="shared" si="44"/>
        <v>5598182.4362085983</v>
      </c>
      <c r="D1447" s="39">
        <f t="shared" si="45"/>
        <v>4572673.099088232</v>
      </c>
    </row>
    <row r="1448" spans="2:4" x14ac:dyDescent="0.25">
      <c r="B1448" s="90">
        <v>1444</v>
      </c>
      <c r="C1448" s="39">
        <f t="shared" si="44"/>
        <v>5600845.3484998029</v>
      </c>
      <c r="D1448" s="39">
        <f t="shared" si="45"/>
        <v>4575841.9647147655</v>
      </c>
    </row>
    <row r="1449" spans="2:4" x14ac:dyDescent="0.25">
      <c r="B1449" s="90">
        <v>1445</v>
      </c>
      <c r="C1449" s="39">
        <f t="shared" si="44"/>
        <v>5603508.2607910074</v>
      </c>
      <c r="D1449" s="39">
        <f t="shared" si="45"/>
        <v>4579010.8303413</v>
      </c>
    </row>
    <row r="1450" spans="2:4" x14ac:dyDescent="0.25">
      <c r="B1450" s="90">
        <v>1446</v>
      </c>
      <c r="C1450" s="39">
        <f t="shared" si="44"/>
        <v>5606171.173082212</v>
      </c>
      <c r="D1450" s="39">
        <f t="shared" si="45"/>
        <v>4582179.6959678335</v>
      </c>
    </row>
    <row r="1451" spans="2:4" x14ac:dyDescent="0.25">
      <c r="B1451" s="90">
        <v>1447</v>
      </c>
      <c r="C1451" s="39">
        <f t="shared" si="44"/>
        <v>5608834.0853734175</v>
      </c>
      <c r="D1451" s="39">
        <f t="shared" si="45"/>
        <v>4585348.561594367</v>
      </c>
    </row>
    <row r="1452" spans="2:4" x14ac:dyDescent="0.25">
      <c r="B1452" s="90">
        <v>1448</v>
      </c>
      <c r="C1452" s="39">
        <f t="shared" si="44"/>
        <v>5611496.997664623</v>
      </c>
      <c r="D1452" s="39">
        <f t="shared" si="45"/>
        <v>4588517.4272209005</v>
      </c>
    </row>
    <row r="1453" spans="2:4" x14ac:dyDescent="0.25">
      <c r="B1453" s="90">
        <v>1449</v>
      </c>
      <c r="C1453" s="39">
        <f t="shared" si="44"/>
        <v>5614159.9099558275</v>
      </c>
      <c r="D1453" s="39">
        <f t="shared" si="45"/>
        <v>4591686.292847435</v>
      </c>
    </row>
    <row r="1454" spans="2:4" x14ac:dyDescent="0.25">
      <c r="B1454" s="90">
        <v>1450</v>
      </c>
      <c r="C1454" s="39">
        <f t="shared" si="44"/>
        <v>5616822.8222470321</v>
      </c>
      <c r="D1454" s="39">
        <f t="shared" si="45"/>
        <v>4594855.1584739685</v>
      </c>
    </row>
    <row r="1455" spans="2:4" x14ac:dyDescent="0.25">
      <c r="B1455" s="90">
        <v>1451</v>
      </c>
      <c r="C1455" s="39">
        <f t="shared" si="44"/>
        <v>5619485.7345382366</v>
      </c>
      <c r="D1455" s="39">
        <f t="shared" si="45"/>
        <v>4598024.024100502</v>
      </c>
    </row>
    <row r="1456" spans="2:4" x14ac:dyDescent="0.25">
      <c r="B1456" s="90">
        <v>1452</v>
      </c>
      <c r="C1456" s="39">
        <f t="shared" si="44"/>
        <v>5622148.6468294412</v>
      </c>
      <c r="D1456" s="39">
        <f t="shared" si="45"/>
        <v>4601192.8897270355</v>
      </c>
    </row>
    <row r="1457" spans="2:4" x14ac:dyDescent="0.25">
      <c r="B1457" s="90">
        <v>1453</v>
      </c>
      <c r="C1457" s="39">
        <f t="shared" ref="C1457:C1520" si="46">($C$2*B1457)+$C$1</f>
        <v>5624811.5591206467</v>
      </c>
      <c r="D1457" s="39">
        <f t="shared" ref="D1457:D1520" si="47">$D$2*B1457</f>
        <v>4604361.75535357</v>
      </c>
    </row>
    <row r="1458" spans="2:4" x14ac:dyDescent="0.25">
      <c r="B1458" s="90">
        <v>1454</v>
      </c>
      <c r="C1458" s="39">
        <f t="shared" si="46"/>
        <v>5627474.4714118512</v>
      </c>
      <c r="D1458" s="39">
        <f t="shared" si="47"/>
        <v>4607530.6209801035</v>
      </c>
    </row>
    <row r="1459" spans="2:4" x14ac:dyDescent="0.25">
      <c r="B1459" s="90">
        <v>1455</v>
      </c>
      <c r="C1459" s="39">
        <f t="shared" si="46"/>
        <v>5630137.3837030567</v>
      </c>
      <c r="D1459" s="39">
        <f t="shared" si="47"/>
        <v>4610699.486606637</v>
      </c>
    </row>
    <row r="1460" spans="2:4" x14ac:dyDescent="0.25">
      <c r="B1460" s="90">
        <v>1456</v>
      </c>
      <c r="C1460" s="39">
        <f t="shared" si="46"/>
        <v>5632800.2959942613</v>
      </c>
      <c r="D1460" s="39">
        <f t="shared" si="47"/>
        <v>4613868.3522331715</v>
      </c>
    </row>
    <row r="1461" spans="2:4" x14ac:dyDescent="0.25">
      <c r="B1461" s="90">
        <v>1457</v>
      </c>
      <c r="C1461" s="39">
        <f t="shared" si="46"/>
        <v>5635463.2082854658</v>
      </c>
      <c r="D1461" s="39">
        <f t="shared" si="47"/>
        <v>4617037.217859705</v>
      </c>
    </row>
    <row r="1462" spans="2:4" x14ac:dyDescent="0.25">
      <c r="B1462" s="90">
        <v>1458</v>
      </c>
      <c r="C1462" s="39">
        <f t="shared" si="46"/>
        <v>5638126.1205766704</v>
      </c>
      <c r="D1462" s="39">
        <f t="shared" si="47"/>
        <v>4620206.0834862385</v>
      </c>
    </row>
    <row r="1463" spans="2:4" x14ac:dyDescent="0.25">
      <c r="B1463" s="90">
        <v>1459</v>
      </c>
      <c r="C1463" s="39">
        <f t="shared" si="46"/>
        <v>5640789.0328678759</v>
      </c>
      <c r="D1463" s="39">
        <f t="shared" si="47"/>
        <v>4623374.949112772</v>
      </c>
    </row>
    <row r="1464" spans="2:4" x14ac:dyDescent="0.25">
      <c r="B1464" s="90">
        <v>1460</v>
      </c>
      <c r="C1464" s="39">
        <f t="shared" si="46"/>
        <v>5643451.9451590804</v>
      </c>
      <c r="D1464" s="39">
        <f t="shared" si="47"/>
        <v>4626543.8147393065</v>
      </c>
    </row>
    <row r="1465" spans="2:4" x14ac:dyDescent="0.25">
      <c r="B1465" s="90">
        <v>1461</v>
      </c>
      <c r="C1465" s="39">
        <f t="shared" si="46"/>
        <v>5646114.8574502859</v>
      </c>
      <c r="D1465" s="39">
        <f t="shared" si="47"/>
        <v>4629712.68036584</v>
      </c>
    </row>
    <row r="1466" spans="2:4" x14ac:dyDescent="0.25">
      <c r="B1466" s="90">
        <v>1462</v>
      </c>
      <c r="C1466" s="39">
        <f t="shared" si="46"/>
        <v>5648777.7697414905</v>
      </c>
      <c r="D1466" s="39">
        <f t="shared" si="47"/>
        <v>4632881.5459923735</v>
      </c>
    </row>
    <row r="1467" spans="2:4" x14ac:dyDescent="0.25">
      <c r="B1467" s="90">
        <v>1463</v>
      </c>
      <c r="C1467" s="39">
        <f t="shared" si="46"/>
        <v>5651440.682032695</v>
      </c>
      <c r="D1467" s="39">
        <f t="shared" si="47"/>
        <v>4636050.411618907</v>
      </c>
    </row>
    <row r="1468" spans="2:4" x14ac:dyDescent="0.25">
      <c r="B1468" s="90">
        <v>1464</v>
      </c>
      <c r="C1468" s="39">
        <f t="shared" si="46"/>
        <v>5654103.5943238996</v>
      </c>
      <c r="D1468" s="39">
        <f t="shared" si="47"/>
        <v>4639219.2772454415</v>
      </c>
    </row>
    <row r="1469" spans="2:4" x14ac:dyDescent="0.25">
      <c r="B1469" s="90">
        <v>1465</v>
      </c>
      <c r="C1469" s="39">
        <f t="shared" si="46"/>
        <v>5656766.5066151042</v>
      </c>
      <c r="D1469" s="39">
        <f t="shared" si="47"/>
        <v>4642388.142871975</v>
      </c>
    </row>
    <row r="1470" spans="2:4" x14ac:dyDescent="0.25">
      <c r="B1470" s="90">
        <v>1466</v>
      </c>
      <c r="C1470" s="39">
        <f t="shared" si="46"/>
        <v>5659429.4189063096</v>
      </c>
      <c r="D1470" s="39">
        <f t="shared" si="47"/>
        <v>4645557.0084985085</v>
      </c>
    </row>
    <row r="1471" spans="2:4" x14ac:dyDescent="0.25">
      <c r="B1471" s="90">
        <v>1467</v>
      </c>
      <c r="C1471" s="39">
        <f t="shared" si="46"/>
        <v>5662092.3311975151</v>
      </c>
      <c r="D1471" s="39">
        <f t="shared" si="47"/>
        <v>4648725.8741250429</v>
      </c>
    </row>
    <row r="1472" spans="2:4" x14ac:dyDescent="0.25">
      <c r="B1472" s="90">
        <v>1468</v>
      </c>
      <c r="C1472" s="39">
        <f t="shared" si="46"/>
        <v>5664755.2434887197</v>
      </c>
      <c r="D1472" s="39">
        <f t="shared" si="47"/>
        <v>4651894.7397515764</v>
      </c>
    </row>
    <row r="1473" spans="2:4" x14ac:dyDescent="0.25">
      <c r="B1473" s="90">
        <v>1469</v>
      </c>
      <c r="C1473" s="39">
        <f t="shared" si="46"/>
        <v>5667418.1557799242</v>
      </c>
      <c r="D1473" s="39">
        <f t="shared" si="47"/>
        <v>4655063.60537811</v>
      </c>
    </row>
    <row r="1474" spans="2:4" x14ac:dyDescent="0.25">
      <c r="B1474" s="90">
        <v>1470</v>
      </c>
      <c r="C1474" s="39">
        <f t="shared" si="46"/>
        <v>5670081.0680711288</v>
      </c>
      <c r="D1474" s="39">
        <f t="shared" si="47"/>
        <v>4658232.4710046435</v>
      </c>
    </row>
    <row r="1475" spans="2:4" x14ac:dyDescent="0.25">
      <c r="B1475" s="90">
        <v>1471</v>
      </c>
      <c r="C1475" s="39">
        <f t="shared" si="46"/>
        <v>5672743.9803623334</v>
      </c>
      <c r="D1475" s="39">
        <f t="shared" si="47"/>
        <v>4661401.3366311779</v>
      </c>
    </row>
    <row r="1476" spans="2:4" x14ac:dyDescent="0.25">
      <c r="B1476" s="90">
        <v>1472</v>
      </c>
      <c r="C1476" s="39">
        <f t="shared" si="46"/>
        <v>5675406.8926535388</v>
      </c>
      <c r="D1476" s="39">
        <f t="shared" si="47"/>
        <v>4664570.2022577114</v>
      </c>
    </row>
    <row r="1477" spans="2:4" x14ac:dyDescent="0.25">
      <c r="B1477" s="90">
        <v>1473</v>
      </c>
      <c r="C1477" s="39">
        <f t="shared" si="46"/>
        <v>5678069.8049447434</v>
      </c>
      <c r="D1477" s="39">
        <f t="shared" si="47"/>
        <v>4667739.067884245</v>
      </c>
    </row>
    <row r="1478" spans="2:4" x14ac:dyDescent="0.25">
      <c r="B1478" s="90">
        <v>1474</v>
      </c>
      <c r="C1478" s="39">
        <f t="shared" si="46"/>
        <v>5680732.7172359489</v>
      </c>
      <c r="D1478" s="39">
        <f t="shared" si="47"/>
        <v>4670907.9335107785</v>
      </c>
    </row>
    <row r="1479" spans="2:4" x14ac:dyDescent="0.25">
      <c r="B1479" s="90">
        <v>1475</v>
      </c>
      <c r="C1479" s="39">
        <f t="shared" si="46"/>
        <v>5683395.6295271534</v>
      </c>
      <c r="D1479" s="39">
        <f t="shared" si="47"/>
        <v>4674076.7991373129</v>
      </c>
    </row>
    <row r="1480" spans="2:4" x14ac:dyDescent="0.25">
      <c r="B1480" s="90">
        <v>1476</v>
      </c>
      <c r="C1480" s="39">
        <f t="shared" si="46"/>
        <v>5686058.541818358</v>
      </c>
      <c r="D1480" s="39">
        <f t="shared" si="47"/>
        <v>4677245.6647638464</v>
      </c>
    </row>
    <row r="1481" spans="2:4" x14ac:dyDescent="0.25">
      <c r="B1481" s="90">
        <v>1477</v>
      </c>
      <c r="C1481" s="39">
        <f t="shared" si="46"/>
        <v>5688721.4541095626</v>
      </c>
      <c r="D1481" s="39">
        <f t="shared" si="47"/>
        <v>4680414.53039038</v>
      </c>
    </row>
    <row r="1482" spans="2:4" x14ac:dyDescent="0.25">
      <c r="B1482" s="90">
        <v>1478</v>
      </c>
      <c r="C1482" s="39">
        <f t="shared" si="46"/>
        <v>5691384.366400768</v>
      </c>
      <c r="D1482" s="39">
        <f t="shared" si="47"/>
        <v>4683583.3960169144</v>
      </c>
    </row>
    <row r="1483" spans="2:4" x14ac:dyDescent="0.25">
      <c r="B1483" s="90">
        <v>1479</v>
      </c>
      <c r="C1483" s="39">
        <f t="shared" si="46"/>
        <v>5694047.2786919726</v>
      </c>
      <c r="D1483" s="39">
        <f t="shared" si="47"/>
        <v>4686752.2616434479</v>
      </c>
    </row>
    <row r="1484" spans="2:4" x14ac:dyDescent="0.25">
      <c r="B1484" s="90">
        <v>1480</v>
      </c>
      <c r="C1484" s="39">
        <f t="shared" si="46"/>
        <v>5696710.1909831781</v>
      </c>
      <c r="D1484" s="39">
        <f t="shared" si="47"/>
        <v>4689921.1272699814</v>
      </c>
    </row>
    <row r="1485" spans="2:4" x14ac:dyDescent="0.25">
      <c r="B1485" s="90">
        <v>1481</v>
      </c>
      <c r="C1485" s="39">
        <f t="shared" si="46"/>
        <v>5699373.1032743827</v>
      </c>
      <c r="D1485" s="39">
        <f t="shared" si="47"/>
        <v>4693089.9928965149</v>
      </c>
    </row>
    <row r="1486" spans="2:4" x14ac:dyDescent="0.25">
      <c r="B1486" s="90">
        <v>1482</v>
      </c>
      <c r="C1486" s="39">
        <f t="shared" si="46"/>
        <v>5702036.0155655872</v>
      </c>
      <c r="D1486" s="39">
        <f t="shared" si="47"/>
        <v>4696258.8585230494</v>
      </c>
    </row>
    <row r="1487" spans="2:4" x14ac:dyDescent="0.25">
      <c r="B1487" s="90">
        <v>1483</v>
      </c>
      <c r="C1487" s="39">
        <f t="shared" si="46"/>
        <v>5704698.9278567918</v>
      </c>
      <c r="D1487" s="39">
        <f t="shared" si="47"/>
        <v>4699427.7241495829</v>
      </c>
    </row>
    <row r="1488" spans="2:4" x14ac:dyDescent="0.25">
      <c r="B1488" s="90">
        <v>1484</v>
      </c>
      <c r="C1488" s="39">
        <f t="shared" si="46"/>
        <v>5707361.8401479963</v>
      </c>
      <c r="D1488" s="39">
        <f t="shared" si="47"/>
        <v>4702596.5897761164</v>
      </c>
    </row>
    <row r="1489" spans="2:4" x14ac:dyDescent="0.25">
      <c r="B1489" s="90">
        <v>1485</v>
      </c>
      <c r="C1489" s="39">
        <f t="shared" si="46"/>
        <v>5710024.7524392018</v>
      </c>
      <c r="D1489" s="39">
        <f t="shared" si="47"/>
        <v>4705765.4554026509</v>
      </c>
    </row>
    <row r="1490" spans="2:4" x14ac:dyDescent="0.25">
      <c r="B1490" s="90">
        <v>1486</v>
      </c>
      <c r="C1490" s="39">
        <f t="shared" si="46"/>
        <v>5712687.6647304073</v>
      </c>
      <c r="D1490" s="39">
        <f t="shared" si="47"/>
        <v>4708934.3210291844</v>
      </c>
    </row>
    <row r="1491" spans="2:4" x14ac:dyDescent="0.25">
      <c r="B1491" s="90">
        <v>1487</v>
      </c>
      <c r="C1491" s="39">
        <f t="shared" si="46"/>
        <v>5715350.5770216119</v>
      </c>
      <c r="D1491" s="39">
        <f t="shared" si="47"/>
        <v>4712103.1866557179</v>
      </c>
    </row>
    <row r="1492" spans="2:4" x14ac:dyDescent="0.25">
      <c r="B1492" s="90">
        <v>1488</v>
      </c>
      <c r="C1492" s="39">
        <f t="shared" si="46"/>
        <v>5718013.4893128164</v>
      </c>
      <c r="D1492" s="39">
        <f t="shared" si="47"/>
        <v>4715272.0522822514</v>
      </c>
    </row>
    <row r="1493" spans="2:4" x14ac:dyDescent="0.25">
      <c r="B1493" s="90">
        <v>1489</v>
      </c>
      <c r="C1493" s="39">
        <f t="shared" si="46"/>
        <v>5720676.401604021</v>
      </c>
      <c r="D1493" s="39">
        <f t="shared" si="47"/>
        <v>4718440.9179087859</v>
      </c>
    </row>
    <row r="1494" spans="2:4" x14ac:dyDescent="0.25">
      <c r="B1494" s="90">
        <v>1490</v>
      </c>
      <c r="C1494" s="39">
        <f t="shared" si="46"/>
        <v>5723339.3138952255</v>
      </c>
      <c r="D1494" s="39">
        <f t="shared" si="47"/>
        <v>4721609.7835353194</v>
      </c>
    </row>
    <row r="1495" spans="2:4" x14ac:dyDescent="0.25">
      <c r="B1495" s="90">
        <v>1491</v>
      </c>
      <c r="C1495" s="39">
        <f t="shared" si="46"/>
        <v>5726002.226186431</v>
      </c>
      <c r="D1495" s="39">
        <f t="shared" si="47"/>
        <v>4724778.6491618529</v>
      </c>
    </row>
    <row r="1496" spans="2:4" x14ac:dyDescent="0.25">
      <c r="B1496" s="90">
        <v>1492</v>
      </c>
      <c r="C1496" s="39">
        <f t="shared" si="46"/>
        <v>5728665.1384776356</v>
      </c>
      <c r="D1496" s="39">
        <f t="shared" si="47"/>
        <v>4727947.5147883864</v>
      </c>
    </row>
    <row r="1497" spans="2:4" x14ac:dyDescent="0.25">
      <c r="B1497" s="90">
        <v>1493</v>
      </c>
      <c r="C1497" s="39">
        <f t="shared" si="46"/>
        <v>5731328.0507688411</v>
      </c>
      <c r="D1497" s="39">
        <f t="shared" si="47"/>
        <v>4731116.3804149209</v>
      </c>
    </row>
    <row r="1498" spans="2:4" x14ac:dyDescent="0.25">
      <c r="B1498" s="90">
        <v>1494</v>
      </c>
      <c r="C1498" s="39">
        <f t="shared" si="46"/>
        <v>5733990.9630600456</v>
      </c>
      <c r="D1498" s="39">
        <f t="shared" si="47"/>
        <v>4734285.2460414544</v>
      </c>
    </row>
    <row r="1499" spans="2:4" x14ac:dyDescent="0.25">
      <c r="B1499" s="90">
        <v>1495</v>
      </c>
      <c r="C1499" s="39">
        <f t="shared" si="46"/>
        <v>5736653.8753512502</v>
      </c>
      <c r="D1499" s="39">
        <f t="shared" si="47"/>
        <v>4737454.1116679879</v>
      </c>
    </row>
    <row r="1500" spans="2:4" x14ac:dyDescent="0.25">
      <c r="B1500" s="90">
        <v>1496</v>
      </c>
      <c r="C1500" s="39">
        <f t="shared" si="46"/>
        <v>5739316.7876424547</v>
      </c>
      <c r="D1500" s="39">
        <f t="shared" si="47"/>
        <v>4740622.9772945223</v>
      </c>
    </row>
    <row r="1501" spans="2:4" x14ac:dyDescent="0.25">
      <c r="B1501" s="90">
        <v>1497</v>
      </c>
      <c r="C1501" s="39">
        <f t="shared" si="46"/>
        <v>5741979.6999336593</v>
      </c>
      <c r="D1501" s="39">
        <f t="shared" si="47"/>
        <v>4743791.8429210559</v>
      </c>
    </row>
    <row r="1502" spans="2:4" x14ac:dyDescent="0.25">
      <c r="B1502" s="90">
        <v>1498</v>
      </c>
      <c r="C1502" s="39">
        <f t="shared" si="46"/>
        <v>5744642.6122248648</v>
      </c>
      <c r="D1502" s="39">
        <f t="shared" si="47"/>
        <v>4746960.7085475894</v>
      </c>
    </row>
    <row r="1503" spans="2:4" x14ac:dyDescent="0.25">
      <c r="B1503" s="90">
        <v>1499</v>
      </c>
      <c r="C1503" s="39">
        <f t="shared" si="46"/>
        <v>5747305.5245160703</v>
      </c>
      <c r="D1503" s="39">
        <f t="shared" si="47"/>
        <v>4750129.5741741229</v>
      </c>
    </row>
    <row r="1504" spans="2:4" x14ac:dyDescent="0.25">
      <c r="B1504" s="90">
        <v>1500</v>
      </c>
      <c r="C1504" s="39">
        <f t="shared" si="46"/>
        <v>5749968.4368072748</v>
      </c>
      <c r="D1504" s="39">
        <f t="shared" si="47"/>
        <v>4753298.4398006573</v>
      </c>
    </row>
    <row r="1505" spans="2:4" x14ac:dyDescent="0.25">
      <c r="B1505" s="90">
        <v>1501</v>
      </c>
      <c r="C1505" s="39">
        <f t="shared" si="46"/>
        <v>5752631.3490984794</v>
      </c>
      <c r="D1505" s="39">
        <f t="shared" si="47"/>
        <v>4756467.3054271908</v>
      </c>
    </row>
    <row r="1506" spans="2:4" x14ac:dyDescent="0.25">
      <c r="B1506" s="90">
        <v>1502</v>
      </c>
      <c r="C1506" s="39">
        <f t="shared" si="46"/>
        <v>5755294.2613896839</v>
      </c>
      <c r="D1506" s="39">
        <f t="shared" si="47"/>
        <v>4759636.1710537244</v>
      </c>
    </row>
    <row r="1507" spans="2:4" x14ac:dyDescent="0.25">
      <c r="B1507" s="90">
        <v>1503</v>
      </c>
      <c r="C1507" s="39">
        <f t="shared" si="46"/>
        <v>5757957.1736808885</v>
      </c>
      <c r="D1507" s="39">
        <f t="shared" si="47"/>
        <v>4762805.0366802579</v>
      </c>
    </row>
    <row r="1508" spans="2:4" x14ac:dyDescent="0.25">
      <c r="B1508" s="90">
        <v>1504</v>
      </c>
      <c r="C1508" s="39">
        <f t="shared" si="46"/>
        <v>5760620.085972094</v>
      </c>
      <c r="D1508" s="39">
        <f t="shared" si="47"/>
        <v>4765973.9023067923</v>
      </c>
    </row>
    <row r="1509" spans="2:4" x14ac:dyDescent="0.25">
      <c r="B1509" s="90">
        <v>1505</v>
      </c>
      <c r="C1509" s="39">
        <f t="shared" si="46"/>
        <v>5763282.9982632995</v>
      </c>
      <c r="D1509" s="39">
        <f t="shared" si="47"/>
        <v>4769142.7679333258</v>
      </c>
    </row>
    <row r="1510" spans="2:4" x14ac:dyDescent="0.25">
      <c r="B1510" s="90">
        <v>1506</v>
      </c>
      <c r="C1510" s="39">
        <f t="shared" si="46"/>
        <v>5765945.910554504</v>
      </c>
      <c r="D1510" s="39">
        <f t="shared" si="47"/>
        <v>4772311.6335598594</v>
      </c>
    </row>
    <row r="1511" spans="2:4" x14ac:dyDescent="0.25">
      <c r="B1511" s="90">
        <v>1507</v>
      </c>
      <c r="C1511" s="39">
        <f t="shared" si="46"/>
        <v>5768608.8228457086</v>
      </c>
      <c r="D1511" s="39">
        <f t="shared" si="47"/>
        <v>4775480.4991863938</v>
      </c>
    </row>
    <row r="1512" spans="2:4" x14ac:dyDescent="0.25">
      <c r="B1512" s="90">
        <v>1508</v>
      </c>
      <c r="C1512" s="39">
        <f t="shared" si="46"/>
        <v>5771271.7351369131</v>
      </c>
      <c r="D1512" s="39">
        <f t="shared" si="47"/>
        <v>4778649.3648129273</v>
      </c>
    </row>
    <row r="1513" spans="2:4" x14ac:dyDescent="0.25">
      <c r="B1513" s="90">
        <v>1509</v>
      </c>
      <c r="C1513" s="39">
        <f t="shared" si="46"/>
        <v>5773934.6474281177</v>
      </c>
      <c r="D1513" s="39">
        <f t="shared" si="47"/>
        <v>4781818.2304394608</v>
      </c>
    </row>
    <row r="1514" spans="2:4" x14ac:dyDescent="0.25">
      <c r="B1514" s="90">
        <v>1510</v>
      </c>
      <c r="C1514" s="39">
        <f t="shared" si="46"/>
        <v>5776597.5597193232</v>
      </c>
      <c r="D1514" s="39">
        <f t="shared" si="47"/>
        <v>4784987.0960659944</v>
      </c>
    </row>
    <row r="1515" spans="2:4" x14ac:dyDescent="0.25">
      <c r="B1515" s="90">
        <v>1511</v>
      </c>
      <c r="C1515" s="39">
        <f t="shared" si="46"/>
        <v>5779260.4720105277</v>
      </c>
      <c r="D1515" s="39">
        <f t="shared" si="47"/>
        <v>4788155.9616925288</v>
      </c>
    </row>
    <row r="1516" spans="2:4" x14ac:dyDescent="0.25">
      <c r="B1516" s="90">
        <v>1512</v>
      </c>
      <c r="C1516" s="39">
        <f t="shared" si="46"/>
        <v>5781923.3843017332</v>
      </c>
      <c r="D1516" s="39">
        <f t="shared" si="47"/>
        <v>4791324.8273190623</v>
      </c>
    </row>
    <row r="1517" spans="2:4" x14ac:dyDescent="0.25">
      <c r="B1517" s="90">
        <v>1513</v>
      </c>
      <c r="C1517" s="39">
        <f t="shared" si="46"/>
        <v>5784586.2965929378</v>
      </c>
      <c r="D1517" s="39">
        <f t="shared" si="47"/>
        <v>4794493.6929455958</v>
      </c>
    </row>
    <row r="1518" spans="2:4" x14ac:dyDescent="0.25">
      <c r="B1518" s="90">
        <v>1514</v>
      </c>
      <c r="C1518" s="39">
        <f t="shared" si="46"/>
        <v>5787249.2088841423</v>
      </c>
      <c r="D1518" s="39">
        <f t="shared" si="47"/>
        <v>4797662.5585721293</v>
      </c>
    </row>
    <row r="1519" spans="2:4" x14ac:dyDescent="0.25">
      <c r="B1519" s="90">
        <v>1515</v>
      </c>
      <c r="C1519" s="39">
        <f t="shared" si="46"/>
        <v>5789912.1211753469</v>
      </c>
      <c r="D1519" s="39">
        <f t="shared" si="47"/>
        <v>4800831.4241986638</v>
      </c>
    </row>
    <row r="1520" spans="2:4" x14ac:dyDescent="0.25">
      <c r="B1520" s="90">
        <v>1516</v>
      </c>
      <c r="C1520" s="39">
        <f t="shared" si="46"/>
        <v>5792575.0334665515</v>
      </c>
      <c r="D1520" s="39">
        <f t="shared" si="47"/>
        <v>4804000.2898251973</v>
      </c>
    </row>
    <row r="1521" spans="2:4" x14ac:dyDescent="0.25">
      <c r="B1521" s="90">
        <v>1517</v>
      </c>
      <c r="C1521" s="39">
        <f t="shared" ref="C1521:C1584" si="48">($C$2*B1521)+$C$1</f>
        <v>5795237.9457577569</v>
      </c>
      <c r="D1521" s="39">
        <f t="shared" ref="D1521:D1584" si="49">$D$2*B1521</f>
        <v>4807169.1554517308</v>
      </c>
    </row>
    <row r="1522" spans="2:4" x14ac:dyDescent="0.25">
      <c r="B1522" s="90">
        <v>1518</v>
      </c>
      <c r="C1522" s="39">
        <f t="shared" si="48"/>
        <v>5797900.8580489624</v>
      </c>
      <c r="D1522" s="39">
        <f t="shared" si="49"/>
        <v>4810338.0210782653</v>
      </c>
    </row>
    <row r="1523" spans="2:4" x14ac:dyDescent="0.25">
      <c r="B1523" s="90">
        <v>1519</v>
      </c>
      <c r="C1523" s="39">
        <f t="shared" si="48"/>
        <v>5800563.770340167</v>
      </c>
      <c r="D1523" s="39">
        <f t="shared" si="49"/>
        <v>4813506.8867047988</v>
      </c>
    </row>
    <row r="1524" spans="2:4" x14ac:dyDescent="0.25">
      <c r="B1524" s="90">
        <v>1520</v>
      </c>
      <c r="C1524" s="39">
        <f t="shared" si="48"/>
        <v>5803226.6826313715</v>
      </c>
      <c r="D1524" s="39">
        <f t="shared" si="49"/>
        <v>4816675.7523313323</v>
      </c>
    </row>
    <row r="1525" spans="2:4" x14ac:dyDescent="0.25">
      <c r="B1525" s="90">
        <v>1521</v>
      </c>
      <c r="C1525" s="39">
        <f t="shared" si="48"/>
        <v>5805889.5949225761</v>
      </c>
      <c r="D1525" s="39">
        <f t="shared" si="49"/>
        <v>4819844.6179578658</v>
      </c>
    </row>
    <row r="1526" spans="2:4" x14ac:dyDescent="0.25">
      <c r="B1526" s="90">
        <v>1522</v>
      </c>
      <c r="C1526" s="39">
        <f t="shared" si="48"/>
        <v>5808552.5072137807</v>
      </c>
      <c r="D1526" s="39">
        <f t="shared" si="49"/>
        <v>4823013.4835844003</v>
      </c>
    </row>
    <row r="1527" spans="2:4" x14ac:dyDescent="0.25">
      <c r="B1527" s="90">
        <v>1523</v>
      </c>
      <c r="C1527" s="39">
        <f t="shared" si="48"/>
        <v>5811215.4195049861</v>
      </c>
      <c r="D1527" s="39">
        <f t="shared" si="49"/>
        <v>4826182.3492109338</v>
      </c>
    </row>
    <row r="1528" spans="2:4" x14ac:dyDescent="0.25">
      <c r="B1528" s="90">
        <v>1524</v>
      </c>
      <c r="C1528" s="39">
        <f t="shared" si="48"/>
        <v>5813878.3317961907</v>
      </c>
      <c r="D1528" s="39">
        <f t="shared" si="49"/>
        <v>4829351.2148374673</v>
      </c>
    </row>
    <row r="1529" spans="2:4" x14ac:dyDescent="0.25">
      <c r="B1529" s="90">
        <v>1525</v>
      </c>
      <c r="C1529" s="39">
        <f t="shared" si="48"/>
        <v>5816541.2440873962</v>
      </c>
      <c r="D1529" s="39">
        <f t="shared" si="49"/>
        <v>4832520.0804640008</v>
      </c>
    </row>
    <row r="1530" spans="2:4" x14ac:dyDescent="0.25">
      <c r="B1530" s="90">
        <v>1526</v>
      </c>
      <c r="C1530" s="39">
        <f t="shared" si="48"/>
        <v>5819204.1563786007</v>
      </c>
      <c r="D1530" s="39">
        <f t="shared" si="49"/>
        <v>4835688.9460905353</v>
      </c>
    </row>
    <row r="1531" spans="2:4" x14ac:dyDescent="0.25">
      <c r="B1531" s="90">
        <v>1527</v>
      </c>
      <c r="C1531" s="39">
        <f t="shared" si="48"/>
        <v>5821867.0686698053</v>
      </c>
      <c r="D1531" s="39">
        <f t="shared" si="49"/>
        <v>4838857.8117170688</v>
      </c>
    </row>
    <row r="1532" spans="2:4" x14ac:dyDescent="0.25">
      <c r="B1532" s="90">
        <v>1528</v>
      </c>
      <c r="C1532" s="39">
        <f t="shared" si="48"/>
        <v>5824529.9809610099</v>
      </c>
      <c r="D1532" s="39">
        <f t="shared" si="49"/>
        <v>4842026.6773436023</v>
      </c>
    </row>
    <row r="1533" spans="2:4" x14ac:dyDescent="0.25">
      <c r="B1533" s="90">
        <v>1529</v>
      </c>
      <c r="C1533" s="39">
        <f t="shared" si="48"/>
        <v>5827192.8932522153</v>
      </c>
      <c r="D1533" s="39">
        <f t="shared" si="49"/>
        <v>4845195.5429701367</v>
      </c>
    </row>
    <row r="1534" spans="2:4" x14ac:dyDescent="0.25">
      <c r="B1534" s="90">
        <v>1530</v>
      </c>
      <c r="C1534" s="39">
        <f t="shared" si="48"/>
        <v>5829855.8055434199</v>
      </c>
      <c r="D1534" s="39">
        <f t="shared" si="49"/>
        <v>4848364.4085966703</v>
      </c>
    </row>
    <row r="1535" spans="2:4" x14ac:dyDescent="0.25">
      <c r="B1535" s="90">
        <v>1531</v>
      </c>
      <c r="C1535" s="39">
        <f t="shared" si="48"/>
        <v>5832518.7178346254</v>
      </c>
      <c r="D1535" s="39">
        <f t="shared" si="49"/>
        <v>4851533.2742232038</v>
      </c>
    </row>
    <row r="1536" spans="2:4" x14ac:dyDescent="0.25">
      <c r="B1536" s="90">
        <v>1532</v>
      </c>
      <c r="C1536" s="39">
        <f t="shared" si="48"/>
        <v>5835181.6301258299</v>
      </c>
      <c r="D1536" s="39">
        <f t="shared" si="49"/>
        <v>4854702.1398497373</v>
      </c>
    </row>
    <row r="1537" spans="2:4" x14ac:dyDescent="0.25">
      <c r="B1537" s="90">
        <v>1533</v>
      </c>
      <c r="C1537" s="39">
        <f t="shared" si="48"/>
        <v>5837844.5424170345</v>
      </c>
      <c r="D1537" s="39">
        <f t="shared" si="49"/>
        <v>4857871.0054762717</v>
      </c>
    </row>
    <row r="1538" spans="2:4" x14ac:dyDescent="0.25">
      <c r="B1538" s="90">
        <v>1534</v>
      </c>
      <c r="C1538" s="39">
        <f t="shared" si="48"/>
        <v>5840507.4547082391</v>
      </c>
      <c r="D1538" s="39">
        <f t="shared" si="49"/>
        <v>4861039.8711028052</v>
      </c>
    </row>
    <row r="1539" spans="2:4" x14ac:dyDescent="0.25">
      <c r="B1539" s="90">
        <v>1535</v>
      </c>
      <c r="C1539" s="39">
        <f t="shared" si="48"/>
        <v>5843170.3669994436</v>
      </c>
      <c r="D1539" s="39">
        <f t="shared" si="49"/>
        <v>4864208.7367293388</v>
      </c>
    </row>
    <row r="1540" spans="2:4" x14ac:dyDescent="0.25">
      <c r="B1540" s="90">
        <v>1536</v>
      </c>
      <c r="C1540" s="39">
        <f t="shared" si="48"/>
        <v>5845833.2792906491</v>
      </c>
      <c r="D1540" s="39">
        <f t="shared" si="49"/>
        <v>4867377.6023558732</v>
      </c>
    </row>
    <row r="1541" spans="2:4" x14ac:dyDescent="0.25">
      <c r="B1541" s="90">
        <v>1537</v>
      </c>
      <c r="C1541" s="39">
        <f t="shared" si="48"/>
        <v>5848496.1915818546</v>
      </c>
      <c r="D1541" s="39">
        <f t="shared" si="49"/>
        <v>4870546.4679824067</v>
      </c>
    </row>
    <row r="1542" spans="2:4" x14ac:dyDescent="0.25">
      <c r="B1542" s="90">
        <v>1538</v>
      </c>
      <c r="C1542" s="39">
        <f t="shared" si="48"/>
        <v>5851159.1038730592</v>
      </c>
      <c r="D1542" s="39">
        <f t="shared" si="49"/>
        <v>4873715.3336089402</v>
      </c>
    </row>
    <row r="1543" spans="2:4" x14ac:dyDescent="0.25">
      <c r="B1543" s="90">
        <v>1539</v>
      </c>
      <c r="C1543" s="39">
        <f t="shared" si="48"/>
        <v>5853822.0161642637</v>
      </c>
      <c r="D1543" s="39">
        <f t="shared" si="49"/>
        <v>4876884.1992354738</v>
      </c>
    </row>
    <row r="1544" spans="2:4" x14ac:dyDescent="0.25">
      <c r="B1544" s="90">
        <v>1540</v>
      </c>
      <c r="C1544" s="39">
        <f t="shared" si="48"/>
        <v>5856484.9284554683</v>
      </c>
      <c r="D1544" s="39">
        <f t="shared" si="49"/>
        <v>4880053.0648620082</v>
      </c>
    </row>
    <row r="1545" spans="2:4" x14ac:dyDescent="0.25">
      <c r="B1545" s="90">
        <v>1541</v>
      </c>
      <c r="C1545" s="39">
        <f t="shared" si="48"/>
        <v>5859147.8407466728</v>
      </c>
      <c r="D1545" s="39">
        <f t="shared" si="49"/>
        <v>4883221.9304885417</v>
      </c>
    </row>
    <row r="1546" spans="2:4" x14ac:dyDescent="0.25">
      <c r="B1546" s="90">
        <v>1542</v>
      </c>
      <c r="C1546" s="39">
        <f t="shared" si="48"/>
        <v>5861810.7530378783</v>
      </c>
      <c r="D1546" s="39">
        <f t="shared" si="49"/>
        <v>4886390.7961150752</v>
      </c>
    </row>
    <row r="1547" spans="2:4" x14ac:dyDescent="0.25">
      <c r="B1547" s="90">
        <v>1543</v>
      </c>
      <c r="C1547" s="39">
        <f t="shared" si="48"/>
        <v>5864473.6653290829</v>
      </c>
      <c r="D1547" s="39">
        <f t="shared" si="49"/>
        <v>4889559.6617416088</v>
      </c>
    </row>
    <row r="1548" spans="2:4" x14ac:dyDescent="0.25">
      <c r="B1548" s="90">
        <v>1544</v>
      </c>
      <c r="C1548" s="39">
        <f t="shared" si="48"/>
        <v>5867136.5776202884</v>
      </c>
      <c r="D1548" s="39">
        <f t="shared" si="49"/>
        <v>4892728.5273681432</v>
      </c>
    </row>
    <row r="1549" spans="2:4" x14ac:dyDescent="0.25">
      <c r="B1549" s="90">
        <v>1545</v>
      </c>
      <c r="C1549" s="39">
        <f t="shared" si="48"/>
        <v>5869799.4899114929</v>
      </c>
      <c r="D1549" s="39">
        <f t="shared" si="49"/>
        <v>4895897.3929946767</v>
      </c>
    </row>
    <row r="1550" spans="2:4" x14ac:dyDescent="0.25">
      <c r="B1550" s="90">
        <v>1546</v>
      </c>
      <c r="C1550" s="39">
        <f t="shared" si="48"/>
        <v>5872462.4022026975</v>
      </c>
      <c r="D1550" s="39">
        <f t="shared" si="49"/>
        <v>4899066.2586212102</v>
      </c>
    </row>
    <row r="1551" spans="2:4" x14ac:dyDescent="0.25">
      <c r="B1551" s="90">
        <v>1547</v>
      </c>
      <c r="C1551" s="39">
        <f t="shared" si="48"/>
        <v>5875125.314493902</v>
      </c>
      <c r="D1551" s="39">
        <f t="shared" si="49"/>
        <v>4902235.1242477447</v>
      </c>
    </row>
    <row r="1552" spans="2:4" x14ac:dyDescent="0.25">
      <c r="B1552" s="90">
        <v>1548</v>
      </c>
      <c r="C1552" s="39">
        <f t="shared" si="48"/>
        <v>5877788.2267851075</v>
      </c>
      <c r="D1552" s="39">
        <f t="shared" si="49"/>
        <v>4905403.9898742782</v>
      </c>
    </row>
    <row r="1553" spans="2:4" x14ac:dyDescent="0.25">
      <c r="B1553" s="90">
        <v>1549</v>
      </c>
      <c r="C1553" s="39">
        <f t="shared" si="48"/>
        <v>5880451.1390763121</v>
      </c>
      <c r="D1553" s="39">
        <f t="shared" si="49"/>
        <v>4908572.8555008117</v>
      </c>
    </row>
    <row r="1554" spans="2:4" x14ac:dyDescent="0.25">
      <c r="B1554" s="90">
        <v>1550</v>
      </c>
      <c r="C1554" s="39">
        <f t="shared" si="48"/>
        <v>5883114.0513675176</v>
      </c>
      <c r="D1554" s="39">
        <f t="shared" si="49"/>
        <v>4911741.7211273452</v>
      </c>
    </row>
    <row r="1555" spans="2:4" x14ac:dyDescent="0.25">
      <c r="B1555" s="90">
        <v>1551</v>
      </c>
      <c r="C1555" s="39">
        <f t="shared" si="48"/>
        <v>5885776.9636587221</v>
      </c>
      <c r="D1555" s="39">
        <f t="shared" si="49"/>
        <v>4914910.5867538797</v>
      </c>
    </row>
    <row r="1556" spans="2:4" x14ac:dyDescent="0.25">
      <c r="B1556" s="90">
        <v>1552</v>
      </c>
      <c r="C1556" s="39">
        <f t="shared" si="48"/>
        <v>5888439.8759499267</v>
      </c>
      <c r="D1556" s="39">
        <f t="shared" si="49"/>
        <v>4918079.4523804132</v>
      </c>
    </row>
    <row r="1557" spans="2:4" x14ac:dyDescent="0.25">
      <c r="B1557" s="90">
        <v>1553</v>
      </c>
      <c r="C1557" s="39">
        <f t="shared" si="48"/>
        <v>5891102.7882411312</v>
      </c>
      <c r="D1557" s="39">
        <f t="shared" si="49"/>
        <v>4921248.3180069467</v>
      </c>
    </row>
    <row r="1558" spans="2:4" x14ac:dyDescent="0.25">
      <c r="B1558" s="90">
        <v>1554</v>
      </c>
      <c r="C1558" s="39">
        <f t="shared" si="48"/>
        <v>5893765.7005323358</v>
      </c>
      <c r="D1558" s="39">
        <f t="shared" si="49"/>
        <v>4924417.1836334802</v>
      </c>
    </row>
    <row r="1559" spans="2:4" x14ac:dyDescent="0.25">
      <c r="B1559" s="90">
        <v>1555</v>
      </c>
      <c r="C1559" s="39">
        <f t="shared" si="48"/>
        <v>5896428.6128235413</v>
      </c>
      <c r="D1559" s="39">
        <f t="shared" si="49"/>
        <v>4927586.0492600147</v>
      </c>
    </row>
    <row r="1560" spans="2:4" x14ac:dyDescent="0.25">
      <c r="B1560" s="90">
        <v>1556</v>
      </c>
      <c r="C1560" s="39">
        <f t="shared" si="48"/>
        <v>5899091.5251147468</v>
      </c>
      <c r="D1560" s="39">
        <f t="shared" si="49"/>
        <v>4930754.9148865482</v>
      </c>
    </row>
    <row r="1561" spans="2:4" x14ac:dyDescent="0.25">
      <c r="B1561" s="90">
        <v>1557</v>
      </c>
      <c r="C1561" s="39">
        <f t="shared" si="48"/>
        <v>5901754.4374059513</v>
      </c>
      <c r="D1561" s="39">
        <f t="shared" si="49"/>
        <v>4933923.7805130817</v>
      </c>
    </row>
    <row r="1562" spans="2:4" x14ac:dyDescent="0.25">
      <c r="B1562" s="90">
        <v>1558</v>
      </c>
      <c r="C1562" s="39">
        <f t="shared" si="48"/>
        <v>5904417.3496971559</v>
      </c>
      <c r="D1562" s="39">
        <f t="shared" si="49"/>
        <v>4937092.6461396161</v>
      </c>
    </row>
    <row r="1563" spans="2:4" x14ac:dyDescent="0.25">
      <c r="B1563" s="90">
        <v>1559</v>
      </c>
      <c r="C1563" s="39">
        <f t="shared" si="48"/>
        <v>5907080.2619883604</v>
      </c>
      <c r="D1563" s="39">
        <f t="shared" si="49"/>
        <v>4940261.5117661497</v>
      </c>
    </row>
    <row r="1564" spans="2:4" x14ac:dyDescent="0.25">
      <c r="B1564" s="90">
        <v>1560</v>
      </c>
      <c r="C1564" s="39">
        <f t="shared" si="48"/>
        <v>5909743.174279565</v>
      </c>
      <c r="D1564" s="39">
        <f t="shared" si="49"/>
        <v>4943430.3773926832</v>
      </c>
    </row>
    <row r="1565" spans="2:4" x14ac:dyDescent="0.25">
      <c r="B1565" s="90">
        <v>1561</v>
      </c>
      <c r="C1565" s="39">
        <f t="shared" si="48"/>
        <v>5912406.0865707705</v>
      </c>
      <c r="D1565" s="39">
        <f t="shared" si="49"/>
        <v>4946599.2430192167</v>
      </c>
    </row>
    <row r="1566" spans="2:4" x14ac:dyDescent="0.25">
      <c r="B1566" s="90">
        <v>1562</v>
      </c>
      <c r="C1566" s="39">
        <f t="shared" si="48"/>
        <v>5915068.998861975</v>
      </c>
      <c r="D1566" s="39">
        <f t="shared" si="49"/>
        <v>4949768.1086457511</v>
      </c>
    </row>
    <row r="1567" spans="2:4" x14ac:dyDescent="0.25">
      <c r="B1567" s="90">
        <v>1563</v>
      </c>
      <c r="C1567" s="39">
        <f t="shared" si="48"/>
        <v>5917731.9111531805</v>
      </c>
      <c r="D1567" s="39">
        <f t="shared" si="49"/>
        <v>4952936.9742722847</v>
      </c>
    </row>
    <row r="1568" spans="2:4" x14ac:dyDescent="0.25">
      <c r="B1568" s="90">
        <v>1564</v>
      </c>
      <c r="C1568" s="39">
        <f t="shared" si="48"/>
        <v>5920394.8234443851</v>
      </c>
      <c r="D1568" s="39">
        <f t="shared" si="49"/>
        <v>4956105.8398988182</v>
      </c>
    </row>
    <row r="1569" spans="2:4" x14ac:dyDescent="0.25">
      <c r="B1569" s="90">
        <v>1565</v>
      </c>
      <c r="C1569" s="39">
        <f t="shared" si="48"/>
        <v>5923057.7357355896</v>
      </c>
      <c r="D1569" s="39">
        <f t="shared" si="49"/>
        <v>4959274.7055253517</v>
      </c>
    </row>
    <row r="1570" spans="2:4" x14ac:dyDescent="0.25">
      <c r="B1570" s="90">
        <v>1566</v>
      </c>
      <c r="C1570" s="39">
        <f t="shared" si="48"/>
        <v>5925720.6480267942</v>
      </c>
      <c r="D1570" s="39">
        <f t="shared" si="49"/>
        <v>4962443.5711518861</v>
      </c>
    </row>
    <row r="1571" spans="2:4" x14ac:dyDescent="0.25">
      <c r="B1571" s="90">
        <v>1567</v>
      </c>
      <c r="C1571" s="39">
        <f t="shared" si="48"/>
        <v>5928383.5603179988</v>
      </c>
      <c r="D1571" s="39">
        <f t="shared" si="49"/>
        <v>4965612.4367784197</v>
      </c>
    </row>
    <row r="1572" spans="2:4" x14ac:dyDescent="0.25">
      <c r="B1572" s="90">
        <v>1568</v>
      </c>
      <c r="C1572" s="39">
        <f t="shared" si="48"/>
        <v>5931046.4726092042</v>
      </c>
      <c r="D1572" s="39">
        <f t="shared" si="49"/>
        <v>4968781.3024049532</v>
      </c>
    </row>
    <row r="1573" spans="2:4" x14ac:dyDescent="0.25">
      <c r="B1573" s="90">
        <v>1569</v>
      </c>
      <c r="C1573" s="39">
        <f t="shared" si="48"/>
        <v>5933709.3849004097</v>
      </c>
      <c r="D1573" s="39">
        <f t="shared" si="49"/>
        <v>4971950.1680314876</v>
      </c>
    </row>
    <row r="1574" spans="2:4" x14ac:dyDescent="0.25">
      <c r="B1574" s="90">
        <v>1570</v>
      </c>
      <c r="C1574" s="39">
        <f t="shared" si="48"/>
        <v>5936372.2971916143</v>
      </c>
      <c r="D1574" s="39">
        <f t="shared" si="49"/>
        <v>4975119.0336580211</v>
      </c>
    </row>
    <row r="1575" spans="2:4" x14ac:dyDescent="0.25">
      <c r="B1575" s="90">
        <v>1571</v>
      </c>
      <c r="C1575" s="39">
        <f t="shared" si="48"/>
        <v>5939035.2094828188</v>
      </c>
      <c r="D1575" s="39">
        <f t="shared" si="49"/>
        <v>4978287.8992845546</v>
      </c>
    </row>
    <row r="1576" spans="2:4" x14ac:dyDescent="0.25">
      <c r="B1576" s="90">
        <v>1572</v>
      </c>
      <c r="C1576" s="39">
        <f t="shared" si="48"/>
        <v>5941698.1217740234</v>
      </c>
      <c r="D1576" s="39">
        <f t="shared" si="49"/>
        <v>4981456.7649110882</v>
      </c>
    </row>
    <row r="1577" spans="2:4" x14ac:dyDescent="0.25">
      <c r="B1577" s="90">
        <v>1573</v>
      </c>
      <c r="C1577" s="39">
        <f t="shared" si="48"/>
        <v>5944361.034065228</v>
      </c>
      <c r="D1577" s="39">
        <f t="shared" si="49"/>
        <v>4984625.6305376226</v>
      </c>
    </row>
    <row r="1578" spans="2:4" x14ac:dyDescent="0.25">
      <c r="B1578" s="90">
        <v>1574</v>
      </c>
      <c r="C1578" s="39">
        <f t="shared" si="48"/>
        <v>5947023.9463564334</v>
      </c>
      <c r="D1578" s="39">
        <f t="shared" si="49"/>
        <v>4987794.4961641561</v>
      </c>
    </row>
    <row r="1579" spans="2:4" x14ac:dyDescent="0.25">
      <c r="B1579" s="90">
        <v>1575</v>
      </c>
      <c r="C1579" s="39">
        <f t="shared" si="48"/>
        <v>5949686.8586476389</v>
      </c>
      <c r="D1579" s="39">
        <f t="shared" si="49"/>
        <v>4990963.3617906896</v>
      </c>
    </row>
    <row r="1580" spans="2:4" x14ac:dyDescent="0.25">
      <c r="B1580" s="90">
        <v>1576</v>
      </c>
      <c r="C1580" s="39">
        <f t="shared" si="48"/>
        <v>5952349.7709388435</v>
      </c>
      <c r="D1580" s="39">
        <f t="shared" si="49"/>
        <v>4994132.2274172232</v>
      </c>
    </row>
    <row r="1581" spans="2:4" x14ac:dyDescent="0.25">
      <c r="B1581" s="90">
        <v>1577</v>
      </c>
      <c r="C1581" s="39">
        <f t="shared" si="48"/>
        <v>5955012.683230048</v>
      </c>
      <c r="D1581" s="39">
        <f t="shared" si="49"/>
        <v>4997301.0930437576</v>
      </c>
    </row>
    <row r="1582" spans="2:4" x14ac:dyDescent="0.25">
      <c r="B1582" s="90">
        <v>1578</v>
      </c>
      <c r="C1582" s="39">
        <f t="shared" si="48"/>
        <v>5957675.5955212526</v>
      </c>
      <c r="D1582" s="39">
        <f t="shared" si="49"/>
        <v>5000469.9586702911</v>
      </c>
    </row>
    <row r="1583" spans="2:4" x14ac:dyDescent="0.25">
      <c r="B1583" s="90">
        <v>1579</v>
      </c>
      <c r="C1583" s="39">
        <f t="shared" si="48"/>
        <v>5960338.5078124581</v>
      </c>
      <c r="D1583" s="39">
        <f t="shared" si="49"/>
        <v>5003638.8242968246</v>
      </c>
    </row>
    <row r="1584" spans="2:4" x14ac:dyDescent="0.25">
      <c r="B1584" s="90">
        <v>1580</v>
      </c>
      <c r="C1584" s="39">
        <f t="shared" si="48"/>
        <v>5963001.4201036626</v>
      </c>
      <c r="D1584" s="39">
        <f t="shared" si="49"/>
        <v>5006807.6899233591</v>
      </c>
    </row>
    <row r="1585" spans="2:4" x14ac:dyDescent="0.25">
      <c r="B1585" s="90">
        <v>1581</v>
      </c>
      <c r="C1585" s="39">
        <f t="shared" ref="C1585:C1648" si="50">($C$2*B1585)+$C$1</f>
        <v>5965664.3323948672</v>
      </c>
      <c r="D1585" s="39">
        <f t="shared" ref="D1585:D1648" si="51">$D$2*B1585</f>
        <v>5009976.5555498926</v>
      </c>
    </row>
    <row r="1586" spans="2:4" x14ac:dyDescent="0.25">
      <c r="B1586" s="90">
        <v>1582</v>
      </c>
      <c r="C1586" s="39">
        <f t="shared" si="50"/>
        <v>5968327.2446860718</v>
      </c>
      <c r="D1586" s="39">
        <f t="shared" si="51"/>
        <v>5013145.4211764261</v>
      </c>
    </row>
    <row r="1587" spans="2:4" x14ac:dyDescent="0.25">
      <c r="B1587" s="90">
        <v>1583</v>
      </c>
      <c r="C1587" s="39">
        <f t="shared" si="50"/>
        <v>5970990.1569772772</v>
      </c>
      <c r="D1587" s="39">
        <f t="shared" si="51"/>
        <v>5016314.2868029596</v>
      </c>
    </row>
    <row r="1588" spans="2:4" x14ac:dyDescent="0.25">
      <c r="B1588" s="90">
        <v>1584</v>
      </c>
      <c r="C1588" s="39">
        <f t="shared" si="50"/>
        <v>5973653.0692684818</v>
      </c>
      <c r="D1588" s="39">
        <f t="shared" si="51"/>
        <v>5019483.1524294941</v>
      </c>
    </row>
    <row r="1589" spans="2:4" x14ac:dyDescent="0.25">
      <c r="B1589" s="90">
        <v>1585</v>
      </c>
      <c r="C1589" s="39">
        <f t="shared" si="50"/>
        <v>5976315.9815596864</v>
      </c>
      <c r="D1589" s="39">
        <f t="shared" si="51"/>
        <v>5022652.0180560276</v>
      </c>
    </row>
    <row r="1590" spans="2:4" x14ac:dyDescent="0.25">
      <c r="B1590" s="90">
        <v>1586</v>
      </c>
      <c r="C1590" s="39">
        <f t="shared" si="50"/>
        <v>5978978.8938508919</v>
      </c>
      <c r="D1590" s="39">
        <f t="shared" si="51"/>
        <v>5025820.8836825611</v>
      </c>
    </row>
    <row r="1591" spans="2:4" x14ac:dyDescent="0.25">
      <c r="B1591" s="90">
        <v>1587</v>
      </c>
      <c r="C1591" s="39">
        <f t="shared" si="50"/>
        <v>5981641.8061420964</v>
      </c>
      <c r="D1591" s="39">
        <f t="shared" si="51"/>
        <v>5028989.7493090946</v>
      </c>
    </row>
    <row r="1592" spans="2:4" x14ac:dyDescent="0.25">
      <c r="B1592" s="90">
        <v>1588</v>
      </c>
      <c r="C1592" s="39">
        <f t="shared" si="50"/>
        <v>5984304.718433301</v>
      </c>
      <c r="D1592" s="39">
        <f t="shared" si="51"/>
        <v>5032158.6149356291</v>
      </c>
    </row>
    <row r="1593" spans="2:4" x14ac:dyDescent="0.25">
      <c r="B1593" s="90">
        <v>1589</v>
      </c>
      <c r="C1593" s="39">
        <f t="shared" si="50"/>
        <v>5986967.6307245065</v>
      </c>
      <c r="D1593" s="39">
        <f t="shared" si="51"/>
        <v>5035327.4805621626</v>
      </c>
    </row>
    <row r="1594" spans="2:4" x14ac:dyDescent="0.25">
      <c r="B1594" s="90">
        <v>1590</v>
      </c>
      <c r="C1594" s="39">
        <f t="shared" si="50"/>
        <v>5989630.543015711</v>
      </c>
      <c r="D1594" s="39">
        <f t="shared" si="51"/>
        <v>5038496.3461886961</v>
      </c>
    </row>
    <row r="1595" spans="2:4" x14ac:dyDescent="0.25">
      <c r="B1595" s="90">
        <v>1591</v>
      </c>
      <c r="C1595" s="39">
        <f t="shared" si="50"/>
        <v>5992293.4553069156</v>
      </c>
      <c r="D1595" s="39">
        <f t="shared" si="51"/>
        <v>5041665.2118152305</v>
      </c>
    </row>
    <row r="1596" spans="2:4" x14ac:dyDescent="0.25">
      <c r="B1596" s="90">
        <v>1592</v>
      </c>
      <c r="C1596" s="39">
        <f t="shared" si="50"/>
        <v>5994956.3675981211</v>
      </c>
      <c r="D1596" s="39">
        <f t="shared" si="51"/>
        <v>5044834.0774417641</v>
      </c>
    </row>
    <row r="1597" spans="2:4" x14ac:dyDescent="0.25">
      <c r="B1597" s="90">
        <v>1593</v>
      </c>
      <c r="C1597" s="39">
        <f t="shared" si="50"/>
        <v>5997619.2798893256</v>
      </c>
      <c r="D1597" s="39">
        <f t="shared" si="51"/>
        <v>5048002.9430682976</v>
      </c>
    </row>
    <row r="1598" spans="2:4" x14ac:dyDescent="0.25">
      <c r="B1598" s="90">
        <v>1594</v>
      </c>
      <c r="C1598" s="39">
        <f t="shared" si="50"/>
        <v>6000282.1921805302</v>
      </c>
      <c r="D1598" s="39">
        <f t="shared" si="51"/>
        <v>5051171.8086948311</v>
      </c>
    </row>
    <row r="1599" spans="2:4" x14ac:dyDescent="0.25">
      <c r="B1599" s="90">
        <v>1595</v>
      </c>
      <c r="C1599" s="39">
        <f t="shared" si="50"/>
        <v>6002945.1044717357</v>
      </c>
      <c r="D1599" s="39">
        <f t="shared" si="51"/>
        <v>5054340.6743213655</v>
      </c>
    </row>
    <row r="1600" spans="2:4" x14ac:dyDescent="0.25">
      <c r="B1600" s="90">
        <v>1596</v>
      </c>
      <c r="C1600" s="39">
        <f t="shared" si="50"/>
        <v>6005608.0167629402</v>
      </c>
      <c r="D1600" s="39">
        <f t="shared" si="51"/>
        <v>5057509.5399478991</v>
      </c>
    </row>
    <row r="1601" spans="2:4" x14ac:dyDescent="0.25">
      <c r="B1601" s="90">
        <v>1597</v>
      </c>
      <c r="C1601" s="39">
        <f t="shared" si="50"/>
        <v>6008270.9290541448</v>
      </c>
      <c r="D1601" s="39">
        <f t="shared" si="51"/>
        <v>5060678.4055744326</v>
      </c>
    </row>
    <row r="1602" spans="2:4" x14ac:dyDescent="0.25">
      <c r="B1602" s="90">
        <v>1598</v>
      </c>
      <c r="C1602" s="39">
        <f t="shared" si="50"/>
        <v>6010933.8413453493</v>
      </c>
      <c r="D1602" s="39">
        <f t="shared" si="51"/>
        <v>5063847.271200967</v>
      </c>
    </row>
    <row r="1603" spans="2:4" x14ac:dyDescent="0.25">
      <c r="B1603" s="90">
        <v>1599</v>
      </c>
      <c r="C1603" s="39">
        <f t="shared" si="50"/>
        <v>6013596.7536365548</v>
      </c>
      <c r="D1603" s="39">
        <f t="shared" si="51"/>
        <v>5067016.1368275005</v>
      </c>
    </row>
    <row r="1604" spans="2:4" x14ac:dyDescent="0.25">
      <c r="B1604" s="90">
        <v>1600</v>
      </c>
      <c r="C1604" s="39">
        <f t="shared" si="50"/>
        <v>6016259.6659277594</v>
      </c>
      <c r="D1604" s="39">
        <f t="shared" si="51"/>
        <v>5070185.0024540341</v>
      </c>
    </row>
    <row r="1605" spans="2:4" x14ac:dyDescent="0.25">
      <c r="B1605" s="90">
        <v>1601</v>
      </c>
      <c r="C1605" s="39">
        <f t="shared" si="50"/>
        <v>6018922.5782189639</v>
      </c>
      <c r="D1605" s="39">
        <f t="shared" si="51"/>
        <v>5073353.8680805676</v>
      </c>
    </row>
    <row r="1606" spans="2:4" x14ac:dyDescent="0.25">
      <c r="B1606" s="90">
        <v>1602</v>
      </c>
      <c r="C1606" s="39">
        <f t="shared" si="50"/>
        <v>6021585.4905101694</v>
      </c>
      <c r="D1606" s="39">
        <f t="shared" si="51"/>
        <v>5076522.733707102</v>
      </c>
    </row>
    <row r="1607" spans="2:4" x14ac:dyDescent="0.25">
      <c r="B1607" s="90">
        <v>1603</v>
      </c>
      <c r="C1607" s="39">
        <f t="shared" si="50"/>
        <v>6024248.402801374</v>
      </c>
      <c r="D1607" s="39">
        <f t="shared" si="51"/>
        <v>5079691.5993336355</v>
      </c>
    </row>
    <row r="1608" spans="2:4" x14ac:dyDescent="0.25">
      <c r="B1608" s="90">
        <v>1604</v>
      </c>
      <c r="C1608" s="39">
        <f t="shared" si="50"/>
        <v>6026911.3150925785</v>
      </c>
      <c r="D1608" s="39">
        <f t="shared" si="51"/>
        <v>5082860.464960169</v>
      </c>
    </row>
    <row r="1609" spans="2:4" x14ac:dyDescent="0.25">
      <c r="B1609" s="90">
        <v>1605</v>
      </c>
      <c r="C1609" s="39">
        <f t="shared" si="50"/>
        <v>6029574.227383784</v>
      </c>
      <c r="D1609" s="39">
        <f t="shared" si="51"/>
        <v>5086029.3305867026</v>
      </c>
    </row>
    <row r="1610" spans="2:4" x14ac:dyDescent="0.25">
      <c r="B1610" s="90">
        <v>1606</v>
      </c>
      <c r="C1610" s="39">
        <f t="shared" si="50"/>
        <v>6032237.1396749886</v>
      </c>
      <c r="D1610" s="39">
        <f t="shared" si="51"/>
        <v>5089198.196213237</v>
      </c>
    </row>
    <row r="1611" spans="2:4" x14ac:dyDescent="0.25">
      <c r="B1611" s="90">
        <v>1607</v>
      </c>
      <c r="C1611" s="39">
        <f t="shared" si="50"/>
        <v>6034900.0519661931</v>
      </c>
      <c r="D1611" s="39">
        <f t="shared" si="51"/>
        <v>5092367.0618397705</v>
      </c>
    </row>
    <row r="1612" spans="2:4" x14ac:dyDescent="0.25">
      <c r="B1612" s="90">
        <v>1608</v>
      </c>
      <c r="C1612" s="39">
        <f t="shared" si="50"/>
        <v>6037562.9642573986</v>
      </c>
      <c r="D1612" s="39">
        <f t="shared" si="51"/>
        <v>5095535.927466304</v>
      </c>
    </row>
    <row r="1613" spans="2:4" x14ac:dyDescent="0.25">
      <c r="B1613" s="90">
        <v>1609</v>
      </c>
      <c r="C1613" s="39">
        <f t="shared" si="50"/>
        <v>6040225.8765486032</v>
      </c>
      <c r="D1613" s="39">
        <f t="shared" si="51"/>
        <v>5098704.7930928385</v>
      </c>
    </row>
    <row r="1614" spans="2:4" x14ac:dyDescent="0.25">
      <c r="B1614" s="90">
        <v>1610</v>
      </c>
      <c r="C1614" s="39">
        <f t="shared" si="50"/>
        <v>6042888.7888398077</v>
      </c>
      <c r="D1614" s="39">
        <f t="shared" si="51"/>
        <v>5101873.658719372</v>
      </c>
    </row>
    <row r="1615" spans="2:4" x14ac:dyDescent="0.25">
      <c r="B1615" s="90">
        <v>1611</v>
      </c>
      <c r="C1615" s="39">
        <f t="shared" si="50"/>
        <v>6045551.7011310132</v>
      </c>
      <c r="D1615" s="39">
        <f t="shared" si="51"/>
        <v>5105042.5243459055</v>
      </c>
    </row>
    <row r="1616" spans="2:4" x14ac:dyDescent="0.25">
      <c r="B1616" s="90">
        <v>1612</v>
      </c>
      <c r="C1616" s="39">
        <f t="shared" si="50"/>
        <v>6048214.6134222178</v>
      </c>
      <c r="D1616" s="39">
        <f t="shared" si="51"/>
        <v>5108211.389972439</v>
      </c>
    </row>
    <row r="1617" spans="2:4" x14ac:dyDescent="0.25">
      <c r="B1617" s="90">
        <v>1613</v>
      </c>
      <c r="C1617" s="39">
        <f t="shared" si="50"/>
        <v>6050877.5257134223</v>
      </c>
      <c r="D1617" s="39">
        <f t="shared" si="51"/>
        <v>5111380.2555989735</v>
      </c>
    </row>
    <row r="1618" spans="2:4" x14ac:dyDescent="0.25">
      <c r="B1618" s="90">
        <v>1614</v>
      </c>
      <c r="C1618" s="39">
        <f t="shared" si="50"/>
        <v>6053540.4380046278</v>
      </c>
      <c r="D1618" s="39">
        <f t="shared" si="51"/>
        <v>5114549.121225507</v>
      </c>
    </row>
    <row r="1619" spans="2:4" x14ac:dyDescent="0.25">
      <c r="B1619" s="90">
        <v>1615</v>
      </c>
      <c r="C1619" s="39">
        <f t="shared" si="50"/>
        <v>6056203.3502958324</v>
      </c>
      <c r="D1619" s="39">
        <f t="shared" si="51"/>
        <v>5117717.9868520405</v>
      </c>
    </row>
    <row r="1620" spans="2:4" x14ac:dyDescent="0.25">
      <c r="B1620" s="90">
        <v>1616</v>
      </c>
      <c r="C1620" s="39">
        <f t="shared" si="50"/>
        <v>6058866.2625870369</v>
      </c>
      <c r="D1620" s="39">
        <f t="shared" si="51"/>
        <v>5120886.852478574</v>
      </c>
    </row>
    <row r="1621" spans="2:4" x14ac:dyDescent="0.25">
      <c r="B1621" s="90">
        <v>1617</v>
      </c>
      <c r="C1621" s="39">
        <f t="shared" si="50"/>
        <v>6061529.1748782415</v>
      </c>
      <c r="D1621" s="39">
        <f t="shared" si="51"/>
        <v>5124055.7181051085</v>
      </c>
    </row>
    <row r="1622" spans="2:4" x14ac:dyDescent="0.25">
      <c r="B1622" s="90">
        <v>1618</v>
      </c>
      <c r="C1622" s="39">
        <f t="shared" si="50"/>
        <v>6064192.087169447</v>
      </c>
      <c r="D1622" s="39">
        <f t="shared" si="51"/>
        <v>5127224.583731642</v>
      </c>
    </row>
    <row r="1623" spans="2:4" x14ac:dyDescent="0.25">
      <c r="B1623" s="90">
        <v>1619</v>
      </c>
      <c r="C1623" s="39">
        <f t="shared" si="50"/>
        <v>6066854.9994606515</v>
      </c>
      <c r="D1623" s="39">
        <f t="shared" si="51"/>
        <v>5130393.4493581755</v>
      </c>
    </row>
    <row r="1624" spans="2:4" x14ac:dyDescent="0.25">
      <c r="B1624" s="90">
        <v>1620</v>
      </c>
      <c r="C1624" s="39">
        <f t="shared" si="50"/>
        <v>6069517.9117518561</v>
      </c>
      <c r="D1624" s="39">
        <f t="shared" si="51"/>
        <v>5133562.31498471</v>
      </c>
    </row>
    <row r="1625" spans="2:4" x14ac:dyDescent="0.25">
      <c r="B1625" s="90">
        <v>1621</v>
      </c>
      <c r="C1625" s="39">
        <f t="shared" si="50"/>
        <v>6072180.8240430616</v>
      </c>
      <c r="D1625" s="39">
        <f t="shared" si="51"/>
        <v>5136731.1806112435</v>
      </c>
    </row>
    <row r="1626" spans="2:4" x14ac:dyDescent="0.25">
      <c r="B1626" s="90">
        <v>1622</v>
      </c>
      <c r="C1626" s="39">
        <f t="shared" si="50"/>
        <v>6074843.7363342661</v>
      </c>
      <c r="D1626" s="39">
        <f t="shared" si="51"/>
        <v>5139900.046237777</v>
      </c>
    </row>
    <row r="1627" spans="2:4" x14ac:dyDescent="0.25">
      <c r="B1627" s="90">
        <v>1623</v>
      </c>
      <c r="C1627" s="39">
        <f t="shared" si="50"/>
        <v>6077506.6486254707</v>
      </c>
      <c r="D1627" s="39">
        <f t="shared" si="51"/>
        <v>5143068.9118643105</v>
      </c>
    </row>
    <row r="1628" spans="2:4" x14ac:dyDescent="0.25">
      <c r="B1628" s="90">
        <v>1624</v>
      </c>
      <c r="C1628" s="39">
        <f t="shared" si="50"/>
        <v>6080169.5609166762</v>
      </c>
      <c r="D1628" s="39">
        <f t="shared" si="51"/>
        <v>5146237.777490845</v>
      </c>
    </row>
    <row r="1629" spans="2:4" x14ac:dyDescent="0.25">
      <c r="B1629" s="90">
        <v>1625</v>
      </c>
      <c r="C1629" s="39">
        <f t="shared" si="50"/>
        <v>6082832.4732078807</v>
      </c>
      <c r="D1629" s="39">
        <f t="shared" si="51"/>
        <v>5149406.6431173785</v>
      </c>
    </row>
    <row r="1630" spans="2:4" x14ac:dyDescent="0.25">
      <c r="B1630" s="90">
        <v>1626</v>
      </c>
      <c r="C1630" s="39">
        <f t="shared" si="50"/>
        <v>6085495.3854990853</v>
      </c>
      <c r="D1630" s="39">
        <f t="shared" si="51"/>
        <v>5152575.508743912</v>
      </c>
    </row>
    <row r="1631" spans="2:4" x14ac:dyDescent="0.25">
      <c r="B1631" s="90">
        <v>1627</v>
      </c>
      <c r="C1631" s="39">
        <f t="shared" si="50"/>
        <v>6088158.2977902908</v>
      </c>
      <c r="D1631" s="39">
        <f t="shared" si="51"/>
        <v>5155744.3743704455</v>
      </c>
    </row>
    <row r="1632" spans="2:4" x14ac:dyDescent="0.25">
      <c r="B1632" s="90">
        <v>1628</v>
      </c>
      <c r="C1632" s="39">
        <f t="shared" si="50"/>
        <v>6090821.2100814953</v>
      </c>
      <c r="D1632" s="39">
        <f t="shared" si="51"/>
        <v>5158913.2399969799</v>
      </c>
    </row>
    <row r="1633" spans="2:4" x14ac:dyDescent="0.25">
      <c r="B1633" s="90">
        <v>1629</v>
      </c>
      <c r="C1633" s="39">
        <f t="shared" si="50"/>
        <v>6093484.1223726999</v>
      </c>
      <c r="D1633" s="39">
        <f t="shared" si="51"/>
        <v>5162082.1056235135</v>
      </c>
    </row>
    <row r="1634" spans="2:4" x14ac:dyDescent="0.25">
      <c r="B1634" s="90">
        <v>1630</v>
      </c>
      <c r="C1634" s="39">
        <f t="shared" si="50"/>
        <v>6096147.0346639054</v>
      </c>
      <c r="D1634" s="39">
        <f t="shared" si="51"/>
        <v>5165250.971250047</v>
      </c>
    </row>
    <row r="1635" spans="2:4" x14ac:dyDescent="0.25">
      <c r="B1635" s="90">
        <v>1631</v>
      </c>
      <c r="C1635" s="39">
        <f t="shared" si="50"/>
        <v>6098809.9469551099</v>
      </c>
      <c r="D1635" s="39">
        <f t="shared" si="51"/>
        <v>5168419.8368765814</v>
      </c>
    </row>
    <row r="1636" spans="2:4" x14ac:dyDescent="0.25">
      <c r="B1636" s="90">
        <v>1632</v>
      </c>
      <c r="C1636" s="39">
        <f t="shared" si="50"/>
        <v>6101472.8592463145</v>
      </c>
      <c r="D1636" s="39">
        <f t="shared" si="51"/>
        <v>5171588.7025031149</v>
      </c>
    </row>
    <row r="1637" spans="2:4" x14ac:dyDescent="0.25">
      <c r="B1637" s="90">
        <v>1633</v>
      </c>
      <c r="C1637" s="39">
        <f t="shared" si="50"/>
        <v>6104135.77153752</v>
      </c>
      <c r="D1637" s="39">
        <f t="shared" si="51"/>
        <v>5174757.5681296485</v>
      </c>
    </row>
    <row r="1638" spans="2:4" x14ac:dyDescent="0.25">
      <c r="B1638" s="90">
        <v>1634</v>
      </c>
      <c r="C1638" s="39">
        <f t="shared" si="50"/>
        <v>6106798.6838287245</v>
      </c>
      <c r="D1638" s="39">
        <f t="shared" si="51"/>
        <v>5177926.433756182</v>
      </c>
    </row>
    <row r="1639" spans="2:4" x14ac:dyDescent="0.25">
      <c r="B1639" s="90">
        <v>1635</v>
      </c>
      <c r="C1639" s="39">
        <f t="shared" si="50"/>
        <v>6109461.5961199291</v>
      </c>
      <c r="D1639" s="39">
        <f t="shared" si="51"/>
        <v>5181095.2993827164</v>
      </c>
    </row>
    <row r="1640" spans="2:4" x14ac:dyDescent="0.25">
      <c r="B1640" s="90">
        <v>1636</v>
      </c>
      <c r="C1640" s="39">
        <f t="shared" si="50"/>
        <v>6112124.5084111337</v>
      </c>
      <c r="D1640" s="39">
        <f t="shared" si="51"/>
        <v>5184264.1650092499</v>
      </c>
    </row>
    <row r="1641" spans="2:4" x14ac:dyDescent="0.25">
      <c r="B1641" s="90">
        <v>1637</v>
      </c>
      <c r="C1641" s="39">
        <f t="shared" si="50"/>
        <v>6114787.4207023392</v>
      </c>
      <c r="D1641" s="39">
        <f t="shared" si="51"/>
        <v>5187433.0306357834</v>
      </c>
    </row>
    <row r="1642" spans="2:4" x14ac:dyDescent="0.25">
      <c r="B1642" s="90">
        <v>1638</v>
      </c>
      <c r="C1642" s="39">
        <f t="shared" si="50"/>
        <v>6117450.3329935437</v>
      </c>
      <c r="D1642" s="39">
        <f t="shared" si="51"/>
        <v>5190601.896262317</v>
      </c>
    </row>
    <row r="1643" spans="2:4" x14ac:dyDescent="0.25">
      <c r="B1643" s="90">
        <v>1639</v>
      </c>
      <c r="C1643" s="39">
        <f t="shared" si="50"/>
        <v>6120113.2452847483</v>
      </c>
      <c r="D1643" s="39">
        <f t="shared" si="51"/>
        <v>5193770.7618888514</v>
      </c>
    </row>
    <row r="1644" spans="2:4" x14ac:dyDescent="0.25">
      <c r="B1644" s="90">
        <v>1640</v>
      </c>
      <c r="C1644" s="39">
        <f t="shared" si="50"/>
        <v>6122776.1575759538</v>
      </c>
      <c r="D1644" s="39">
        <f t="shared" si="51"/>
        <v>5196939.6275153849</v>
      </c>
    </row>
    <row r="1645" spans="2:4" x14ac:dyDescent="0.25">
      <c r="B1645" s="90">
        <v>1641</v>
      </c>
      <c r="C1645" s="39">
        <f t="shared" si="50"/>
        <v>6125439.0698671583</v>
      </c>
      <c r="D1645" s="39">
        <f t="shared" si="51"/>
        <v>5200108.4931419184</v>
      </c>
    </row>
    <row r="1646" spans="2:4" x14ac:dyDescent="0.25">
      <c r="B1646" s="90">
        <v>1642</v>
      </c>
      <c r="C1646" s="39">
        <f t="shared" si="50"/>
        <v>6128101.9821583629</v>
      </c>
      <c r="D1646" s="39">
        <f t="shared" si="51"/>
        <v>5203277.3587684529</v>
      </c>
    </row>
    <row r="1647" spans="2:4" x14ac:dyDescent="0.25">
      <c r="B1647" s="90">
        <v>1643</v>
      </c>
      <c r="C1647" s="39">
        <f t="shared" si="50"/>
        <v>6130764.8944495684</v>
      </c>
      <c r="D1647" s="39">
        <f t="shared" si="51"/>
        <v>5206446.2243949864</v>
      </c>
    </row>
    <row r="1648" spans="2:4" x14ac:dyDescent="0.25">
      <c r="B1648" s="90">
        <v>1644</v>
      </c>
      <c r="C1648" s="39">
        <f t="shared" si="50"/>
        <v>6133427.8067407729</v>
      </c>
      <c r="D1648" s="39">
        <f t="shared" si="51"/>
        <v>5209615.0900215199</v>
      </c>
    </row>
    <row r="1649" spans="2:4" x14ac:dyDescent="0.25">
      <c r="B1649" s="90">
        <v>1645</v>
      </c>
      <c r="C1649" s="39">
        <f t="shared" ref="C1649:C1712" si="52">($C$2*B1649)+$C$1</f>
        <v>6136090.7190319775</v>
      </c>
      <c r="D1649" s="39">
        <f t="shared" ref="D1649:D1712" si="53">$D$2*B1649</f>
        <v>5212783.9556480534</v>
      </c>
    </row>
    <row r="1650" spans="2:4" x14ac:dyDescent="0.25">
      <c r="B1650" s="90">
        <v>1646</v>
      </c>
      <c r="C1650" s="39">
        <f t="shared" si="52"/>
        <v>6138753.631323183</v>
      </c>
      <c r="D1650" s="39">
        <f t="shared" si="53"/>
        <v>5215952.8212745879</v>
      </c>
    </row>
    <row r="1651" spans="2:4" x14ac:dyDescent="0.25">
      <c r="B1651" s="90">
        <v>1647</v>
      </c>
      <c r="C1651" s="39">
        <f t="shared" si="52"/>
        <v>6141416.5436143875</v>
      </c>
      <c r="D1651" s="39">
        <f t="shared" si="53"/>
        <v>5219121.6869011214</v>
      </c>
    </row>
    <row r="1652" spans="2:4" x14ac:dyDescent="0.25">
      <c r="B1652" s="90">
        <v>1648</v>
      </c>
      <c r="C1652" s="39">
        <f t="shared" si="52"/>
        <v>6144079.4559055921</v>
      </c>
      <c r="D1652" s="39">
        <f t="shared" si="53"/>
        <v>5222290.5525276549</v>
      </c>
    </row>
    <row r="1653" spans="2:4" x14ac:dyDescent="0.25">
      <c r="B1653" s="90">
        <v>1649</v>
      </c>
      <c r="C1653" s="39">
        <f t="shared" si="52"/>
        <v>6146742.3681967976</v>
      </c>
      <c r="D1653" s="39">
        <f t="shared" si="53"/>
        <v>5225459.4181541894</v>
      </c>
    </row>
    <row r="1654" spans="2:4" x14ac:dyDescent="0.25">
      <c r="B1654" s="90">
        <v>1650</v>
      </c>
      <c r="C1654" s="39">
        <f t="shared" si="52"/>
        <v>6149405.2804880021</v>
      </c>
      <c r="D1654" s="39">
        <f t="shared" si="53"/>
        <v>5228628.2837807229</v>
      </c>
    </row>
    <row r="1655" spans="2:4" x14ac:dyDescent="0.25">
      <c r="B1655" s="90">
        <v>1651</v>
      </c>
      <c r="C1655" s="39">
        <f t="shared" si="52"/>
        <v>6152068.1927792067</v>
      </c>
      <c r="D1655" s="39">
        <f t="shared" si="53"/>
        <v>5231797.1494072564</v>
      </c>
    </row>
    <row r="1656" spans="2:4" x14ac:dyDescent="0.25">
      <c r="B1656" s="90">
        <v>1652</v>
      </c>
      <c r="C1656" s="39">
        <f t="shared" si="52"/>
        <v>6154731.1050704112</v>
      </c>
      <c r="D1656" s="39">
        <f t="shared" si="53"/>
        <v>5234966.0150337899</v>
      </c>
    </row>
    <row r="1657" spans="2:4" x14ac:dyDescent="0.25">
      <c r="B1657" s="90">
        <v>1653</v>
      </c>
      <c r="C1657" s="39">
        <f t="shared" si="52"/>
        <v>6157394.0173616167</v>
      </c>
      <c r="D1657" s="39">
        <f t="shared" si="53"/>
        <v>5238134.8806603244</v>
      </c>
    </row>
    <row r="1658" spans="2:4" x14ac:dyDescent="0.25">
      <c r="B1658" s="90">
        <v>1654</v>
      </c>
      <c r="C1658" s="39">
        <f t="shared" si="52"/>
        <v>6160056.9296528213</v>
      </c>
      <c r="D1658" s="39">
        <f t="shared" si="53"/>
        <v>5241303.7462868579</v>
      </c>
    </row>
    <row r="1659" spans="2:4" x14ac:dyDescent="0.25">
      <c r="B1659" s="90">
        <v>1655</v>
      </c>
      <c r="C1659" s="39">
        <f t="shared" si="52"/>
        <v>6162719.8419440258</v>
      </c>
      <c r="D1659" s="39">
        <f t="shared" si="53"/>
        <v>5244472.6119133914</v>
      </c>
    </row>
    <row r="1660" spans="2:4" x14ac:dyDescent="0.25">
      <c r="B1660" s="90">
        <v>1656</v>
      </c>
      <c r="C1660" s="39">
        <f t="shared" si="52"/>
        <v>6165382.7542352313</v>
      </c>
      <c r="D1660" s="39">
        <f t="shared" si="53"/>
        <v>5247641.4775399249</v>
      </c>
    </row>
    <row r="1661" spans="2:4" x14ac:dyDescent="0.25">
      <c r="B1661" s="90">
        <v>1657</v>
      </c>
      <c r="C1661" s="39">
        <f t="shared" si="52"/>
        <v>6168045.6665264359</v>
      </c>
      <c r="D1661" s="39">
        <f t="shared" si="53"/>
        <v>5250810.3431664594</v>
      </c>
    </row>
    <row r="1662" spans="2:4" x14ac:dyDescent="0.25">
      <c r="B1662" s="90">
        <v>1658</v>
      </c>
      <c r="C1662" s="39">
        <f t="shared" si="52"/>
        <v>6170708.5788176404</v>
      </c>
      <c r="D1662" s="39">
        <f t="shared" si="53"/>
        <v>5253979.2087929929</v>
      </c>
    </row>
    <row r="1663" spans="2:4" x14ac:dyDescent="0.25">
      <c r="B1663" s="90">
        <v>1659</v>
      </c>
      <c r="C1663" s="39">
        <f t="shared" si="52"/>
        <v>6173371.4911088459</v>
      </c>
      <c r="D1663" s="39">
        <f t="shared" si="53"/>
        <v>5257148.0744195264</v>
      </c>
    </row>
    <row r="1664" spans="2:4" x14ac:dyDescent="0.25">
      <c r="B1664" s="90">
        <v>1660</v>
      </c>
      <c r="C1664" s="39">
        <f t="shared" si="52"/>
        <v>6176034.4034000505</v>
      </c>
      <c r="D1664" s="39">
        <f t="shared" si="53"/>
        <v>5260316.9400460608</v>
      </c>
    </row>
    <row r="1665" spans="2:4" x14ac:dyDescent="0.25">
      <c r="B1665" s="90">
        <v>1661</v>
      </c>
      <c r="C1665" s="39">
        <f t="shared" si="52"/>
        <v>6178697.315691255</v>
      </c>
      <c r="D1665" s="39">
        <f t="shared" si="53"/>
        <v>5263485.8056725943</v>
      </c>
    </row>
    <row r="1666" spans="2:4" x14ac:dyDescent="0.25">
      <c r="B1666" s="90">
        <v>1662</v>
      </c>
      <c r="C1666" s="39">
        <f t="shared" si="52"/>
        <v>6181360.2279824605</v>
      </c>
      <c r="D1666" s="39">
        <f t="shared" si="53"/>
        <v>5266654.6712991279</v>
      </c>
    </row>
    <row r="1667" spans="2:4" x14ac:dyDescent="0.25">
      <c r="B1667" s="90">
        <v>1663</v>
      </c>
      <c r="C1667" s="39">
        <f t="shared" si="52"/>
        <v>6184023.1402736651</v>
      </c>
      <c r="D1667" s="39">
        <f t="shared" si="53"/>
        <v>5269823.5369256614</v>
      </c>
    </row>
    <row r="1668" spans="2:4" x14ac:dyDescent="0.25">
      <c r="B1668" s="90">
        <v>1664</v>
      </c>
      <c r="C1668" s="39">
        <f t="shared" si="52"/>
        <v>6186686.0525648696</v>
      </c>
      <c r="D1668" s="39">
        <f t="shared" si="53"/>
        <v>5272992.4025521958</v>
      </c>
    </row>
    <row r="1669" spans="2:4" x14ac:dyDescent="0.25">
      <c r="B1669" s="90">
        <v>1665</v>
      </c>
      <c r="C1669" s="39">
        <f t="shared" si="52"/>
        <v>6189348.9648560751</v>
      </c>
      <c r="D1669" s="39">
        <f t="shared" si="53"/>
        <v>5276161.2681787293</v>
      </c>
    </row>
    <row r="1670" spans="2:4" x14ac:dyDescent="0.25">
      <c r="B1670" s="90">
        <v>1666</v>
      </c>
      <c r="C1670" s="39">
        <f t="shared" si="52"/>
        <v>6192011.8771472797</v>
      </c>
      <c r="D1670" s="39">
        <f t="shared" si="53"/>
        <v>5279330.1338052629</v>
      </c>
    </row>
    <row r="1671" spans="2:4" x14ac:dyDescent="0.25">
      <c r="B1671" s="90">
        <v>1667</v>
      </c>
      <c r="C1671" s="39">
        <f t="shared" si="52"/>
        <v>6194674.7894384842</v>
      </c>
      <c r="D1671" s="39">
        <f t="shared" si="53"/>
        <v>5282498.9994317964</v>
      </c>
    </row>
    <row r="1672" spans="2:4" x14ac:dyDescent="0.25">
      <c r="B1672" s="90">
        <v>1668</v>
      </c>
      <c r="C1672" s="39">
        <f t="shared" si="52"/>
        <v>6197337.7017296897</v>
      </c>
      <c r="D1672" s="39">
        <f t="shared" si="53"/>
        <v>5285667.8650583308</v>
      </c>
    </row>
    <row r="1673" spans="2:4" x14ac:dyDescent="0.25">
      <c r="B1673" s="90">
        <v>1669</v>
      </c>
      <c r="C1673" s="39">
        <f t="shared" si="52"/>
        <v>6200000.6140208943</v>
      </c>
      <c r="D1673" s="39">
        <f t="shared" si="53"/>
        <v>5288836.7306848643</v>
      </c>
    </row>
    <row r="1674" spans="2:4" x14ac:dyDescent="0.25">
      <c r="B1674" s="90">
        <v>1670</v>
      </c>
      <c r="C1674" s="39">
        <f t="shared" si="52"/>
        <v>6202663.5263120988</v>
      </c>
      <c r="D1674" s="39">
        <f t="shared" si="53"/>
        <v>5292005.5963113979</v>
      </c>
    </row>
    <row r="1675" spans="2:4" x14ac:dyDescent="0.25">
      <c r="B1675" s="90">
        <v>1671</v>
      </c>
      <c r="C1675" s="39">
        <f t="shared" si="52"/>
        <v>6205326.4386033034</v>
      </c>
      <c r="D1675" s="39">
        <f t="shared" si="53"/>
        <v>5295174.4619379323</v>
      </c>
    </row>
    <row r="1676" spans="2:4" x14ac:dyDescent="0.25">
      <c r="B1676" s="90">
        <v>1672</v>
      </c>
      <c r="C1676" s="39">
        <f t="shared" si="52"/>
        <v>6207989.3508945089</v>
      </c>
      <c r="D1676" s="39">
        <f t="shared" si="53"/>
        <v>5298343.3275644658</v>
      </c>
    </row>
    <row r="1677" spans="2:4" x14ac:dyDescent="0.25">
      <c r="B1677" s="90">
        <v>1673</v>
      </c>
      <c r="C1677" s="39">
        <f t="shared" si="52"/>
        <v>6210652.2631857134</v>
      </c>
      <c r="D1677" s="39">
        <f t="shared" si="53"/>
        <v>5301512.1931909993</v>
      </c>
    </row>
    <row r="1678" spans="2:4" x14ac:dyDescent="0.25">
      <c r="B1678" s="90">
        <v>1674</v>
      </c>
      <c r="C1678" s="39">
        <f t="shared" si="52"/>
        <v>6213315.175476918</v>
      </c>
      <c r="D1678" s="39">
        <f t="shared" si="53"/>
        <v>5304681.0588175328</v>
      </c>
    </row>
    <row r="1679" spans="2:4" x14ac:dyDescent="0.25">
      <c r="B1679" s="90">
        <v>1675</v>
      </c>
      <c r="C1679" s="39">
        <f t="shared" si="52"/>
        <v>6215978.0877681235</v>
      </c>
      <c r="D1679" s="39">
        <f t="shared" si="53"/>
        <v>5307849.9244440673</v>
      </c>
    </row>
    <row r="1680" spans="2:4" x14ac:dyDescent="0.25">
      <c r="B1680" s="90">
        <v>1676</v>
      </c>
      <c r="C1680" s="39">
        <f t="shared" si="52"/>
        <v>6218641.000059328</v>
      </c>
      <c r="D1680" s="39">
        <f t="shared" si="53"/>
        <v>5311018.7900706008</v>
      </c>
    </row>
    <row r="1681" spans="2:4" x14ac:dyDescent="0.25">
      <c r="B1681" s="90">
        <v>1677</v>
      </c>
      <c r="C1681" s="39">
        <f t="shared" si="52"/>
        <v>6221303.9123505326</v>
      </c>
      <c r="D1681" s="39">
        <f t="shared" si="53"/>
        <v>5314187.6556971343</v>
      </c>
    </row>
    <row r="1682" spans="2:4" x14ac:dyDescent="0.25">
      <c r="B1682" s="90">
        <v>1678</v>
      </c>
      <c r="C1682" s="39">
        <f t="shared" si="52"/>
        <v>6223966.8246417381</v>
      </c>
      <c r="D1682" s="39">
        <f t="shared" si="53"/>
        <v>5317356.5213236678</v>
      </c>
    </row>
    <row r="1683" spans="2:4" x14ac:dyDescent="0.25">
      <c r="B1683" s="90">
        <v>1679</v>
      </c>
      <c r="C1683" s="39">
        <f t="shared" si="52"/>
        <v>6226629.7369329426</v>
      </c>
      <c r="D1683" s="39">
        <f t="shared" si="53"/>
        <v>5320525.3869502023</v>
      </c>
    </row>
    <row r="1684" spans="2:4" x14ac:dyDescent="0.25">
      <c r="B1684" s="90">
        <v>1680</v>
      </c>
      <c r="C1684" s="39">
        <f t="shared" si="52"/>
        <v>6229292.6492241472</v>
      </c>
      <c r="D1684" s="39">
        <f t="shared" si="53"/>
        <v>5323694.2525767358</v>
      </c>
    </row>
    <row r="1685" spans="2:4" x14ac:dyDescent="0.25">
      <c r="B1685" s="90">
        <v>1681</v>
      </c>
      <c r="C1685" s="39">
        <f t="shared" si="52"/>
        <v>6231955.5615153527</v>
      </c>
      <c r="D1685" s="39">
        <f t="shared" si="53"/>
        <v>5326863.1182032693</v>
      </c>
    </row>
    <row r="1686" spans="2:4" x14ac:dyDescent="0.25">
      <c r="B1686" s="90">
        <v>1682</v>
      </c>
      <c r="C1686" s="39">
        <f t="shared" si="52"/>
        <v>6234618.4738065572</v>
      </c>
      <c r="D1686" s="39">
        <f t="shared" si="53"/>
        <v>5330031.9838298038</v>
      </c>
    </row>
    <row r="1687" spans="2:4" x14ac:dyDescent="0.25">
      <c r="B1687" s="90">
        <v>1683</v>
      </c>
      <c r="C1687" s="39">
        <f t="shared" si="52"/>
        <v>6237281.3860977618</v>
      </c>
      <c r="D1687" s="39">
        <f t="shared" si="53"/>
        <v>5333200.8494563373</v>
      </c>
    </row>
    <row r="1688" spans="2:4" x14ac:dyDescent="0.25">
      <c r="B1688" s="90">
        <v>1684</v>
      </c>
      <c r="C1688" s="39">
        <f t="shared" si="52"/>
        <v>6239944.2983889673</v>
      </c>
      <c r="D1688" s="39">
        <f t="shared" si="53"/>
        <v>5336369.7150828708</v>
      </c>
    </row>
    <row r="1689" spans="2:4" x14ac:dyDescent="0.25">
      <c r="B1689" s="90">
        <v>1685</v>
      </c>
      <c r="C1689" s="39">
        <f t="shared" si="52"/>
        <v>6242607.2106801718</v>
      </c>
      <c r="D1689" s="39">
        <f t="shared" si="53"/>
        <v>5339538.5807094043</v>
      </c>
    </row>
    <row r="1690" spans="2:4" x14ac:dyDescent="0.25">
      <c r="B1690" s="90">
        <v>1686</v>
      </c>
      <c r="C1690" s="39">
        <f t="shared" si="52"/>
        <v>6245270.1229713764</v>
      </c>
      <c r="D1690" s="39">
        <f t="shared" si="53"/>
        <v>5342707.4463359388</v>
      </c>
    </row>
    <row r="1691" spans="2:4" x14ac:dyDescent="0.25">
      <c r="B1691" s="90">
        <v>1687</v>
      </c>
      <c r="C1691" s="39">
        <f t="shared" si="52"/>
        <v>6247933.035262581</v>
      </c>
      <c r="D1691" s="39">
        <f t="shared" si="53"/>
        <v>5345876.3119624723</v>
      </c>
    </row>
    <row r="1692" spans="2:4" x14ac:dyDescent="0.25">
      <c r="B1692" s="90">
        <v>1688</v>
      </c>
      <c r="C1692" s="39">
        <f t="shared" si="52"/>
        <v>6250595.9475537864</v>
      </c>
      <c r="D1692" s="39">
        <f t="shared" si="53"/>
        <v>5349045.1775890058</v>
      </c>
    </row>
    <row r="1693" spans="2:4" x14ac:dyDescent="0.25">
      <c r="B1693" s="90">
        <v>1689</v>
      </c>
      <c r="C1693" s="39">
        <f t="shared" si="52"/>
        <v>6253258.859844991</v>
      </c>
      <c r="D1693" s="39">
        <f t="shared" si="53"/>
        <v>5352214.0432155393</v>
      </c>
    </row>
    <row r="1694" spans="2:4" x14ac:dyDescent="0.25">
      <c r="B1694" s="90">
        <v>1690</v>
      </c>
      <c r="C1694" s="39">
        <f t="shared" si="52"/>
        <v>6255921.7721361956</v>
      </c>
      <c r="D1694" s="39">
        <f t="shared" si="53"/>
        <v>5355382.9088420738</v>
      </c>
    </row>
    <row r="1695" spans="2:4" x14ac:dyDescent="0.25">
      <c r="B1695" s="90">
        <v>1691</v>
      </c>
      <c r="C1695" s="39">
        <f t="shared" si="52"/>
        <v>6258584.6844274011</v>
      </c>
      <c r="D1695" s="39">
        <f t="shared" si="53"/>
        <v>5358551.7744686073</v>
      </c>
    </row>
    <row r="1696" spans="2:4" x14ac:dyDescent="0.25">
      <c r="B1696" s="90">
        <v>1692</v>
      </c>
      <c r="C1696" s="39">
        <f t="shared" si="52"/>
        <v>6261247.5967186056</v>
      </c>
      <c r="D1696" s="39">
        <f t="shared" si="53"/>
        <v>5361720.6400951408</v>
      </c>
    </row>
    <row r="1697" spans="2:4" x14ac:dyDescent="0.25">
      <c r="B1697" s="90">
        <v>1693</v>
      </c>
      <c r="C1697" s="39">
        <f t="shared" si="52"/>
        <v>6263910.5090098102</v>
      </c>
      <c r="D1697" s="39">
        <f t="shared" si="53"/>
        <v>5364889.5057216752</v>
      </c>
    </row>
    <row r="1698" spans="2:4" x14ac:dyDescent="0.25">
      <c r="B1698" s="90">
        <v>1694</v>
      </c>
      <c r="C1698" s="39">
        <f t="shared" si="52"/>
        <v>6266573.4213010157</v>
      </c>
      <c r="D1698" s="39">
        <f t="shared" si="53"/>
        <v>5368058.3713482087</v>
      </c>
    </row>
    <row r="1699" spans="2:4" x14ac:dyDescent="0.25">
      <c r="B1699" s="90">
        <v>1695</v>
      </c>
      <c r="C1699" s="39">
        <f t="shared" si="52"/>
        <v>6269236.3335922202</v>
      </c>
      <c r="D1699" s="39">
        <f t="shared" si="53"/>
        <v>5371227.2369747423</v>
      </c>
    </row>
    <row r="1700" spans="2:4" x14ac:dyDescent="0.25">
      <c r="B1700" s="90">
        <v>1696</v>
      </c>
      <c r="C1700" s="39">
        <f t="shared" si="52"/>
        <v>6271899.2458834248</v>
      </c>
      <c r="D1700" s="39">
        <f t="shared" si="53"/>
        <v>5374396.1026012758</v>
      </c>
    </row>
    <row r="1701" spans="2:4" x14ac:dyDescent="0.25">
      <c r="B1701" s="90">
        <v>1697</v>
      </c>
      <c r="C1701" s="39">
        <f t="shared" si="52"/>
        <v>6274562.1581746303</v>
      </c>
      <c r="D1701" s="39">
        <f t="shared" si="53"/>
        <v>5377564.9682278102</v>
      </c>
    </row>
    <row r="1702" spans="2:4" x14ac:dyDescent="0.25">
      <c r="B1702" s="90">
        <v>1698</v>
      </c>
      <c r="C1702" s="39">
        <f t="shared" si="52"/>
        <v>6277225.0704658348</v>
      </c>
      <c r="D1702" s="39">
        <f t="shared" si="53"/>
        <v>5380733.8338543437</v>
      </c>
    </row>
    <row r="1703" spans="2:4" x14ac:dyDescent="0.25">
      <c r="B1703" s="90">
        <v>1699</v>
      </c>
      <c r="C1703" s="39">
        <f t="shared" si="52"/>
        <v>6279887.9827570394</v>
      </c>
      <c r="D1703" s="39">
        <f t="shared" si="53"/>
        <v>5383902.6994808773</v>
      </c>
    </row>
    <row r="1704" spans="2:4" x14ac:dyDescent="0.25">
      <c r="B1704" s="90">
        <v>1700</v>
      </c>
      <c r="C1704" s="39">
        <f t="shared" si="52"/>
        <v>6282550.8950482449</v>
      </c>
      <c r="D1704" s="39">
        <f t="shared" si="53"/>
        <v>5387071.5651074117</v>
      </c>
    </row>
    <row r="1705" spans="2:4" x14ac:dyDescent="0.25">
      <c r="B1705" s="90">
        <v>1701</v>
      </c>
      <c r="C1705" s="39">
        <f t="shared" si="52"/>
        <v>6285213.8073394494</v>
      </c>
      <c r="D1705" s="39">
        <f t="shared" si="53"/>
        <v>5390240.4307339452</v>
      </c>
    </row>
    <row r="1706" spans="2:4" x14ac:dyDescent="0.25">
      <c r="B1706" s="90">
        <v>1702</v>
      </c>
      <c r="C1706" s="39">
        <f t="shared" si="52"/>
        <v>6287876.719630654</v>
      </c>
      <c r="D1706" s="39">
        <f t="shared" si="53"/>
        <v>5393409.2963604787</v>
      </c>
    </row>
    <row r="1707" spans="2:4" x14ac:dyDescent="0.25">
      <c r="B1707" s="90">
        <v>1703</v>
      </c>
      <c r="C1707" s="39">
        <f t="shared" si="52"/>
        <v>6290539.6319218595</v>
      </c>
      <c r="D1707" s="39">
        <f t="shared" si="53"/>
        <v>5396578.1619870123</v>
      </c>
    </row>
    <row r="1708" spans="2:4" x14ac:dyDescent="0.25">
      <c r="B1708" s="90">
        <v>1704</v>
      </c>
      <c r="C1708" s="39">
        <f t="shared" si="52"/>
        <v>6293202.544213064</v>
      </c>
      <c r="D1708" s="39">
        <f t="shared" si="53"/>
        <v>5399747.0276135467</v>
      </c>
    </row>
    <row r="1709" spans="2:4" x14ac:dyDescent="0.25">
      <c r="B1709" s="90">
        <v>1705</v>
      </c>
      <c r="C1709" s="39">
        <f t="shared" si="52"/>
        <v>6295865.4565042686</v>
      </c>
      <c r="D1709" s="39">
        <f t="shared" si="53"/>
        <v>5402915.8932400802</v>
      </c>
    </row>
    <row r="1710" spans="2:4" x14ac:dyDescent="0.25">
      <c r="B1710" s="90">
        <v>1706</v>
      </c>
      <c r="C1710" s="39">
        <f t="shared" si="52"/>
        <v>6298528.3687954731</v>
      </c>
      <c r="D1710" s="39">
        <f t="shared" si="53"/>
        <v>5406084.7588666137</v>
      </c>
    </row>
    <row r="1711" spans="2:4" x14ac:dyDescent="0.25">
      <c r="B1711" s="90">
        <v>1707</v>
      </c>
      <c r="C1711" s="39">
        <f t="shared" si="52"/>
        <v>6301191.2810866786</v>
      </c>
      <c r="D1711" s="39">
        <f t="shared" si="53"/>
        <v>5409253.6244931472</v>
      </c>
    </row>
    <row r="1712" spans="2:4" x14ac:dyDescent="0.25">
      <c r="B1712" s="90">
        <v>1708</v>
      </c>
      <c r="C1712" s="39">
        <f t="shared" si="52"/>
        <v>6303854.1933778832</v>
      </c>
      <c r="D1712" s="39">
        <f t="shared" si="53"/>
        <v>5412422.4901196817</v>
      </c>
    </row>
    <row r="1713" spans="2:4" x14ac:dyDescent="0.25">
      <c r="B1713" s="90">
        <v>1709</v>
      </c>
      <c r="C1713" s="39">
        <f t="shared" ref="C1713:C1776" si="54">($C$2*B1713)+$C$1</f>
        <v>6306517.1056690877</v>
      </c>
      <c r="D1713" s="39">
        <f t="shared" ref="D1713:D1776" si="55">$D$2*B1713</f>
        <v>5415591.3557462152</v>
      </c>
    </row>
    <row r="1714" spans="2:4" x14ac:dyDescent="0.25">
      <c r="B1714" s="90">
        <v>1710</v>
      </c>
      <c r="C1714" s="39">
        <f t="shared" si="54"/>
        <v>6309180.0179602932</v>
      </c>
      <c r="D1714" s="39">
        <f t="shared" si="55"/>
        <v>5418760.2213727487</v>
      </c>
    </row>
    <row r="1715" spans="2:4" x14ac:dyDescent="0.25">
      <c r="B1715" s="90">
        <v>1711</v>
      </c>
      <c r="C1715" s="39">
        <f t="shared" si="54"/>
        <v>6311842.9302514978</v>
      </c>
      <c r="D1715" s="39">
        <f t="shared" si="55"/>
        <v>5421929.0869992832</v>
      </c>
    </row>
    <row r="1716" spans="2:4" x14ac:dyDescent="0.25">
      <c r="B1716" s="90">
        <v>1712</v>
      </c>
      <c r="C1716" s="39">
        <f t="shared" si="54"/>
        <v>6314505.8425427023</v>
      </c>
      <c r="D1716" s="39">
        <f t="shared" si="55"/>
        <v>5425097.9526258167</v>
      </c>
    </row>
    <row r="1717" spans="2:4" x14ac:dyDescent="0.25">
      <c r="B1717" s="90">
        <v>1713</v>
      </c>
      <c r="C1717" s="39">
        <f t="shared" si="54"/>
        <v>6317168.7548339078</v>
      </c>
      <c r="D1717" s="39">
        <f t="shared" si="55"/>
        <v>5428266.8182523502</v>
      </c>
    </row>
    <row r="1718" spans="2:4" x14ac:dyDescent="0.25">
      <c r="B1718" s="90">
        <v>1714</v>
      </c>
      <c r="C1718" s="39">
        <f t="shared" si="54"/>
        <v>6319831.6671251124</v>
      </c>
      <c r="D1718" s="39">
        <f t="shared" si="55"/>
        <v>5431435.6838788837</v>
      </c>
    </row>
    <row r="1719" spans="2:4" x14ac:dyDescent="0.25">
      <c r="B1719" s="90">
        <v>1715</v>
      </c>
      <c r="C1719" s="39">
        <f t="shared" si="54"/>
        <v>6322494.5794163169</v>
      </c>
      <c r="D1719" s="39">
        <f t="shared" si="55"/>
        <v>5434604.5495054182</v>
      </c>
    </row>
    <row r="1720" spans="2:4" x14ac:dyDescent="0.25">
      <c r="B1720" s="90">
        <v>1716</v>
      </c>
      <c r="C1720" s="39">
        <f t="shared" si="54"/>
        <v>6325157.4917075224</v>
      </c>
      <c r="D1720" s="39">
        <f t="shared" si="55"/>
        <v>5437773.4151319517</v>
      </c>
    </row>
    <row r="1721" spans="2:4" x14ac:dyDescent="0.25">
      <c r="B1721" s="90">
        <v>1717</v>
      </c>
      <c r="C1721" s="39">
        <f t="shared" si="54"/>
        <v>6327820.403998727</v>
      </c>
      <c r="D1721" s="39">
        <f t="shared" si="55"/>
        <v>5440942.2807584852</v>
      </c>
    </row>
    <row r="1722" spans="2:4" x14ac:dyDescent="0.25">
      <c r="B1722" s="90">
        <v>1718</v>
      </c>
      <c r="C1722" s="39">
        <f t="shared" si="54"/>
        <v>6330483.3162899315</v>
      </c>
      <c r="D1722" s="39">
        <f t="shared" si="55"/>
        <v>5444111.1463850187</v>
      </c>
    </row>
    <row r="1723" spans="2:4" x14ac:dyDescent="0.25">
      <c r="B1723" s="90">
        <v>1719</v>
      </c>
      <c r="C1723" s="39">
        <f t="shared" si="54"/>
        <v>6333146.228581137</v>
      </c>
      <c r="D1723" s="39">
        <f t="shared" si="55"/>
        <v>5447280.0120115532</v>
      </c>
    </row>
    <row r="1724" spans="2:4" x14ac:dyDescent="0.25">
      <c r="B1724" s="90">
        <v>1720</v>
      </c>
      <c r="C1724" s="39">
        <f t="shared" si="54"/>
        <v>6335809.1408723416</v>
      </c>
      <c r="D1724" s="39">
        <f t="shared" si="55"/>
        <v>5450448.8776380867</v>
      </c>
    </row>
    <row r="1725" spans="2:4" x14ac:dyDescent="0.25">
      <c r="B1725" s="90">
        <v>1721</v>
      </c>
      <c r="C1725" s="39">
        <f t="shared" si="54"/>
        <v>6338472.0531635461</v>
      </c>
      <c r="D1725" s="39">
        <f t="shared" si="55"/>
        <v>5453617.7432646202</v>
      </c>
    </row>
    <row r="1726" spans="2:4" x14ac:dyDescent="0.25">
      <c r="B1726" s="90">
        <v>1722</v>
      </c>
      <c r="C1726" s="39">
        <f t="shared" si="54"/>
        <v>6341134.9654547507</v>
      </c>
      <c r="D1726" s="39">
        <f t="shared" si="55"/>
        <v>5456786.6088911546</v>
      </c>
    </row>
    <row r="1727" spans="2:4" x14ac:dyDescent="0.25">
      <c r="B1727" s="90">
        <v>1723</v>
      </c>
      <c r="C1727" s="39">
        <f t="shared" si="54"/>
        <v>6343797.8777459562</v>
      </c>
      <c r="D1727" s="39">
        <f t="shared" si="55"/>
        <v>5459955.4745176882</v>
      </c>
    </row>
    <row r="1728" spans="2:4" x14ac:dyDescent="0.25">
      <c r="B1728" s="90">
        <v>1724</v>
      </c>
      <c r="C1728" s="39">
        <f t="shared" si="54"/>
        <v>6346460.7900371607</v>
      </c>
      <c r="D1728" s="39">
        <f t="shared" si="55"/>
        <v>5463124.3401442217</v>
      </c>
    </row>
    <row r="1729" spans="2:4" x14ac:dyDescent="0.25">
      <c r="B1729" s="90">
        <v>1725</v>
      </c>
      <c r="C1729" s="39">
        <f t="shared" si="54"/>
        <v>6349123.7023283653</v>
      </c>
      <c r="D1729" s="39">
        <f t="shared" si="55"/>
        <v>5466293.2057707552</v>
      </c>
    </row>
    <row r="1730" spans="2:4" x14ac:dyDescent="0.25">
      <c r="B1730" s="90">
        <v>1726</v>
      </c>
      <c r="C1730" s="39">
        <f t="shared" si="54"/>
        <v>6351786.6146195708</v>
      </c>
      <c r="D1730" s="39">
        <f t="shared" si="55"/>
        <v>5469462.0713972896</v>
      </c>
    </row>
    <row r="1731" spans="2:4" x14ac:dyDescent="0.25">
      <c r="B1731" s="90">
        <v>1727</v>
      </c>
      <c r="C1731" s="39">
        <f t="shared" si="54"/>
        <v>6354449.5269107753</v>
      </c>
      <c r="D1731" s="39">
        <f t="shared" si="55"/>
        <v>5472630.9370238231</v>
      </c>
    </row>
    <row r="1732" spans="2:4" x14ac:dyDescent="0.25">
      <c r="B1732" s="90">
        <v>1728</v>
      </c>
      <c r="C1732" s="39">
        <f t="shared" si="54"/>
        <v>6357112.4392019799</v>
      </c>
      <c r="D1732" s="39">
        <f t="shared" si="55"/>
        <v>5475799.8026503567</v>
      </c>
    </row>
    <row r="1733" spans="2:4" x14ac:dyDescent="0.25">
      <c r="B1733" s="90">
        <v>1729</v>
      </c>
      <c r="C1733" s="39">
        <f t="shared" si="54"/>
        <v>6359775.3514931854</v>
      </c>
      <c r="D1733" s="39">
        <f t="shared" si="55"/>
        <v>5478968.6682768902</v>
      </c>
    </row>
    <row r="1734" spans="2:4" x14ac:dyDescent="0.25">
      <c r="B1734" s="90">
        <v>1730</v>
      </c>
      <c r="C1734" s="39">
        <f t="shared" si="54"/>
        <v>6362438.2637843899</v>
      </c>
      <c r="D1734" s="39">
        <f t="shared" si="55"/>
        <v>5482137.5339034246</v>
      </c>
    </row>
    <row r="1735" spans="2:4" x14ac:dyDescent="0.25">
      <c r="B1735" s="90">
        <v>1731</v>
      </c>
      <c r="C1735" s="39">
        <f t="shared" si="54"/>
        <v>6365101.1760755945</v>
      </c>
      <c r="D1735" s="39">
        <f t="shared" si="55"/>
        <v>5485306.3995299581</v>
      </c>
    </row>
    <row r="1736" spans="2:4" x14ac:dyDescent="0.25">
      <c r="B1736" s="90">
        <v>1732</v>
      </c>
      <c r="C1736" s="39">
        <f t="shared" si="54"/>
        <v>6367764.0883668</v>
      </c>
      <c r="D1736" s="39">
        <f t="shared" si="55"/>
        <v>5488475.2651564917</v>
      </c>
    </row>
    <row r="1737" spans="2:4" x14ac:dyDescent="0.25">
      <c r="B1737" s="90">
        <v>1733</v>
      </c>
      <c r="C1737" s="39">
        <f t="shared" si="54"/>
        <v>6370427.0006580045</v>
      </c>
      <c r="D1737" s="39">
        <f t="shared" si="55"/>
        <v>5491644.1307830261</v>
      </c>
    </row>
    <row r="1738" spans="2:4" x14ac:dyDescent="0.25">
      <c r="B1738" s="90">
        <v>1734</v>
      </c>
      <c r="C1738" s="39">
        <f t="shared" si="54"/>
        <v>6373089.9129492091</v>
      </c>
      <c r="D1738" s="39">
        <f t="shared" si="55"/>
        <v>5494812.9964095596</v>
      </c>
    </row>
    <row r="1739" spans="2:4" x14ac:dyDescent="0.25">
      <c r="B1739" s="90">
        <v>1735</v>
      </c>
      <c r="C1739" s="39">
        <f t="shared" si="54"/>
        <v>6375752.8252404146</v>
      </c>
      <c r="D1739" s="39">
        <f t="shared" si="55"/>
        <v>5497981.8620360931</v>
      </c>
    </row>
    <row r="1740" spans="2:4" x14ac:dyDescent="0.25">
      <c r="B1740" s="90">
        <v>1736</v>
      </c>
      <c r="C1740" s="39">
        <f t="shared" si="54"/>
        <v>6378415.7375316191</v>
      </c>
      <c r="D1740" s="39">
        <f t="shared" si="55"/>
        <v>5501150.7276626267</v>
      </c>
    </row>
    <row r="1741" spans="2:4" x14ac:dyDescent="0.25">
      <c r="B1741" s="90">
        <v>1737</v>
      </c>
      <c r="C1741" s="39">
        <f t="shared" si="54"/>
        <v>6381078.6498228237</v>
      </c>
      <c r="D1741" s="39">
        <f t="shared" si="55"/>
        <v>5504319.5932891611</v>
      </c>
    </row>
    <row r="1742" spans="2:4" x14ac:dyDescent="0.25">
      <c r="B1742" s="90">
        <v>1738</v>
      </c>
      <c r="C1742" s="39">
        <f t="shared" si="54"/>
        <v>6383741.5621140292</v>
      </c>
      <c r="D1742" s="39">
        <f t="shared" si="55"/>
        <v>5507488.4589156946</v>
      </c>
    </row>
    <row r="1743" spans="2:4" x14ac:dyDescent="0.25">
      <c r="B1743" s="90">
        <v>1739</v>
      </c>
      <c r="C1743" s="39">
        <f t="shared" si="54"/>
        <v>6386404.4744052337</v>
      </c>
      <c r="D1743" s="39">
        <f t="shared" si="55"/>
        <v>5510657.3245422281</v>
      </c>
    </row>
    <row r="1744" spans="2:4" x14ac:dyDescent="0.25">
      <c r="B1744" s="90">
        <v>1740</v>
      </c>
      <c r="C1744" s="39">
        <f t="shared" si="54"/>
        <v>6389067.3866964383</v>
      </c>
      <c r="D1744" s="39">
        <f t="shared" si="55"/>
        <v>5513826.1901687616</v>
      </c>
    </row>
    <row r="1745" spans="2:4" x14ac:dyDescent="0.25">
      <c r="B1745" s="90">
        <v>1741</v>
      </c>
      <c r="C1745" s="39">
        <f t="shared" si="54"/>
        <v>6391730.2989876429</v>
      </c>
      <c r="D1745" s="39">
        <f t="shared" si="55"/>
        <v>5516995.0557952961</v>
      </c>
    </row>
    <row r="1746" spans="2:4" x14ac:dyDescent="0.25">
      <c r="B1746" s="90">
        <v>1742</v>
      </c>
      <c r="C1746" s="39">
        <f t="shared" si="54"/>
        <v>6394393.2112788484</v>
      </c>
      <c r="D1746" s="39">
        <f t="shared" si="55"/>
        <v>5520163.9214218296</v>
      </c>
    </row>
    <row r="1747" spans="2:4" x14ac:dyDescent="0.25">
      <c r="B1747" s="90">
        <v>1743</v>
      </c>
      <c r="C1747" s="39">
        <f t="shared" si="54"/>
        <v>6397056.1235700529</v>
      </c>
      <c r="D1747" s="39">
        <f t="shared" si="55"/>
        <v>5523332.7870483631</v>
      </c>
    </row>
    <row r="1748" spans="2:4" x14ac:dyDescent="0.25">
      <c r="B1748" s="90">
        <v>1744</v>
      </c>
      <c r="C1748" s="39">
        <f t="shared" si="54"/>
        <v>6399719.0358612575</v>
      </c>
      <c r="D1748" s="39">
        <f t="shared" si="55"/>
        <v>5526501.6526748976</v>
      </c>
    </row>
    <row r="1749" spans="2:4" x14ac:dyDescent="0.25">
      <c r="B1749" s="90">
        <v>1745</v>
      </c>
      <c r="C1749" s="39">
        <f t="shared" si="54"/>
        <v>6402381.948152463</v>
      </c>
      <c r="D1749" s="39">
        <f t="shared" si="55"/>
        <v>5529670.5183014311</v>
      </c>
    </row>
    <row r="1750" spans="2:4" x14ac:dyDescent="0.25">
      <c r="B1750" s="90">
        <v>1746</v>
      </c>
      <c r="C1750" s="39">
        <f t="shared" si="54"/>
        <v>6405044.8604436675</v>
      </c>
      <c r="D1750" s="39">
        <f t="shared" si="55"/>
        <v>5532839.3839279646</v>
      </c>
    </row>
    <row r="1751" spans="2:4" x14ac:dyDescent="0.25">
      <c r="B1751" s="90">
        <v>1747</v>
      </c>
      <c r="C1751" s="39">
        <f t="shared" si="54"/>
        <v>6407707.7727348721</v>
      </c>
      <c r="D1751" s="39">
        <f t="shared" si="55"/>
        <v>5536008.2495544981</v>
      </c>
    </row>
    <row r="1752" spans="2:4" x14ac:dyDescent="0.25">
      <c r="B1752" s="90">
        <v>1748</v>
      </c>
      <c r="C1752" s="39">
        <f t="shared" si="54"/>
        <v>6410370.6850260776</v>
      </c>
      <c r="D1752" s="39">
        <f t="shared" si="55"/>
        <v>5539177.1151810326</v>
      </c>
    </row>
    <row r="1753" spans="2:4" x14ac:dyDescent="0.25">
      <c r="B1753" s="90">
        <v>1749</v>
      </c>
      <c r="C1753" s="39">
        <f t="shared" si="54"/>
        <v>6413033.5973172821</v>
      </c>
      <c r="D1753" s="39">
        <f t="shared" si="55"/>
        <v>5542345.9808075661</v>
      </c>
    </row>
    <row r="1754" spans="2:4" x14ac:dyDescent="0.25">
      <c r="B1754" s="90">
        <v>1750</v>
      </c>
      <c r="C1754" s="39">
        <f t="shared" si="54"/>
        <v>6415696.5096084867</v>
      </c>
      <c r="D1754" s="39">
        <f t="shared" si="55"/>
        <v>5545514.8464340996</v>
      </c>
    </row>
    <row r="1755" spans="2:4" x14ac:dyDescent="0.25">
      <c r="B1755" s="90">
        <v>1751</v>
      </c>
      <c r="C1755" s="39">
        <f t="shared" si="54"/>
        <v>6418359.4218996922</v>
      </c>
      <c r="D1755" s="39">
        <f t="shared" si="55"/>
        <v>5548683.7120606331</v>
      </c>
    </row>
    <row r="1756" spans="2:4" x14ac:dyDescent="0.25">
      <c r="B1756" s="90">
        <v>1752</v>
      </c>
      <c r="C1756" s="39">
        <f t="shared" si="54"/>
        <v>6421022.3341908967</v>
      </c>
      <c r="D1756" s="39">
        <f t="shared" si="55"/>
        <v>5551852.5776871676</v>
      </c>
    </row>
    <row r="1757" spans="2:4" x14ac:dyDescent="0.25">
      <c r="B1757" s="90">
        <v>1753</v>
      </c>
      <c r="C1757" s="39">
        <f t="shared" si="54"/>
        <v>6423685.2464821013</v>
      </c>
      <c r="D1757" s="39">
        <f t="shared" si="55"/>
        <v>5555021.4433137011</v>
      </c>
    </row>
    <row r="1758" spans="2:4" x14ac:dyDescent="0.25">
      <c r="B1758" s="90">
        <v>1754</v>
      </c>
      <c r="C1758" s="39">
        <f t="shared" si="54"/>
        <v>6426348.1587733068</v>
      </c>
      <c r="D1758" s="39">
        <f t="shared" si="55"/>
        <v>5558190.3089402346</v>
      </c>
    </row>
    <row r="1759" spans="2:4" x14ac:dyDescent="0.25">
      <c r="B1759" s="90">
        <v>1755</v>
      </c>
      <c r="C1759" s="39">
        <f t="shared" si="54"/>
        <v>6429011.0710645113</v>
      </c>
      <c r="D1759" s="39">
        <f t="shared" si="55"/>
        <v>5561359.174566769</v>
      </c>
    </row>
    <row r="1760" spans="2:4" x14ac:dyDescent="0.25">
      <c r="B1760" s="90">
        <v>1756</v>
      </c>
      <c r="C1760" s="39">
        <f t="shared" si="54"/>
        <v>6431673.9833557159</v>
      </c>
      <c r="D1760" s="39">
        <f t="shared" si="55"/>
        <v>5564528.0401933026</v>
      </c>
    </row>
    <row r="1761" spans="2:4" x14ac:dyDescent="0.25">
      <c r="B1761" s="90">
        <v>1757</v>
      </c>
      <c r="C1761" s="39">
        <f t="shared" si="54"/>
        <v>6434336.8956469204</v>
      </c>
      <c r="D1761" s="39">
        <f t="shared" si="55"/>
        <v>5567696.9058198361</v>
      </c>
    </row>
    <row r="1762" spans="2:4" x14ac:dyDescent="0.25">
      <c r="B1762" s="90">
        <v>1758</v>
      </c>
      <c r="C1762" s="39">
        <f t="shared" si="54"/>
        <v>6436999.8079381259</v>
      </c>
      <c r="D1762" s="39">
        <f t="shared" si="55"/>
        <v>5570865.7714463696</v>
      </c>
    </row>
    <row r="1763" spans="2:4" x14ac:dyDescent="0.25">
      <c r="B1763" s="90">
        <v>1759</v>
      </c>
      <c r="C1763" s="39">
        <f t="shared" si="54"/>
        <v>6439662.7202293305</v>
      </c>
      <c r="D1763" s="39">
        <f t="shared" si="55"/>
        <v>5574034.637072904</v>
      </c>
    </row>
    <row r="1764" spans="2:4" x14ac:dyDescent="0.25">
      <c r="B1764" s="90">
        <v>1760</v>
      </c>
      <c r="C1764" s="39">
        <f t="shared" si="54"/>
        <v>6442325.632520535</v>
      </c>
      <c r="D1764" s="39">
        <f t="shared" si="55"/>
        <v>5577203.5026994376</v>
      </c>
    </row>
    <row r="1765" spans="2:4" x14ac:dyDescent="0.25">
      <c r="B1765" s="90">
        <v>1761</v>
      </c>
      <c r="C1765" s="39">
        <f t="shared" si="54"/>
        <v>6444988.5448117405</v>
      </c>
      <c r="D1765" s="39">
        <f t="shared" si="55"/>
        <v>5580372.3683259711</v>
      </c>
    </row>
    <row r="1766" spans="2:4" x14ac:dyDescent="0.25">
      <c r="B1766" s="90">
        <v>1762</v>
      </c>
      <c r="C1766" s="39">
        <f t="shared" si="54"/>
        <v>6447651.4571029451</v>
      </c>
      <c r="D1766" s="39">
        <f t="shared" si="55"/>
        <v>5583541.2339525055</v>
      </c>
    </row>
    <row r="1767" spans="2:4" x14ac:dyDescent="0.25">
      <c r="B1767" s="90">
        <v>1763</v>
      </c>
      <c r="C1767" s="39">
        <f t="shared" si="54"/>
        <v>6450314.3693941496</v>
      </c>
      <c r="D1767" s="39">
        <f t="shared" si="55"/>
        <v>5586710.099579039</v>
      </c>
    </row>
    <row r="1768" spans="2:4" x14ac:dyDescent="0.25">
      <c r="B1768" s="90">
        <v>1764</v>
      </c>
      <c r="C1768" s="39">
        <f t="shared" si="54"/>
        <v>6452977.2816853551</v>
      </c>
      <c r="D1768" s="39">
        <f t="shared" si="55"/>
        <v>5589878.9652055725</v>
      </c>
    </row>
    <row r="1769" spans="2:4" x14ac:dyDescent="0.25">
      <c r="B1769" s="90">
        <v>1765</v>
      </c>
      <c r="C1769" s="39">
        <f t="shared" si="54"/>
        <v>6455640.1939765597</v>
      </c>
      <c r="D1769" s="39">
        <f t="shared" si="55"/>
        <v>5593047.8308321061</v>
      </c>
    </row>
    <row r="1770" spans="2:4" x14ac:dyDescent="0.25">
      <c r="B1770" s="90">
        <v>1766</v>
      </c>
      <c r="C1770" s="39">
        <f t="shared" si="54"/>
        <v>6458303.1062677642</v>
      </c>
      <c r="D1770" s="39">
        <f t="shared" si="55"/>
        <v>5596216.6964586405</v>
      </c>
    </row>
    <row r="1771" spans="2:4" x14ac:dyDescent="0.25">
      <c r="B1771" s="90">
        <v>1767</v>
      </c>
      <c r="C1771" s="39">
        <f t="shared" si="54"/>
        <v>6460966.0185589697</v>
      </c>
      <c r="D1771" s="39">
        <f t="shared" si="55"/>
        <v>5599385.562085174</v>
      </c>
    </row>
    <row r="1772" spans="2:4" x14ac:dyDescent="0.25">
      <c r="B1772" s="90">
        <v>1768</v>
      </c>
      <c r="C1772" s="39">
        <f t="shared" si="54"/>
        <v>6463628.9308501743</v>
      </c>
      <c r="D1772" s="39">
        <f t="shared" si="55"/>
        <v>5602554.4277117075</v>
      </c>
    </row>
    <row r="1773" spans="2:4" x14ac:dyDescent="0.25">
      <c r="B1773" s="90">
        <v>1769</v>
      </c>
      <c r="C1773" s="39">
        <f t="shared" si="54"/>
        <v>6466291.8431413788</v>
      </c>
      <c r="D1773" s="39">
        <f t="shared" si="55"/>
        <v>5605723.2933382411</v>
      </c>
    </row>
    <row r="1774" spans="2:4" x14ac:dyDescent="0.25">
      <c r="B1774" s="90">
        <v>1770</v>
      </c>
      <c r="C1774" s="39">
        <f t="shared" si="54"/>
        <v>6468954.7554325843</v>
      </c>
      <c r="D1774" s="39">
        <f t="shared" si="55"/>
        <v>5608892.1589647755</v>
      </c>
    </row>
    <row r="1775" spans="2:4" x14ac:dyDescent="0.25">
      <c r="B1775" s="90">
        <v>1771</v>
      </c>
      <c r="C1775" s="39">
        <f t="shared" si="54"/>
        <v>6471617.6677237889</v>
      </c>
      <c r="D1775" s="39">
        <f t="shared" si="55"/>
        <v>5612061.024591309</v>
      </c>
    </row>
    <row r="1776" spans="2:4" x14ac:dyDescent="0.25">
      <c r="B1776" s="90">
        <v>1772</v>
      </c>
      <c r="C1776" s="39">
        <f t="shared" si="54"/>
        <v>6474280.5800149934</v>
      </c>
      <c r="D1776" s="39">
        <f t="shared" si="55"/>
        <v>5615229.8902178425</v>
      </c>
    </row>
    <row r="1777" spans="2:4" x14ac:dyDescent="0.25">
      <c r="B1777" s="90">
        <v>1773</v>
      </c>
      <c r="C1777" s="39">
        <f t="shared" ref="C1777:C1840" si="56">($C$2*B1777)+$C$1</f>
        <v>6476943.4923061989</v>
      </c>
      <c r="D1777" s="39">
        <f t="shared" ref="D1777:D1840" si="57">$D$2*B1777</f>
        <v>5618398.755844377</v>
      </c>
    </row>
    <row r="1778" spans="2:4" x14ac:dyDescent="0.25">
      <c r="B1778" s="90">
        <v>1774</v>
      </c>
      <c r="C1778" s="39">
        <f t="shared" si="56"/>
        <v>6479606.4045974035</v>
      </c>
      <c r="D1778" s="39">
        <f t="shared" si="57"/>
        <v>5621567.6214709105</v>
      </c>
    </row>
    <row r="1779" spans="2:4" x14ac:dyDescent="0.25">
      <c r="B1779" s="90">
        <v>1775</v>
      </c>
      <c r="C1779" s="39">
        <f t="shared" si="56"/>
        <v>6482269.316888608</v>
      </c>
      <c r="D1779" s="39">
        <f t="shared" si="57"/>
        <v>5624736.487097444</v>
      </c>
    </row>
    <row r="1780" spans="2:4" x14ac:dyDescent="0.25">
      <c r="B1780" s="90">
        <v>1776</v>
      </c>
      <c r="C1780" s="39">
        <f t="shared" si="56"/>
        <v>6484932.2291798126</v>
      </c>
      <c r="D1780" s="39">
        <f t="shared" si="57"/>
        <v>5627905.3527239775</v>
      </c>
    </row>
    <row r="1781" spans="2:4" x14ac:dyDescent="0.25">
      <c r="B1781" s="90">
        <v>1777</v>
      </c>
      <c r="C1781" s="39">
        <f t="shared" si="56"/>
        <v>6487595.1414710181</v>
      </c>
      <c r="D1781" s="39">
        <f t="shared" si="57"/>
        <v>5631074.218350512</v>
      </c>
    </row>
    <row r="1782" spans="2:4" x14ac:dyDescent="0.25">
      <c r="B1782" s="90">
        <v>1778</v>
      </c>
      <c r="C1782" s="39">
        <f t="shared" si="56"/>
        <v>6490258.0537622226</v>
      </c>
      <c r="D1782" s="39">
        <f t="shared" si="57"/>
        <v>5634243.0839770455</v>
      </c>
    </row>
    <row r="1783" spans="2:4" x14ac:dyDescent="0.25">
      <c r="B1783" s="90">
        <v>1779</v>
      </c>
      <c r="C1783" s="39">
        <f t="shared" si="56"/>
        <v>6492920.9660534272</v>
      </c>
      <c r="D1783" s="39">
        <f t="shared" si="57"/>
        <v>5637411.949603579</v>
      </c>
    </row>
    <row r="1784" spans="2:4" x14ac:dyDescent="0.25">
      <c r="B1784" s="90">
        <v>1780</v>
      </c>
      <c r="C1784" s="39">
        <f t="shared" si="56"/>
        <v>6495583.8783446327</v>
      </c>
      <c r="D1784" s="39">
        <f t="shared" si="57"/>
        <v>5640580.8152301125</v>
      </c>
    </row>
    <row r="1785" spans="2:4" x14ac:dyDescent="0.25">
      <c r="B1785" s="90">
        <v>1781</v>
      </c>
      <c r="C1785" s="39">
        <f t="shared" si="56"/>
        <v>6498246.7906358372</v>
      </c>
      <c r="D1785" s="39">
        <f t="shared" si="57"/>
        <v>5643749.680856647</v>
      </c>
    </row>
    <row r="1786" spans="2:4" x14ac:dyDescent="0.25">
      <c r="B1786" s="90">
        <v>1782</v>
      </c>
      <c r="C1786" s="39">
        <f t="shared" si="56"/>
        <v>6500909.7029270418</v>
      </c>
      <c r="D1786" s="39">
        <f t="shared" si="57"/>
        <v>5646918.5464831805</v>
      </c>
    </row>
    <row r="1787" spans="2:4" x14ac:dyDescent="0.25">
      <c r="B1787" s="90">
        <v>1783</v>
      </c>
      <c r="C1787" s="39">
        <f t="shared" si="56"/>
        <v>6503572.6152182473</v>
      </c>
      <c r="D1787" s="39">
        <f t="shared" si="57"/>
        <v>5650087.412109714</v>
      </c>
    </row>
    <row r="1788" spans="2:4" x14ac:dyDescent="0.25">
      <c r="B1788" s="90">
        <v>1784</v>
      </c>
      <c r="C1788" s="39">
        <f t="shared" si="56"/>
        <v>6506235.5275094518</v>
      </c>
      <c r="D1788" s="39">
        <f t="shared" si="57"/>
        <v>5653256.2777362484</v>
      </c>
    </row>
    <row r="1789" spans="2:4" x14ac:dyDescent="0.25">
      <c r="B1789" s="90">
        <v>1785</v>
      </c>
      <c r="C1789" s="39">
        <f t="shared" si="56"/>
        <v>6508898.4398006564</v>
      </c>
      <c r="D1789" s="39">
        <f t="shared" si="57"/>
        <v>5656425.143362782</v>
      </c>
    </row>
    <row r="1790" spans="2:4" x14ac:dyDescent="0.25">
      <c r="B1790" s="90">
        <v>1786</v>
      </c>
      <c r="C1790" s="39">
        <f t="shared" si="56"/>
        <v>6511561.3520918619</v>
      </c>
      <c r="D1790" s="39">
        <f t="shared" si="57"/>
        <v>5659594.0089893155</v>
      </c>
    </row>
    <row r="1791" spans="2:4" x14ac:dyDescent="0.25">
      <c r="B1791" s="90">
        <v>1787</v>
      </c>
      <c r="C1791" s="39">
        <f t="shared" si="56"/>
        <v>6514224.2643830664</v>
      </c>
      <c r="D1791" s="39">
        <f t="shared" si="57"/>
        <v>5662762.874615849</v>
      </c>
    </row>
    <row r="1792" spans="2:4" x14ac:dyDescent="0.25">
      <c r="B1792" s="90">
        <v>1788</v>
      </c>
      <c r="C1792" s="39">
        <f t="shared" si="56"/>
        <v>6516887.176674271</v>
      </c>
      <c r="D1792" s="39">
        <f t="shared" si="57"/>
        <v>5665931.7402423834</v>
      </c>
    </row>
    <row r="1793" spans="2:4" x14ac:dyDescent="0.25">
      <c r="B1793" s="90">
        <v>1789</v>
      </c>
      <c r="C1793" s="39">
        <f t="shared" si="56"/>
        <v>6519550.0889654765</v>
      </c>
      <c r="D1793" s="39">
        <f t="shared" si="57"/>
        <v>5669100.605868917</v>
      </c>
    </row>
    <row r="1794" spans="2:4" x14ac:dyDescent="0.25">
      <c r="B1794" s="90">
        <v>1790</v>
      </c>
      <c r="C1794" s="39">
        <f t="shared" si="56"/>
        <v>6522213.001256681</v>
      </c>
      <c r="D1794" s="39">
        <f t="shared" si="57"/>
        <v>5672269.4714954505</v>
      </c>
    </row>
    <row r="1795" spans="2:4" x14ac:dyDescent="0.25">
      <c r="B1795" s="90">
        <v>1791</v>
      </c>
      <c r="C1795" s="39">
        <f t="shared" si="56"/>
        <v>6524875.9135478856</v>
      </c>
      <c r="D1795" s="39">
        <f t="shared" si="57"/>
        <v>5675438.337121984</v>
      </c>
    </row>
    <row r="1796" spans="2:4" x14ac:dyDescent="0.25">
      <c r="B1796" s="90">
        <v>1792</v>
      </c>
      <c r="C1796" s="39">
        <f t="shared" si="56"/>
        <v>6527538.8258390911</v>
      </c>
      <c r="D1796" s="39">
        <f t="shared" si="57"/>
        <v>5678607.2027485184</v>
      </c>
    </row>
    <row r="1797" spans="2:4" x14ac:dyDescent="0.25">
      <c r="B1797" s="90">
        <v>1793</v>
      </c>
      <c r="C1797" s="39">
        <f t="shared" si="56"/>
        <v>6530201.7381302956</v>
      </c>
      <c r="D1797" s="39">
        <f t="shared" si="57"/>
        <v>5681776.068375052</v>
      </c>
    </row>
    <row r="1798" spans="2:4" x14ac:dyDescent="0.25">
      <c r="B1798" s="90">
        <v>1794</v>
      </c>
      <c r="C1798" s="39">
        <f t="shared" si="56"/>
        <v>6532864.6504215002</v>
      </c>
      <c r="D1798" s="39">
        <f t="shared" si="57"/>
        <v>5684944.9340015855</v>
      </c>
    </row>
    <row r="1799" spans="2:4" x14ac:dyDescent="0.25">
      <c r="B1799" s="90">
        <v>1795</v>
      </c>
      <c r="C1799" s="39">
        <f t="shared" si="56"/>
        <v>6535527.5627127048</v>
      </c>
      <c r="D1799" s="39">
        <f t="shared" si="57"/>
        <v>5688113.7996281199</v>
      </c>
    </row>
    <row r="1800" spans="2:4" x14ac:dyDescent="0.25">
      <c r="B1800" s="90">
        <v>1796</v>
      </c>
      <c r="C1800" s="39">
        <f t="shared" si="56"/>
        <v>6538190.4750039103</v>
      </c>
      <c r="D1800" s="39">
        <f t="shared" si="57"/>
        <v>5691282.6652546534</v>
      </c>
    </row>
    <row r="1801" spans="2:4" x14ac:dyDescent="0.25">
      <c r="B1801" s="90">
        <v>1797</v>
      </c>
      <c r="C1801" s="39">
        <f t="shared" si="56"/>
        <v>6540853.3872951148</v>
      </c>
      <c r="D1801" s="39">
        <f t="shared" si="57"/>
        <v>5694451.5308811869</v>
      </c>
    </row>
    <row r="1802" spans="2:4" x14ac:dyDescent="0.25">
      <c r="B1802" s="90">
        <v>1798</v>
      </c>
      <c r="C1802" s="39">
        <f t="shared" si="56"/>
        <v>6543516.2995863194</v>
      </c>
      <c r="D1802" s="39">
        <f t="shared" si="57"/>
        <v>5697620.3965077205</v>
      </c>
    </row>
    <row r="1803" spans="2:4" x14ac:dyDescent="0.25">
      <c r="B1803" s="90">
        <v>1799</v>
      </c>
      <c r="C1803" s="39">
        <f t="shared" si="56"/>
        <v>6546179.2118775249</v>
      </c>
      <c r="D1803" s="39">
        <f t="shared" si="57"/>
        <v>5700789.2621342549</v>
      </c>
    </row>
    <row r="1804" spans="2:4" x14ac:dyDescent="0.25">
      <c r="B1804" s="90">
        <v>1800</v>
      </c>
      <c r="C1804" s="39">
        <f t="shared" si="56"/>
        <v>6548842.1241687294</v>
      </c>
      <c r="D1804" s="39">
        <f t="shared" si="57"/>
        <v>5703958.1277607884</v>
      </c>
    </row>
    <row r="1805" spans="2:4" x14ac:dyDescent="0.25">
      <c r="B1805" s="90">
        <v>1801</v>
      </c>
      <c r="C1805" s="39">
        <f t="shared" si="56"/>
        <v>6551505.036459934</v>
      </c>
      <c r="D1805" s="39">
        <f t="shared" si="57"/>
        <v>5707126.9933873219</v>
      </c>
    </row>
    <row r="1806" spans="2:4" x14ac:dyDescent="0.25">
      <c r="B1806" s="90">
        <v>1802</v>
      </c>
      <c r="C1806" s="39">
        <f t="shared" si="56"/>
        <v>6554167.9487511395</v>
      </c>
      <c r="D1806" s="39">
        <f t="shared" si="57"/>
        <v>5710295.8590138555</v>
      </c>
    </row>
    <row r="1807" spans="2:4" x14ac:dyDescent="0.25">
      <c r="B1807" s="90">
        <v>1803</v>
      </c>
      <c r="C1807" s="39">
        <f t="shared" si="56"/>
        <v>6556830.861042344</v>
      </c>
      <c r="D1807" s="39">
        <f t="shared" si="57"/>
        <v>5713464.7246403899</v>
      </c>
    </row>
    <row r="1808" spans="2:4" x14ac:dyDescent="0.25">
      <c r="B1808" s="90">
        <v>1804</v>
      </c>
      <c r="C1808" s="39">
        <f t="shared" si="56"/>
        <v>6559493.7733335486</v>
      </c>
      <c r="D1808" s="39">
        <f t="shared" si="57"/>
        <v>5716633.5902669234</v>
      </c>
    </row>
    <row r="1809" spans="2:4" x14ac:dyDescent="0.25">
      <c r="B1809" s="90">
        <v>1805</v>
      </c>
      <c r="C1809" s="39">
        <f t="shared" si="56"/>
        <v>6562156.6856247541</v>
      </c>
      <c r="D1809" s="39">
        <f t="shared" si="57"/>
        <v>5719802.4558934569</v>
      </c>
    </row>
    <row r="1810" spans="2:4" x14ac:dyDescent="0.25">
      <c r="B1810" s="90">
        <v>1806</v>
      </c>
      <c r="C1810" s="39">
        <f t="shared" si="56"/>
        <v>6564819.5979159586</v>
      </c>
      <c r="D1810" s="39">
        <f t="shared" si="57"/>
        <v>5722971.3215199914</v>
      </c>
    </row>
    <row r="1811" spans="2:4" x14ac:dyDescent="0.25">
      <c r="B1811" s="90">
        <v>1807</v>
      </c>
      <c r="C1811" s="39">
        <f t="shared" si="56"/>
        <v>6567482.5102071632</v>
      </c>
      <c r="D1811" s="39">
        <f t="shared" si="57"/>
        <v>5726140.1871465249</v>
      </c>
    </row>
    <row r="1812" spans="2:4" x14ac:dyDescent="0.25">
      <c r="B1812" s="90">
        <v>1808</v>
      </c>
      <c r="C1812" s="39">
        <f t="shared" si="56"/>
        <v>6570145.4224983687</v>
      </c>
      <c r="D1812" s="39">
        <f t="shared" si="57"/>
        <v>5729309.0527730584</v>
      </c>
    </row>
    <row r="1813" spans="2:4" x14ac:dyDescent="0.25">
      <c r="B1813" s="90">
        <v>1809</v>
      </c>
      <c r="C1813" s="39">
        <f t="shared" si="56"/>
        <v>6572808.3347895732</v>
      </c>
      <c r="D1813" s="39">
        <f t="shared" si="57"/>
        <v>5732477.9183995919</v>
      </c>
    </row>
    <row r="1814" spans="2:4" x14ac:dyDescent="0.25">
      <c r="B1814" s="90">
        <v>1810</v>
      </c>
      <c r="C1814" s="39">
        <f t="shared" si="56"/>
        <v>6575471.2470807778</v>
      </c>
      <c r="D1814" s="39">
        <f t="shared" si="57"/>
        <v>5735646.7840261264</v>
      </c>
    </row>
    <row r="1815" spans="2:4" x14ac:dyDescent="0.25">
      <c r="B1815" s="90">
        <v>1811</v>
      </c>
      <c r="C1815" s="39">
        <f t="shared" si="56"/>
        <v>6578134.1593719823</v>
      </c>
      <c r="D1815" s="39">
        <f t="shared" si="57"/>
        <v>5738815.6496526599</v>
      </c>
    </row>
    <row r="1816" spans="2:4" x14ac:dyDescent="0.25">
      <c r="B1816" s="90">
        <v>1812</v>
      </c>
      <c r="C1816" s="39">
        <f t="shared" si="56"/>
        <v>6580797.0716631878</v>
      </c>
      <c r="D1816" s="39">
        <f t="shared" si="57"/>
        <v>5741984.5152791934</v>
      </c>
    </row>
    <row r="1817" spans="2:4" x14ac:dyDescent="0.25">
      <c r="B1817" s="90">
        <v>1813</v>
      </c>
      <c r="C1817" s="39">
        <f t="shared" si="56"/>
        <v>6583459.9839543924</v>
      </c>
      <c r="D1817" s="39">
        <f t="shared" si="57"/>
        <v>5745153.3809057279</v>
      </c>
    </row>
    <row r="1818" spans="2:4" x14ac:dyDescent="0.25">
      <c r="B1818" s="90">
        <v>1814</v>
      </c>
      <c r="C1818" s="39">
        <f t="shared" si="56"/>
        <v>6586122.8962455969</v>
      </c>
      <c r="D1818" s="39">
        <f t="shared" si="57"/>
        <v>5748322.2465322614</v>
      </c>
    </row>
    <row r="1819" spans="2:4" x14ac:dyDescent="0.25">
      <c r="B1819" s="90">
        <v>1815</v>
      </c>
      <c r="C1819" s="39">
        <f t="shared" si="56"/>
        <v>6588785.8085368024</v>
      </c>
      <c r="D1819" s="39">
        <f t="shared" si="57"/>
        <v>5751491.1121587949</v>
      </c>
    </row>
    <row r="1820" spans="2:4" x14ac:dyDescent="0.25">
      <c r="B1820" s="90">
        <v>1816</v>
      </c>
      <c r="C1820" s="39">
        <f t="shared" si="56"/>
        <v>6591448.720828007</v>
      </c>
      <c r="D1820" s="39">
        <f t="shared" si="57"/>
        <v>5754659.9777853284</v>
      </c>
    </row>
    <row r="1821" spans="2:4" x14ac:dyDescent="0.25">
      <c r="B1821" s="90">
        <v>1817</v>
      </c>
      <c r="C1821" s="39">
        <f t="shared" si="56"/>
        <v>6594111.6331192115</v>
      </c>
      <c r="D1821" s="39">
        <f t="shared" si="57"/>
        <v>5757828.8434118629</v>
      </c>
    </row>
    <row r="1822" spans="2:4" x14ac:dyDescent="0.25">
      <c r="B1822" s="90">
        <v>1818</v>
      </c>
      <c r="C1822" s="39">
        <f t="shared" si="56"/>
        <v>6596774.545410417</v>
      </c>
      <c r="D1822" s="39">
        <f t="shared" si="57"/>
        <v>5760997.7090383964</v>
      </c>
    </row>
    <row r="1823" spans="2:4" x14ac:dyDescent="0.25">
      <c r="B1823" s="90">
        <v>1819</v>
      </c>
      <c r="C1823" s="39">
        <f t="shared" si="56"/>
        <v>6599437.4577016216</v>
      </c>
      <c r="D1823" s="39">
        <f t="shared" si="57"/>
        <v>5764166.5746649299</v>
      </c>
    </row>
    <row r="1824" spans="2:4" x14ac:dyDescent="0.25">
      <c r="B1824" s="90">
        <v>1820</v>
      </c>
      <c r="C1824" s="39">
        <f t="shared" si="56"/>
        <v>6602100.3699928261</v>
      </c>
      <c r="D1824" s="39">
        <f t="shared" si="57"/>
        <v>5767335.4402914634</v>
      </c>
    </row>
    <row r="1825" spans="2:4" x14ac:dyDescent="0.25">
      <c r="B1825" s="90">
        <v>1821</v>
      </c>
      <c r="C1825" s="39">
        <f t="shared" si="56"/>
        <v>6604763.2822840316</v>
      </c>
      <c r="D1825" s="39">
        <f t="shared" si="57"/>
        <v>5770504.3059179978</v>
      </c>
    </row>
    <row r="1826" spans="2:4" x14ac:dyDescent="0.25">
      <c r="B1826" s="90">
        <v>1822</v>
      </c>
      <c r="C1826" s="39">
        <f t="shared" si="56"/>
        <v>6607426.1945752362</v>
      </c>
      <c r="D1826" s="39">
        <f t="shared" si="57"/>
        <v>5773673.1715445314</v>
      </c>
    </row>
    <row r="1827" spans="2:4" x14ac:dyDescent="0.25">
      <c r="B1827" s="90">
        <v>1823</v>
      </c>
      <c r="C1827" s="39">
        <f t="shared" si="56"/>
        <v>6610089.1068664407</v>
      </c>
      <c r="D1827" s="39">
        <f t="shared" si="57"/>
        <v>5776842.0371710649</v>
      </c>
    </row>
    <row r="1828" spans="2:4" x14ac:dyDescent="0.25">
      <c r="B1828" s="90">
        <v>1824</v>
      </c>
      <c r="C1828" s="39">
        <f t="shared" si="56"/>
        <v>6612752.0191576462</v>
      </c>
      <c r="D1828" s="39">
        <f t="shared" si="57"/>
        <v>5780010.9027975993</v>
      </c>
    </row>
    <row r="1829" spans="2:4" x14ac:dyDescent="0.25">
      <c r="B1829" s="90">
        <v>1825</v>
      </c>
      <c r="C1829" s="39">
        <f t="shared" si="56"/>
        <v>6615414.9314488508</v>
      </c>
      <c r="D1829" s="39">
        <f t="shared" si="57"/>
        <v>5783179.7684241328</v>
      </c>
    </row>
    <row r="1830" spans="2:4" x14ac:dyDescent="0.25">
      <c r="B1830" s="90">
        <v>1826</v>
      </c>
      <c r="C1830" s="39">
        <f t="shared" si="56"/>
        <v>6618077.8437400553</v>
      </c>
      <c r="D1830" s="39">
        <f t="shared" si="57"/>
        <v>5786348.6340506664</v>
      </c>
    </row>
    <row r="1831" spans="2:4" x14ac:dyDescent="0.25">
      <c r="B1831" s="90">
        <v>1827</v>
      </c>
      <c r="C1831" s="39">
        <f t="shared" si="56"/>
        <v>6620740.7560312608</v>
      </c>
      <c r="D1831" s="39">
        <f t="shared" si="57"/>
        <v>5789517.4996771999</v>
      </c>
    </row>
    <row r="1832" spans="2:4" x14ac:dyDescent="0.25">
      <c r="B1832" s="90">
        <v>1828</v>
      </c>
      <c r="C1832" s="39">
        <f t="shared" si="56"/>
        <v>6623403.6683224654</v>
      </c>
      <c r="D1832" s="39">
        <f t="shared" si="57"/>
        <v>5792686.3653037343</v>
      </c>
    </row>
    <row r="1833" spans="2:4" x14ac:dyDescent="0.25">
      <c r="B1833" s="90">
        <v>1829</v>
      </c>
      <c r="C1833" s="39">
        <f t="shared" si="56"/>
        <v>6626066.5806136699</v>
      </c>
      <c r="D1833" s="39">
        <f t="shared" si="57"/>
        <v>5795855.2309302678</v>
      </c>
    </row>
    <row r="1834" spans="2:4" x14ac:dyDescent="0.25">
      <c r="B1834" s="90">
        <v>1830</v>
      </c>
      <c r="C1834" s="39">
        <f t="shared" si="56"/>
        <v>6628729.4929048745</v>
      </c>
      <c r="D1834" s="39">
        <f t="shared" si="57"/>
        <v>5799024.0965568013</v>
      </c>
    </row>
    <row r="1835" spans="2:4" x14ac:dyDescent="0.25">
      <c r="B1835" s="90">
        <v>1831</v>
      </c>
      <c r="C1835" s="39">
        <f t="shared" si="56"/>
        <v>6631392.40519608</v>
      </c>
      <c r="D1835" s="39">
        <f t="shared" si="57"/>
        <v>5802192.9621833349</v>
      </c>
    </row>
    <row r="1836" spans="2:4" x14ac:dyDescent="0.25">
      <c r="B1836" s="90">
        <v>1832</v>
      </c>
      <c r="C1836" s="39">
        <f t="shared" si="56"/>
        <v>6634055.3174872845</v>
      </c>
      <c r="D1836" s="39">
        <f t="shared" si="57"/>
        <v>5805361.8278098693</v>
      </c>
    </row>
    <row r="1837" spans="2:4" x14ac:dyDescent="0.25">
      <c r="B1837" s="90">
        <v>1833</v>
      </c>
      <c r="C1837" s="39">
        <f t="shared" si="56"/>
        <v>6636718.2297784891</v>
      </c>
      <c r="D1837" s="39">
        <f t="shared" si="57"/>
        <v>5808530.6934364028</v>
      </c>
    </row>
    <row r="1838" spans="2:4" x14ac:dyDescent="0.25">
      <c r="B1838" s="90">
        <v>1834</v>
      </c>
      <c r="C1838" s="39">
        <f t="shared" si="56"/>
        <v>6639381.1420696946</v>
      </c>
      <c r="D1838" s="39">
        <f t="shared" si="57"/>
        <v>5811699.5590629363</v>
      </c>
    </row>
    <row r="1839" spans="2:4" x14ac:dyDescent="0.25">
      <c r="B1839" s="90">
        <v>1835</v>
      </c>
      <c r="C1839" s="39">
        <f t="shared" si="56"/>
        <v>6642044.0543608991</v>
      </c>
      <c r="D1839" s="39">
        <f t="shared" si="57"/>
        <v>5814868.4246894708</v>
      </c>
    </row>
    <row r="1840" spans="2:4" x14ac:dyDescent="0.25">
      <c r="B1840" s="90">
        <v>1836</v>
      </c>
      <c r="C1840" s="39">
        <f t="shared" si="56"/>
        <v>6644706.9666521037</v>
      </c>
      <c r="D1840" s="39">
        <f t="shared" si="57"/>
        <v>5818037.2903160043</v>
      </c>
    </row>
    <row r="1841" spans="2:4" x14ac:dyDescent="0.25">
      <c r="B1841" s="90">
        <v>1837</v>
      </c>
      <c r="C1841" s="39">
        <f t="shared" ref="C1841:C1904" si="58">($C$2*B1841)+$C$1</f>
        <v>6647369.8789433092</v>
      </c>
      <c r="D1841" s="39">
        <f t="shared" ref="D1841:D1904" si="59">$D$2*B1841</f>
        <v>5821206.1559425378</v>
      </c>
    </row>
    <row r="1842" spans="2:4" x14ac:dyDescent="0.25">
      <c r="B1842" s="90">
        <v>1838</v>
      </c>
      <c r="C1842" s="39">
        <f t="shared" si="58"/>
        <v>6650032.7912345137</v>
      </c>
      <c r="D1842" s="39">
        <f t="shared" si="59"/>
        <v>5824375.0215690713</v>
      </c>
    </row>
    <row r="1843" spans="2:4" x14ac:dyDescent="0.25">
      <c r="B1843" s="90">
        <v>1839</v>
      </c>
      <c r="C1843" s="39">
        <f t="shared" si="58"/>
        <v>6652695.7035257183</v>
      </c>
      <c r="D1843" s="39">
        <f t="shared" si="59"/>
        <v>5827543.8871956058</v>
      </c>
    </row>
    <row r="1844" spans="2:4" x14ac:dyDescent="0.25">
      <c r="B1844" s="90">
        <v>1840</v>
      </c>
      <c r="C1844" s="39">
        <f t="shared" si="58"/>
        <v>6655358.6158169238</v>
      </c>
      <c r="D1844" s="39">
        <f t="shared" si="59"/>
        <v>5830712.7528221393</v>
      </c>
    </row>
    <row r="1845" spans="2:4" x14ac:dyDescent="0.25">
      <c r="B1845" s="90">
        <v>1841</v>
      </c>
      <c r="C1845" s="39">
        <f t="shared" si="58"/>
        <v>6658021.5281081283</v>
      </c>
      <c r="D1845" s="39">
        <f t="shared" si="59"/>
        <v>5833881.6184486728</v>
      </c>
    </row>
    <row r="1846" spans="2:4" x14ac:dyDescent="0.25">
      <c r="B1846" s="90">
        <v>1842</v>
      </c>
      <c r="C1846" s="39">
        <f t="shared" si="58"/>
        <v>6660684.4403993329</v>
      </c>
      <c r="D1846" s="39">
        <f t="shared" si="59"/>
        <v>5837050.4840752063</v>
      </c>
    </row>
    <row r="1847" spans="2:4" x14ac:dyDescent="0.25">
      <c r="B1847" s="90">
        <v>1843</v>
      </c>
      <c r="C1847" s="39">
        <f t="shared" si="58"/>
        <v>6663347.3526905384</v>
      </c>
      <c r="D1847" s="39">
        <f t="shared" si="59"/>
        <v>5840219.3497017408</v>
      </c>
    </row>
    <row r="1848" spans="2:4" x14ac:dyDescent="0.25">
      <c r="B1848" s="90">
        <v>1844</v>
      </c>
      <c r="C1848" s="39">
        <f t="shared" si="58"/>
        <v>6666010.2649817429</v>
      </c>
      <c r="D1848" s="39">
        <f t="shared" si="59"/>
        <v>5843388.2153282743</v>
      </c>
    </row>
    <row r="1849" spans="2:4" x14ac:dyDescent="0.25">
      <c r="B1849" s="90">
        <v>1845</v>
      </c>
      <c r="C1849" s="39">
        <f t="shared" si="58"/>
        <v>6668673.1772729475</v>
      </c>
      <c r="D1849" s="39">
        <f t="shared" si="59"/>
        <v>5846557.0809548078</v>
      </c>
    </row>
    <row r="1850" spans="2:4" x14ac:dyDescent="0.25">
      <c r="B1850" s="90">
        <v>1846</v>
      </c>
      <c r="C1850" s="39">
        <f t="shared" si="58"/>
        <v>6671336.0895641521</v>
      </c>
      <c r="D1850" s="39">
        <f t="shared" si="59"/>
        <v>5849725.9465813423</v>
      </c>
    </row>
    <row r="1851" spans="2:4" x14ac:dyDescent="0.25">
      <c r="B1851" s="90">
        <v>1847</v>
      </c>
      <c r="C1851" s="39">
        <f t="shared" si="58"/>
        <v>6673999.0018553576</v>
      </c>
      <c r="D1851" s="39">
        <f t="shared" si="59"/>
        <v>5852894.8122078758</v>
      </c>
    </row>
    <row r="1852" spans="2:4" x14ac:dyDescent="0.25">
      <c r="B1852" s="90">
        <v>1848</v>
      </c>
      <c r="C1852" s="39">
        <f t="shared" si="58"/>
        <v>6676661.9141465621</v>
      </c>
      <c r="D1852" s="39">
        <f t="shared" si="59"/>
        <v>5856063.6778344093</v>
      </c>
    </row>
    <row r="1853" spans="2:4" x14ac:dyDescent="0.25">
      <c r="B1853" s="90">
        <v>1849</v>
      </c>
      <c r="C1853" s="39">
        <f t="shared" si="58"/>
        <v>6679324.8264377667</v>
      </c>
      <c r="D1853" s="39">
        <f t="shared" si="59"/>
        <v>5859232.5434609428</v>
      </c>
    </row>
    <row r="1854" spans="2:4" x14ac:dyDescent="0.25">
      <c r="B1854" s="90">
        <v>1850</v>
      </c>
      <c r="C1854" s="39">
        <f t="shared" si="58"/>
        <v>6681987.7387289722</v>
      </c>
      <c r="D1854" s="39">
        <f t="shared" si="59"/>
        <v>5862401.4090874773</v>
      </c>
    </row>
    <row r="1855" spans="2:4" x14ac:dyDescent="0.25">
      <c r="B1855" s="90">
        <v>1851</v>
      </c>
      <c r="C1855" s="39">
        <f t="shared" si="58"/>
        <v>6684650.6510201767</v>
      </c>
      <c r="D1855" s="39">
        <f t="shared" si="59"/>
        <v>5865570.2747140108</v>
      </c>
    </row>
    <row r="1856" spans="2:4" x14ac:dyDescent="0.25">
      <c r="B1856" s="90">
        <v>1852</v>
      </c>
      <c r="C1856" s="39">
        <f t="shared" si="58"/>
        <v>6687313.5633113813</v>
      </c>
      <c r="D1856" s="39">
        <f t="shared" si="59"/>
        <v>5868739.1403405443</v>
      </c>
    </row>
    <row r="1857" spans="2:4" x14ac:dyDescent="0.25">
      <c r="B1857" s="90">
        <v>1853</v>
      </c>
      <c r="C1857" s="39">
        <f t="shared" si="58"/>
        <v>6689976.4756025868</v>
      </c>
      <c r="D1857" s="39">
        <f t="shared" si="59"/>
        <v>5871908.0059670778</v>
      </c>
    </row>
    <row r="1858" spans="2:4" x14ac:dyDescent="0.25">
      <c r="B1858" s="90">
        <v>1854</v>
      </c>
      <c r="C1858" s="39">
        <f t="shared" si="58"/>
        <v>6692639.3878937913</v>
      </c>
      <c r="D1858" s="39">
        <f t="shared" si="59"/>
        <v>5875076.8715936122</v>
      </c>
    </row>
    <row r="1859" spans="2:4" x14ac:dyDescent="0.25">
      <c r="B1859" s="90">
        <v>1855</v>
      </c>
      <c r="C1859" s="39">
        <f t="shared" si="58"/>
        <v>6695302.3001849959</v>
      </c>
      <c r="D1859" s="39">
        <f t="shared" si="59"/>
        <v>5878245.7372201458</v>
      </c>
    </row>
    <row r="1860" spans="2:4" x14ac:dyDescent="0.25">
      <c r="B1860" s="90">
        <v>1856</v>
      </c>
      <c r="C1860" s="39">
        <f t="shared" si="58"/>
        <v>6697965.2124762014</v>
      </c>
      <c r="D1860" s="39">
        <f t="shared" si="59"/>
        <v>5881414.6028466793</v>
      </c>
    </row>
    <row r="1861" spans="2:4" x14ac:dyDescent="0.25">
      <c r="B1861" s="90">
        <v>1857</v>
      </c>
      <c r="C1861" s="39">
        <f t="shared" si="58"/>
        <v>6700628.1247674059</v>
      </c>
      <c r="D1861" s="39">
        <f t="shared" si="59"/>
        <v>5884583.4684732137</v>
      </c>
    </row>
    <row r="1862" spans="2:4" x14ac:dyDescent="0.25">
      <c r="B1862" s="90">
        <v>1858</v>
      </c>
      <c r="C1862" s="39">
        <f t="shared" si="58"/>
        <v>6703291.0370586105</v>
      </c>
      <c r="D1862" s="39">
        <f t="shared" si="59"/>
        <v>5887752.3340997472</v>
      </c>
    </row>
    <row r="1863" spans="2:4" x14ac:dyDescent="0.25">
      <c r="B1863" s="90">
        <v>1859</v>
      </c>
      <c r="C1863" s="39">
        <f t="shared" si="58"/>
        <v>6705953.949349816</v>
      </c>
      <c r="D1863" s="39">
        <f t="shared" si="59"/>
        <v>5890921.1997262808</v>
      </c>
    </row>
    <row r="1864" spans="2:4" x14ac:dyDescent="0.25">
      <c r="B1864" s="90">
        <v>1860</v>
      </c>
      <c r="C1864" s="39">
        <f t="shared" si="58"/>
        <v>6708616.8616410205</v>
      </c>
      <c r="D1864" s="39">
        <f t="shared" si="59"/>
        <v>5894090.0653528143</v>
      </c>
    </row>
    <row r="1865" spans="2:4" x14ac:dyDescent="0.25">
      <c r="B1865" s="90">
        <v>1861</v>
      </c>
      <c r="C1865" s="39">
        <f t="shared" si="58"/>
        <v>6711279.7739322251</v>
      </c>
      <c r="D1865" s="39">
        <f t="shared" si="59"/>
        <v>5897258.9309793487</v>
      </c>
    </row>
    <row r="1866" spans="2:4" x14ac:dyDescent="0.25">
      <c r="B1866" s="90">
        <v>1862</v>
      </c>
      <c r="C1866" s="39">
        <f t="shared" si="58"/>
        <v>6713942.6862234306</v>
      </c>
      <c r="D1866" s="39">
        <f t="shared" si="59"/>
        <v>5900427.7966058822</v>
      </c>
    </row>
    <row r="1867" spans="2:4" x14ac:dyDescent="0.25">
      <c r="B1867" s="90">
        <v>1863</v>
      </c>
      <c r="C1867" s="39">
        <f t="shared" si="58"/>
        <v>6716605.5985146351</v>
      </c>
      <c r="D1867" s="39">
        <f t="shared" si="59"/>
        <v>5903596.6622324158</v>
      </c>
    </row>
    <row r="1868" spans="2:4" x14ac:dyDescent="0.25">
      <c r="B1868" s="90">
        <v>1864</v>
      </c>
      <c r="C1868" s="39">
        <f t="shared" si="58"/>
        <v>6719268.5108058397</v>
      </c>
      <c r="D1868" s="39">
        <f t="shared" si="59"/>
        <v>5906765.5278589502</v>
      </c>
    </row>
    <row r="1869" spans="2:4" x14ac:dyDescent="0.25">
      <c r="B1869" s="90">
        <v>1865</v>
      </c>
      <c r="C1869" s="39">
        <f t="shared" si="58"/>
        <v>6721931.4230970442</v>
      </c>
      <c r="D1869" s="39">
        <f t="shared" si="59"/>
        <v>5909934.3934854837</v>
      </c>
    </row>
    <row r="1870" spans="2:4" x14ac:dyDescent="0.25">
      <c r="B1870" s="90">
        <v>1866</v>
      </c>
      <c r="C1870" s="39">
        <f t="shared" si="58"/>
        <v>6724594.3353882497</v>
      </c>
      <c r="D1870" s="39">
        <f t="shared" si="59"/>
        <v>5913103.2591120172</v>
      </c>
    </row>
    <row r="1871" spans="2:4" x14ac:dyDescent="0.25">
      <c r="B1871" s="90">
        <v>1867</v>
      </c>
      <c r="C1871" s="39">
        <f t="shared" si="58"/>
        <v>6727257.2476794543</v>
      </c>
      <c r="D1871" s="39">
        <f t="shared" si="59"/>
        <v>5916272.1247385507</v>
      </c>
    </row>
    <row r="1872" spans="2:4" x14ac:dyDescent="0.25">
      <c r="B1872" s="90">
        <v>1868</v>
      </c>
      <c r="C1872" s="39">
        <f t="shared" si="58"/>
        <v>6729920.1599706588</v>
      </c>
      <c r="D1872" s="39">
        <f t="shared" si="59"/>
        <v>5919440.9903650852</v>
      </c>
    </row>
    <row r="1873" spans="2:4" x14ac:dyDescent="0.25">
      <c r="B1873" s="90">
        <v>1869</v>
      </c>
      <c r="C1873" s="39">
        <f t="shared" si="58"/>
        <v>6732583.0722618643</v>
      </c>
      <c r="D1873" s="39">
        <f t="shared" si="59"/>
        <v>5922609.8559916187</v>
      </c>
    </row>
    <row r="1874" spans="2:4" x14ac:dyDescent="0.25">
      <c r="B1874" s="90">
        <v>1870</v>
      </c>
      <c r="C1874" s="39">
        <f t="shared" si="58"/>
        <v>6735245.9845530689</v>
      </c>
      <c r="D1874" s="39">
        <f t="shared" si="59"/>
        <v>5925778.7216181522</v>
      </c>
    </row>
    <row r="1875" spans="2:4" x14ac:dyDescent="0.25">
      <c r="B1875" s="90">
        <v>1871</v>
      </c>
      <c r="C1875" s="39">
        <f t="shared" si="58"/>
        <v>6737908.8968442734</v>
      </c>
      <c r="D1875" s="39">
        <f t="shared" si="59"/>
        <v>5928947.5872446857</v>
      </c>
    </row>
    <row r="1876" spans="2:4" x14ac:dyDescent="0.25">
      <c r="B1876" s="90">
        <v>1872</v>
      </c>
      <c r="C1876" s="39">
        <f t="shared" si="58"/>
        <v>6740571.8091354789</v>
      </c>
      <c r="D1876" s="39">
        <f t="shared" si="59"/>
        <v>5932116.4528712202</v>
      </c>
    </row>
    <row r="1877" spans="2:4" x14ac:dyDescent="0.25">
      <c r="B1877" s="90">
        <v>1873</v>
      </c>
      <c r="C1877" s="39">
        <f t="shared" si="58"/>
        <v>6743234.7214266835</v>
      </c>
      <c r="D1877" s="39">
        <f t="shared" si="59"/>
        <v>5935285.3184977537</v>
      </c>
    </row>
    <row r="1878" spans="2:4" x14ac:dyDescent="0.25">
      <c r="B1878" s="90">
        <v>1874</v>
      </c>
      <c r="C1878" s="39">
        <f t="shared" si="58"/>
        <v>6745897.633717888</v>
      </c>
      <c r="D1878" s="39">
        <f t="shared" si="59"/>
        <v>5938454.1841242872</v>
      </c>
    </row>
    <row r="1879" spans="2:4" x14ac:dyDescent="0.25">
      <c r="B1879" s="90">
        <v>1875</v>
      </c>
      <c r="C1879" s="39">
        <f t="shared" si="58"/>
        <v>6748560.5460090935</v>
      </c>
      <c r="D1879" s="39">
        <f t="shared" si="59"/>
        <v>5941623.0497508217</v>
      </c>
    </row>
    <row r="1880" spans="2:4" x14ac:dyDescent="0.25">
      <c r="B1880" s="90">
        <v>1876</v>
      </c>
      <c r="C1880" s="39">
        <f t="shared" si="58"/>
        <v>6751223.4583002981</v>
      </c>
      <c r="D1880" s="39">
        <f t="shared" si="59"/>
        <v>5944791.9153773552</v>
      </c>
    </row>
    <row r="1881" spans="2:4" x14ac:dyDescent="0.25">
      <c r="B1881" s="90">
        <v>1877</v>
      </c>
      <c r="C1881" s="39">
        <f t="shared" si="58"/>
        <v>6753886.3705915026</v>
      </c>
      <c r="D1881" s="39">
        <f t="shared" si="59"/>
        <v>5947960.7810038887</v>
      </c>
    </row>
    <row r="1882" spans="2:4" x14ac:dyDescent="0.25">
      <c r="B1882" s="90">
        <v>1878</v>
      </c>
      <c r="C1882" s="39">
        <f t="shared" si="58"/>
        <v>6756549.2828827081</v>
      </c>
      <c r="D1882" s="39">
        <f t="shared" si="59"/>
        <v>5951129.6466304222</v>
      </c>
    </row>
    <row r="1883" spans="2:4" x14ac:dyDescent="0.25">
      <c r="B1883" s="90">
        <v>1879</v>
      </c>
      <c r="C1883" s="39">
        <f t="shared" si="58"/>
        <v>6759212.1951739127</v>
      </c>
      <c r="D1883" s="39">
        <f t="shared" si="59"/>
        <v>5954298.5122569567</v>
      </c>
    </row>
    <row r="1884" spans="2:4" x14ac:dyDescent="0.25">
      <c r="B1884" s="90">
        <v>1880</v>
      </c>
      <c r="C1884" s="39">
        <f t="shared" si="58"/>
        <v>6761875.1074651172</v>
      </c>
      <c r="D1884" s="39">
        <f t="shared" si="59"/>
        <v>5957467.3778834902</v>
      </c>
    </row>
    <row r="1885" spans="2:4" x14ac:dyDescent="0.25">
      <c r="B1885" s="90">
        <v>1881</v>
      </c>
      <c r="C1885" s="39">
        <f t="shared" si="58"/>
        <v>6764538.0197563218</v>
      </c>
      <c r="D1885" s="39">
        <f t="shared" si="59"/>
        <v>5960636.2435100237</v>
      </c>
    </row>
    <row r="1886" spans="2:4" x14ac:dyDescent="0.25">
      <c r="B1886" s="90">
        <v>1882</v>
      </c>
      <c r="C1886" s="39">
        <f t="shared" si="58"/>
        <v>6767200.9320475273</v>
      </c>
      <c r="D1886" s="39">
        <f t="shared" si="59"/>
        <v>5963805.1091365572</v>
      </c>
    </row>
    <row r="1887" spans="2:4" x14ac:dyDescent="0.25">
      <c r="B1887" s="90">
        <v>1883</v>
      </c>
      <c r="C1887" s="39">
        <f t="shared" si="58"/>
        <v>6769863.8443387318</v>
      </c>
      <c r="D1887" s="39">
        <f t="shared" si="59"/>
        <v>5966973.9747630917</v>
      </c>
    </row>
    <row r="1888" spans="2:4" x14ac:dyDescent="0.25">
      <c r="B1888" s="90">
        <v>1884</v>
      </c>
      <c r="C1888" s="39">
        <f t="shared" si="58"/>
        <v>6772526.7566299364</v>
      </c>
      <c r="D1888" s="39">
        <f t="shared" si="59"/>
        <v>5970142.8403896252</v>
      </c>
    </row>
    <row r="1889" spans="2:4" x14ac:dyDescent="0.25">
      <c r="B1889" s="90">
        <v>1885</v>
      </c>
      <c r="C1889" s="39">
        <f t="shared" si="58"/>
        <v>6775189.6689211419</v>
      </c>
      <c r="D1889" s="39">
        <f t="shared" si="59"/>
        <v>5973311.7060161587</v>
      </c>
    </row>
    <row r="1890" spans="2:4" x14ac:dyDescent="0.25">
      <c r="B1890" s="90">
        <v>1886</v>
      </c>
      <c r="C1890" s="39">
        <f t="shared" si="58"/>
        <v>6777852.5812123464</v>
      </c>
      <c r="D1890" s="39">
        <f t="shared" si="59"/>
        <v>5976480.5716426931</v>
      </c>
    </row>
    <row r="1891" spans="2:4" x14ac:dyDescent="0.25">
      <c r="B1891" s="90">
        <v>1887</v>
      </c>
      <c r="C1891" s="39">
        <f t="shared" si="58"/>
        <v>6780515.493503551</v>
      </c>
      <c r="D1891" s="39">
        <f t="shared" si="59"/>
        <v>5979649.4372692266</v>
      </c>
    </row>
    <row r="1892" spans="2:4" x14ac:dyDescent="0.25">
      <c r="B1892" s="90">
        <v>1888</v>
      </c>
      <c r="C1892" s="39">
        <f t="shared" si="58"/>
        <v>6783178.4057947565</v>
      </c>
      <c r="D1892" s="39">
        <f t="shared" si="59"/>
        <v>5982818.3028957602</v>
      </c>
    </row>
    <row r="1893" spans="2:4" x14ac:dyDescent="0.25">
      <c r="B1893" s="90">
        <v>1889</v>
      </c>
      <c r="C1893" s="39">
        <f t="shared" si="58"/>
        <v>6785841.318085961</v>
      </c>
      <c r="D1893" s="39">
        <f t="shared" si="59"/>
        <v>5985987.1685222937</v>
      </c>
    </row>
    <row r="1894" spans="2:4" x14ac:dyDescent="0.25">
      <c r="B1894" s="90">
        <v>1890</v>
      </c>
      <c r="C1894" s="39">
        <f t="shared" si="58"/>
        <v>6788504.2303771656</v>
      </c>
      <c r="D1894" s="39">
        <f t="shared" si="59"/>
        <v>5989156.0341488281</v>
      </c>
    </row>
    <row r="1895" spans="2:4" x14ac:dyDescent="0.25">
      <c r="B1895" s="90">
        <v>1891</v>
      </c>
      <c r="C1895" s="39">
        <f t="shared" si="58"/>
        <v>6791167.1426683711</v>
      </c>
      <c r="D1895" s="39">
        <f t="shared" si="59"/>
        <v>5992324.8997753616</v>
      </c>
    </row>
    <row r="1896" spans="2:4" x14ac:dyDescent="0.25">
      <c r="B1896" s="90">
        <v>1892</v>
      </c>
      <c r="C1896" s="39">
        <f t="shared" si="58"/>
        <v>6793830.0549595756</v>
      </c>
      <c r="D1896" s="39">
        <f t="shared" si="59"/>
        <v>5995493.7654018952</v>
      </c>
    </row>
    <row r="1897" spans="2:4" x14ac:dyDescent="0.25">
      <c r="B1897" s="90">
        <v>1893</v>
      </c>
      <c r="C1897" s="39">
        <f t="shared" si="58"/>
        <v>6796492.9672507802</v>
      </c>
      <c r="D1897" s="39">
        <f t="shared" si="59"/>
        <v>5998662.6310284287</v>
      </c>
    </row>
    <row r="1898" spans="2:4" x14ac:dyDescent="0.25">
      <c r="B1898" s="90">
        <v>1894</v>
      </c>
      <c r="C1898" s="39">
        <f t="shared" si="58"/>
        <v>6799155.8795419857</v>
      </c>
      <c r="D1898" s="39">
        <f t="shared" si="59"/>
        <v>6001831.4966549631</v>
      </c>
    </row>
    <row r="1899" spans="2:4" x14ac:dyDescent="0.25">
      <c r="B1899" s="90">
        <v>1895</v>
      </c>
      <c r="C1899" s="39">
        <f t="shared" si="58"/>
        <v>6801818.7918331902</v>
      </c>
      <c r="D1899" s="39">
        <f t="shared" si="59"/>
        <v>6005000.3622814966</v>
      </c>
    </row>
    <row r="1900" spans="2:4" x14ac:dyDescent="0.25">
      <c r="B1900" s="90">
        <v>1896</v>
      </c>
      <c r="C1900" s="39">
        <f t="shared" si="58"/>
        <v>6804481.7041243948</v>
      </c>
      <c r="D1900" s="39">
        <f t="shared" si="59"/>
        <v>6008169.2279080302</v>
      </c>
    </row>
    <row r="1901" spans="2:4" x14ac:dyDescent="0.25">
      <c r="B1901" s="90">
        <v>1897</v>
      </c>
      <c r="C1901" s="39">
        <f t="shared" si="58"/>
        <v>6807144.6164156003</v>
      </c>
      <c r="D1901" s="39">
        <f t="shared" si="59"/>
        <v>6011338.0935345646</v>
      </c>
    </row>
    <row r="1902" spans="2:4" x14ac:dyDescent="0.25">
      <c r="B1902" s="90">
        <v>1898</v>
      </c>
      <c r="C1902" s="39">
        <f t="shared" si="58"/>
        <v>6809807.5287068048</v>
      </c>
      <c r="D1902" s="39">
        <f t="shared" si="59"/>
        <v>6014506.9591610981</v>
      </c>
    </row>
    <row r="1903" spans="2:4" x14ac:dyDescent="0.25">
      <c r="B1903" s="90">
        <v>1899</v>
      </c>
      <c r="C1903" s="39">
        <f t="shared" si="58"/>
        <v>6812470.4409980094</v>
      </c>
      <c r="D1903" s="39">
        <f t="shared" si="59"/>
        <v>6017675.8247876316</v>
      </c>
    </row>
    <row r="1904" spans="2:4" x14ac:dyDescent="0.25">
      <c r="B1904" s="90">
        <v>1900</v>
      </c>
      <c r="C1904" s="39">
        <f t="shared" si="58"/>
        <v>6815133.353289214</v>
      </c>
      <c r="D1904" s="39">
        <f t="shared" si="59"/>
        <v>6020844.6904141651</v>
      </c>
    </row>
    <row r="1905" spans="2:4" x14ac:dyDescent="0.25">
      <c r="B1905" s="90">
        <v>1901</v>
      </c>
      <c r="C1905" s="39">
        <f t="shared" ref="C1905:C1968" si="60">($C$2*B1905)+$C$1</f>
        <v>6817796.2655804195</v>
      </c>
      <c r="D1905" s="39">
        <f t="shared" ref="D1905:D1968" si="61">$D$2*B1905</f>
        <v>6024013.5560406996</v>
      </c>
    </row>
    <row r="1906" spans="2:4" x14ac:dyDescent="0.25">
      <c r="B1906" s="90">
        <v>1902</v>
      </c>
      <c r="C1906" s="39">
        <f t="shared" si="60"/>
        <v>6820459.177871624</v>
      </c>
      <c r="D1906" s="39">
        <f t="shared" si="61"/>
        <v>6027182.4216672331</v>
      </c>
    </row>
    <row r="1907" spans="2:4" x14ac:dyDescent="0.25">
      <c r="B1907" s="90">
        <v>1903</v>
      </c>
      <c r="C1907" s="39">
        <f t="shared" si="60"/>
        <v>6823122.0901628286</v>
      </c>
      <c r="D1907" s="39">
        <f t="shared" si="61"/>
        <v>6030351.2872937666</v>
      </c>
    </row>
    <row r="1908" spans="2:4" x14ac:dyDescent="0.25">
      <c r="B1908" s="90">
        <v>1904</v>
      </c>
      <c r="C1908" s="39">
        <f t="shared" si="60"/>
        <v>6825785.0024540341</v>
      </c>
      <c r="D1908" s="39">
        <f t="shared" si="61"/>
        <v>6033520.1529203001</v>
      </c>
    </row>
    <row r="1909" spans="2:4" x14ac:dyDescent="0.25">
      <c r="B1909" s="90">
        <v>1905</v>
      </c>
      <c r="C1909" s="39">
        <f t="shared" si="60"/>
        <v>6828447.9147452386</v>
      </c>
      <c r="D1909" s="39">
        <f t="shared" si="61"/>
        <v>6036689.0185468346</v>
      </c>
    </row>
    <row r="1910" spans="2:4" x14ac:dyDescent="0.25">
      <c r="B1910" s="90">
        <v>1906</v>
      </c>
      <c r="C1910" s="39">
        <f t="shared" si="60"/>
        <v>6831110.8270364432</v>
      </c>
      <c r="D1910" s="39">
        <f t="shared" si="61"/>
        <v>6039857.8841733681</v>
      </c>
    </row>
    <row r="1911" spans="2:4" x14ac:dyDescent="0.25">
      <c r="B1911" s="90">
        <v>1907</v>
      </c>
      <c r="C1911" s="39">
        <f t="shared" si="60"/>
        <v>6833773.7393276487</v>
      </c>
      <c r="D1911" s="39">
        <f t="shared" si="61"/>
        <v>6043026.7497999016</v>
      </c>
    </row>
    <row r="1912" spans="2:4" x14ac:dyDescent="0.25">
      <c r="B1912" s="90">
        <v>1908</v>
      </c>
      <c r="C1912" s="39">
        <f t="shared" si="60"/>
        <v>6836436.6516188532</v>
      </c>
      <c r="D1912" s="39">
        <f t="shared" si="61"/>
        <v>6046195.6154264361</v>
      </c>
    </row>
    <row r="1913" spans="2:4" x14ac:dyDescent="0.25">
      <c r="B1913" s="90">
        <v>1909</v>
      </c>
      <c r="C1913" s="39">
        <f t="shared" si="60"/>
        <v>6839099.5639100578</v>
      </c>
      <c r="D1913" s="39">
        <f t="shared" si="61"/>
        <v>6049364.4810529696</v>
      </c>
    </row>
    <row r="1914" spans="2:4" x14ac:dyDescent="0.25">
      <c r="B1914" s="90">
        <v>1910</v>
      </c>
      <c r="C1914" s="39">
        <f t="shared" si="60"/>
        <v>6841762.4762012633</v>
      </c>
      <c r="D1914" s="39">
        <f t="shared" si="61"/>
        <v>6052533.3466795031</v>
      </c>
    </row>
    <row r="1915" spans="2:4" x14ac:dyDescent="0.25">
      <c r="B1915" s="90">
        <v>1911</v>
      </c>
      <c r="C1915" s="39">
        <f t="shared" si="60"/>
        <v>6844425.3884924678</v>
      </c>
      <c r="D1915" s="39">
        <f t="shared" si="61"/>
        <v>6055702.2123060366</v>
      </c>
    </row>
    <row r="1916" spans="2:4" x14ac:dyDescent="0.25">
      <c r="B1916" s="90">
        <v>1912</v>
      </c>
      <c r="C1916" s="39">
        <f t="shared" si="60"/>
        <v>6847088.3007836724</v>
      </c>
      <c r="D1916" s="39">
        <f t="shared" si="61"/>
        <v>6058871.0779325711</v>
      </c>
    </row>
    <row r="1917" spans="2:4" x14ac:dyDescent="0.25">
      <c r="B1917" s="90">
        <v>1913</v>
      </c>
      <c r="C1917" s="39">
        <f t="shared" si="60"/>
        <v>6849751.2130748779</v>
      </c>
      <c r="D1917" s="39">
        <f t="shared" si="61"/>
        <v>6062039.9435591046</v>
      </c>
    </row>
    <row r="1918" spans="2:4" x14ac:dyDescent="0.25">
      <c r="B1918" s="90">
        <v>1914</v>
      </c>
      <c r="C1918" s="39">
        <f t="shared" si="60"/>
        <v>6852414.1253660824</v>
      </c>
      <c r="D1918" s="39">
        <f t="shared" si="61"/>
        <v>6065208.8091856381</v>
      </c>
    </row>
    <row r="1919" spans="2:4" x14ac:dyDescent="0.25">
      <c r="B1919" s="90">
        <v>1915</v>
      </c>
      <c r="C1919" s="39">
        <f t="shared" si="60"/>
        <v>6855077.037657287</v>
      </c>
      <c r="D1919" s="39">
        <f t="shared" si="61"/>
        <v>6068377.6748121725</v>
      </c>
    </row>
    <row r="1920" spans="2:4" x14ac:dyDescent="0.25">
      <c r="B1920" s="90">
        <v>1916</v>
      </c>
      <c r="C1920" s="39">
        <f t="shared" si="60"/>
        <v>6857739.9499484915</v>
      </c>
      <c r="D1920" s="39">
        <f t="shared" si="61"/>
        <v>6071546.5404387061</v>
      </c>
    </row>
    <row r="1921" spans="2:4" x14ac:dyDescent="0.25">
      <c r="B1921" s="90">
        <v>1917</v>
      </c>
      <c r="C1921" s="39">
        <f t="shared" si="60"/>
        <v>6860402.862239697</v>
      </c>
      <c r="D1921" s="39">
        <f t="shared" si="61"/>
        <v>6074715.4060652396</v>
      </c>
    </row>
    <row r="1922" spans="2:4" x14ac:dyDescent="0.25">
      <c r="B1922" s="90">
        <v>1918</v>
      </c>
      <c r="C1922" s="39">
        <f t="shared" si="60"/>
        <v>6863065.7745309016</v>
      </c>
      <c r="D1922" s="39">
        <f t="shared" si="61"/>
        <v>6077884.2716917731</v>
      </c>
    </row>
    <row r="1923" spans="2:4" x14ac:dyDescent="0.25">
      <c r="B1923" s="90">
        <v>1919</v>
      </c>
      <c r="C1923" s="39">
        <f t="shared" si="60"/>
        <v>6865728.6868221061</v>
      </c>
      <c r="D1923" s="39">
        <f t="shared" si="61"/>
        <v>6081053.1373183075</v>
      </c>
    </row>
    <row r="1924" spans="2:4" x14ac:dyDescent="0.25">
      <c r="B1924" s="90">
        <v>1920</v>
      </c>
      <c r="C1924" s="39">
        <f t="shared" si="60"/>
        <v>6868391.5991133116</v>
      </c>
      <c r="D1924" s="39">
        <f t="shared" si="61"/>
        <v>6084222.002944841</v>
      </c>
    </row>
    <row r="1925" spans="2:4" x14ac:dyDescent="0.25">
      <c r="B1925" s="90">
        <v>1921</v>
      </c>
      <c r="C1925" s="39">
        <f t="shared" si="60"/>
        <v>6871054.5114045162</v>
      </c>
      <c r="D1925" s="39">
        <f t="shared" si="61"/>
        <v>6087390.8685713746</v>
      </c>
    </row>
    <row r="1926" spans="2:4" x14ac:dyDescent="0.25">
      <c r="B1926" s="90">
        <v>1922</v>
      </c>
      <c r="C1926" s="39">
        <f t="shared" si="60"/>
        <v>6873717.4236957207</v>
      </c>
      <c r="D1926" s="39">
        <f t="shared" si="61"/>
        <v>6090559.7341979081</v>
      </c>
    </row>
    <row r="1927" spans="2:4" x14ac:dyDescent="0.25">
      <c r="B1927" s="90">
        <v>1923</v>
      </c>
      <c r="C1927" s="39">
        <f t="shared" si="60"/>
        <v>6876380.3359869262</v>
      </c>
      <c r="D1927" s="39">
        <f t="shared" si="61"/>
        <v>6093728.5998244425</v>
      </c>
    </row>
    <row r="1928" spans="2:4" x14ac:dyDescent="0.25">
      <c r="B1928" s="90">
        <v>1924</v>
      </c>
      <c r="C1928" s="39">
        <f t="shared" si="60"/>
        <v>6879043.2482781308</v>
      </c>
      <c r="D1928" s="39">
        <f t="shared" si="61"/>
        <v>6096897.465450976</v>
      </c>
    </row>
    <row r="1929" spans="2:4" x14ac:dyDescent="0.25">
      <c r="B1929" s="90">
        <v>1925</v>
      </c>
      <c r="C1929" s="39">
        <f t="shared" si="60"/>
        <v>6881706.1605693353</v>
      </c>
      <c r="D1929" s="39">
        <f t="shared" si="61"/>
        <v>6100066.3310775096</v>
      </c>
    </row>
    <row r="1930" spans="2:4" x14ac:dyDescent="0.25">
      <c r="B1930" s="90">
        <v>1926</v>
      </c>
      <c r="C1930" s="39">
        <f t="shared" si="60"/>
        <v>6884369.0728605408</v>
      </c>
      <c r="D1930" s="39">
        <f t="shared" si="61"/>
        <v>6103235.196704044</v>
      </c>
    </row>
    <row r="1931" spans="2:4" x14ac:dyDescent="0.25">
      <c r="B1931" s="90">
        <v>1927</v>
      </c>
      <c r="C1931" s="39">
        <f t="shared" si="60"/>
        <v>6887031.9851517454</v>
      </c>
      <c r="D1931" s="39">
        <f t="shared" si="61"/>
        <v>6106404.0623305775</v>
      </c>
    </row>
    <row r="1932" spans="2:4" x14ac:dyDescent="0.25">
      <c r="B1932" s="90">
        <v>1928</v>
      </c>
      <c r="C1932" s="39">
        <f t="shared" si="60"/>
        <v>6889694.8974429499</v>
      </c>
      <c r="D1932" s="39">
        <f t="shared" si="61"/>
        <v>6109572.927957111</v>
      </c>
    </row>
    <row r="1933" spans="2:4" x14ac:dyDescent="0.25">
      <c r="B1933" s="90">
        <v>1929</v>
      </c>
      <c r="C1933" s="39">
        <f t="shared" si="60"/>
        <v>6892357.8097341554</v>
      </c>
      <c r="D1933" s="39">
        <f t="shared" si="61"/>
        <v>6112741.7935836446</v>
      </c>
    </row>
    <row r="1934" spans="2:4" x14ac:dyDescent="0.25">
      <c r="B1934" s="90">
        <v>1930</v>
      </c>
      <c r="C1934" s="39">
        <f t="shared" si="60"/>
        <v>6895020.72202536</v>
      </c>
      <c r="D1934" s="39">
        <f t="shared" si="61"/>
        <v>6115910.659210179</v>
      </c>
    </row>
    <row r="1935" spans="2:4" x14ac:dyDescent="0.25">
      <c r="B1935" s="90">
        <v>1931</v>
      </c>
      <c r="C1935" s="39">
        <f t="shared" si="60"/>
        <v>6897683.6343165645</v>
      </c>
      <c r="D1935" s="39">
        <f t="shared" si="61"/>
        <v>6119079.5248367125</v>
      </c>
    </row>
    <row r="1936" spans="2:4" x14ac:dyDescent="0.25">
      <c r="B1936" s="90">
        <v>1932</v>
      </c>
      <c r="C1936" s="39">
        <f t="shared" si="60"/>
        <v>6900346.54660777</v>
      </c>
      <c r="D1936" s="39">
        <f t="shared" si="61"/>
        <v>6122248.390463246</v>
      </c>
    </row>
    <row r="1937" spans="2:4" x14ac:dyDescent="0.25">
      <c r="B1937" s="90">
        <v>1933</v>
      </c>
      <c r="C1937" s="39">
        <f t="shared" si="60"/>
        <v>6903009.4588989746</v>
      </c>
      <c r="D1937" s="39">
        <f t="shared" si="61"/>
        <v>6125417.2560897795</v>
      </c>
    </row>
    <row r="1938" spans="2:4" x14ac:dyDescent="0.25">
      <c r="B1938" s="90">
        <v>1934</v>
      </c>
      <c r="C1938" s="39">
        <f t="shared" si="60"/>
        <v>6905672.3711901791</v>
      </c>
      <c r="D1938" s="39">
        <f t="shared" si="61"/>
        <v>6128586.121716314</v>
      </c>
    </row>
    <row r="1939" spans="2:4" x14ac:dyDescent="0.25">
      <c r="B1939" s="90">
        <v>1935</v>
      </c>
      <c r="C1939" s="39">
        <f t="shared" si="60"/>
        <v>6908335.2834813837</v>
      </c>
      <c r="D1939" s="39">
        <f t="shared" si="61"/>
        <v>6131754.9873428475</v>
      </c>
    </row>
    <row r="1940" spans="2:4" x14ac:dyDescent="0.25">
      <c r="B1940" s="90">
        <v>1936</v>
      </c>
      <c r="C1940" s="39">
        <f t="shared" si="60"/>
        <v>6910998.1957725892</v>
      </c>
      <c r="D1940" s="39">
        <f t="shared" si="61"/>
        <v>6134923.852969381</v>
      </c>
    </row>
    <row r="1941" spans="2:4" x14ac:dyDescent="0.25">
      <c r="B1941" s="90">
        <v>1937</v>
      </c>
      <c r="C1941" s="39">
        <f t="shared" si="60"/>
        <v>6913661.1080637937</v>
      </c>
      <c r="D1941" s="39">
        <f t="shared" si="61"/>
        <v>6138092.7185959155</v>
      </c>
    </row>
    <row r="1942" spans="2:4" x14ac:dyDescent="0.25">
      <c r="B1942" s="90">
        <v>1938</v>
      </c>
      <c r="C1942" s="39">
        <f t="shared" si="60"/>
        <v>6916324.0203549983</v>
      </c>
      <c r="D1942" s="39">
        <f t="shared" si="61"/>
        <v>6141261.584222449</v>
      </c>
    </row>
    <row r="1943" spans="2:4" x14ac:dyDescent="0.25">
      <c r="B1943" s="90">
        <v>1939</v>
      </c>
      <c r="C1943" s="39">
        <f t="shared" si="60"/>
        <v>6918986.9326462038</v>
      </c>
      <c r="D1943" s="39">
        <f t="shared" si="61"/>
        <v>6144430.4498489825</v>
      </c>
    </row>
    <row r="1944" spans="2:4" x14ac:dyDescent="0.25">
      <c r="B1944" s="90">
        <v>1940</v>
      </c>
      <c r="C1944" s="39">
        <f t="shared" si="60"/>
        <v>6921649.8449374083</v>
      </c>
      <c r="D1944" s="39">
        <f t="shared" si="61"/>
        <v>6147599.315475516</v>
      </c>
    </row>
    <row r="1945" spans="2:4" x14ac:dyDescent="0.25">
      <c r="B1945" s="90">
        <v>1941</v>
      </c>
      <c r="C1945" s="39">
        <f t="shared" si="60"/>
        <v>6924312.7572286129</v>
      </c>
      <c r="D1945" s="39">
        <f t="shared" si="61"/>
        <v>6150768.1811020505</v>
      </c>
    </row>
    <row r="1946" spans="2:4" x14ac:dyDescent="0.25">
      <c r="B1946" s="90">
        <v>1942</v>
      </c>
      <c r="C1946" s="39">
        <f t="shared" si="60"/>
        <v>6926975.6695198184</v>
      </c>
      <c r="D1946" s="39">
        <f t="shared" si="61"/>
        <v>6153937.046728584</v>
      </c>
    </row>
    <row r="1947" spans="2:4" x14ac:dyDescent="0.25">
      <c r="B1947" s="90">
        <v>1943</v>
      </c>
      <c r="C1947" s="39">
        <f t="shared" si="60"/>
        <v>6929638.5818110229</v>
      </c>
      <c r="D1947" s="39">
        <f t="shared" si="61"/>
        <v>6157105.9123551175</v>
      </c>
    </row>
    <row r="1948" spans="2:4" x14ac:dyDescent="0.25">
      <c r="B1948" s="90">
        <v>1944</v>
      </c>
      <c r="C1948" s="39">
        <f t="shared" si="60"/>
        <v>6932301.4941022275</v>
      </c>
      <c r="D1948" s="39">
        <f t="shared" si="61"/>
        <v>6160274.777981651</v>
      </c>
    </row>
    <row r="1949" spans="2:4" x14ac:dyDescent="0.25">
      <c r="B1949" s="90">
        <v>1945</v>
      </c>
      <c r="C1949" s="39">
        <f t="shared" si="60"/>
        <v>6934964.406393433</v>
      </c>
      <c r="D1949" s="39">
        <f t="shared" si="61"/>
        <v>6163443.6436081855</v>
      </c>
    </row>
    <row r="1950" spans="2:4" x14ac:dyDescent="0.25">
      <c r="B1950" s="90">
        <v>1946</v>
      </c>
      <c r="C1950" s="39">
        <f t="shared" si="60"/>
        <v>6937627.3186846375</v>
      </c>
      <c r="D1950" s="39">
        <f t="shared" si="61"/>
        <v>6166612.509234719</v>
      </c>
    </row>
    <row r="1951" spans="2:4" x14ac:dyDescent="0.25">
      <c r="B1951" s="90">
        <v>1947</v>
      </c>
      <c r="C1951" s="39">
        <f t="shared" si="60"/>
        <v>6940290.2309758421</v>
      </c>
      <c r="D1951" s="39">
        <f t="shared" si="61"/>
        <v>6169781.3748612525</v>
      </c>
    </row>
    <row r="1952" spans="2:4" x14ac:dyDescent="0.25">
      <c r="B1952" s="90">
        <v>1948</v>
      </c>
      <c r="C1952" s="39">
        <f t="shared" si="60"/>
        <v>6942953.1432670476</v>
      </c>
      <c r="D1952" s="39">
        <f t="shared" si="61"/>
        <v>6172950.2404877869</v>
      </c>
    </row>
    <row r="1953" spans="2:4" x14ac:dyDescent="0.25">
      <c r="B1953" s="90">
        <v>1949</v>
      </c>
      <c r="C1953" s="39">
        <f t="shared" si="60"/>
        <v>6945616.0555582521</v>
      </c>
      <c r="D1953" s="39">
        <f t="shared" si="61"/>
        <v>6176119.1061143205</v>
      </c>
    </row>
    <row r="1954" spans="2:4" x14ac:dyDescent="0.25">
      <c r="B1954" s="90">
        <v>1950</v>
      </c>
      <c r="C1954" s="39">
        <f t="shared" si="60"/>
        <v>6948278.9678494567</v>
      </c>
      <c r="D1954" s="39">
        <f t="shared" si="61"/>
        <v>6179287.971740854</v>
      </c>
    </row>
    <row r="1955" spans="2:4" x14ac:dyDescent="0.25">
      <c r="B1955" s="90">
        <v>1951</v>
      </c>
      <c r="C1955" s="39">
        <f t="shared" si="60"/>
        <v>6950941.8801406613</v>
      </c>
      <c r="D1955" s="39">
        <f t="shared" si="61"/>
        <v>6182456.8373673875</v>
      </c>
    </row>
    <row r="1956" spans="2:4" x14ac:dyDescent="0.25">
      <c r="B1956" s="90">
        <v>1952</v>
      </c>
      <c r="C1956" s="39">
        <f t="shared" si="60"/>
        <v>6953604.7924318668</v>
      </c>
      <c r="D1956" s="39">
        <f t="shared" si="61"/>
        <v>6185625.7029939219</v>
      </c>
    </row>
    <row r="1957" spans="2:4" x14ac:dyDescent="0.25">
      <c r="B1957" s="90">
        <v>1953</v>
      </c>
      <c r="C1957" s="39">
        <f t="shared" si="60"/>
        <v>6956267.7047230713</v>
      </c>
      <c r="D1957" s="39">
        <f t="shared" si="61"/>
        <v>6188794.5686204555</v>
      </c>
    </row>
    <row r="1958" spans="2:4" x14ac:dyDescent="0.25">
      <c r="B1958" s="90">
        <v>1954</v>
      </c>
      <c r="C1958" s="39">
        <f t="shared" si="60"/>
        <v>6958930.6170142759</v>
      </c>
      <c r="D1958" s="39">
        <f t="shared" si="61"/>
        <v>6191963.434246989</v>
      </c>
    </row>
    <row r="1959" spans="2:4" x14ac:dyDescent="0.25">
      <c r="B1959" s="90">
        <v>1955</v>
      </c>
      <c r="C1959" s="39">
        <f t="shared" si="60"/>
        <v>6961593.5293054814</v>
      </c>
      <c r="D1959" s="39">
        <f t="shared" si="61"/>
        <v>6195132.2998735225</v>
      </c>
    </row>
    <row r="1960" spans="2:4" x14ac:dyDescent="0.25">
      <c r="B1960" s="90">
        <v>1956</v>
      </c>
      <c r="C1960" s="39">
        <f t="shared" si="60"/>
        <v>6964256.4415966859</v>
      </c>
      <c r="D1960" s="39">
        <f t="shared" si="61"/>
        <v>6198301.1655000569</v>
      </c>
    </row>
    <row r="1961" spans="2:4" x14ac:dyDescent="0.25">
      <c r="B1961" s="90">
        <v>1957</v>
      </c>
      <c r="C1961" s="39">
        <f t="shared" si="60"/>
        <v>6966919.3538878905</v>
      </c>
      <c r="D1961" s="39">
        <f t="shared" si="61"/>
        <v>6201470.0311265904</v>
      </c>
    </row>
    <row r="1962" spans="2:4" x14ac:dyDescent="0.25">
      <c r="B1962" s="90">
        <v>1958</v>
      </c>
      <c r="C1962" s="39">
        <f t="shared" si="60"/>
        <v>6969582.266179096</v>
      </c>
      <c r="D1962" s="39">
        <f t="shared" si="61"/>
        <v>6204638.896753124</v>
      </c>
    </row>
    <row r="1963" spans="2:4" x14ac:dyDescent="0.25">
      <c r="B1963" s="90">
        <v>1959</v>
      </c>
      <c r="C1963" s="39">
        <f t="shared" si="60"/>
        <v>6972245.1784703005</v>
      </c>
      <c r="D1963" s="39">
        <f t="shared" si="61"/>
        <v>6207807.7623796584</v>
      </c>
    </row>
    <row r="1964" spans="2:4" x14ac:dyDescent="0.25">
      <c r="B1964" s="90">
        <v>1960</v>
      </c>
      <c r="C1964" s="39">
        <f t="shared" si="60"/>
        <v>6974908.0907615051</v>
      </c>
      <c r="D1964" s="39">
        <f t="shared" si="61"/>
        <v>6210976.6280061919</v>
      </c>
    </row>
    <row r="1965" spans="2:4" x14ac:dyDescent="0.25">
      <c r="B1965" s="90">
        <v>1961</v>
      </c>
      <c r="C1965" s="39">
        <f t="shared" si="60"/>
        <v>6977571.0030527106</v>
      </c>
      <c r="D1965" s="39">
        <f t="shared" si="61"/>
        <v>6214145.4936327254</v>
      </c>
    </row>
    <row r="1966" spans="2:4" x14ac:dyDescent="0.25">
      <c r="B1966" s="90">
        <v>1962</v>
      </c>
      <c r="C1966" s="39">
        <f t="shared" si="60"/>
        <v>6980233.9153439151</v>
      </c>
      <c r="D1966" s="39">
        <f t="shared" si="61"/>
        <v>6217314.359259259</v>
      </c>
    </row>
    <row r="1967" spans="2:4" x14ac:dyDescent="0.25">
      <c r="B1967" s="90">
        <v>1963</v>
      </c>
      <c r="C1967" s="39">
        <f t="shared" si="60"/>
        <v>6982896.8276351197</v>
      </c>
      <c r="D1967" s="39">
        <f t="shared" si="61"/>
        <v>6220483.2248857934</v>
      </c>
    </row>
    <row r="1968" spans="2:4" x14ac:dyDescent="0.25">
      <c r="B1968" s="90">
        <v>1964</v>
      </c>
      <c r="C1968" s="39">
        <f t="shared" si="60"/>
        <v>6985559.7399263252</v>
      </c>
      <c r="D1968" s="39">
        <f t="shared" si="61"/>
        <v>6223652.0905123269</v>
      </c>
    </row>
    <row r="1969" spans="2:4" x14ac:dyDescent="0.25">
      <c r="B1969" s="90">
        <v>1965</v>
      </c>
      <c r="C1969" s="39">
        <f t="shared" ref="C1969:C2032" si="62">($C$2*B1969)+$C$1</f>
        <v>6988222.6522175297</v>
      </c>
      <c r="D1969" s="39">
        <f t="shared" ref="D1969:D2032" si="63">$D$2*B1969</f>
        <v>6226820.9561388604</v>
      </c>
    </row>
    <row r="1970" spans="2:4" x14ac:dyDescent="0.25">
      <c r="B1970" s="90">
        <v>1966</v>
      </c>
      <c r="C1970" s="39">
        <f t="shared" si="62"/>
        <v>6990885.5645087343</v>
      </c>
      <c r="D1970" s="39">
        <f t="shared" si="63"/>
        <v>6229989.821765394</v>
      </c>
    </row>
    <row r="1971" spans="2:4" x14ac:dyDescent="0.25">
      <c r="B1971" s="90">
        <v>1967</v>
      </c>
      <c r="C1971" s="39">
        <f t="shared" si="62"/>
        <v>6993548.4767999398</v>
      </c>
      <c r="D1971" s="39">
        <f t="shared" si="63"/>
        <v>6233158.6873919284</v>
      </c>
    </row>
    <row r="1972" spans="2:4" x14ac:dyDescent="0.25">
      <c r="B1972" s="90">
        <v>1968</v>
      </c>
      <c r="C1972" s="39">
        <f t="shared" si="62"/>
        <v>6996211.3890911443</v>
      </c>
      <c r="D1972" s="39">
        <f t="shared" si="63"/>
        <v>6236327.5530184619</v>
      </c>
    </row>
    <row r="1973" spans="2:4" x14ac:dyDescent="0.25">
      <c r="B1973" s="90">
        <v>1969</v>
      </c>
      <c r="C1973" s="39">
        <f t="shared" si="62"/>
        <v>6998874.3013823489</v>
      </c>
      <c r="D1973" s="39">
        <f t="shared" si="63"/>
        <v>6239496.4186449954</v>
      </c>
    </row>
    <row r="1974" spans="2:4" x14ac:dyDescent="0.25">
      <c r="B1974" s="90">
        <v>1970</v>
      </c>
      <c r="C1974" s="39">
        <f t="shared" si="62"/>
        <v>7001537.2136735534</v>
      </c>
      <c r="D1974" s="39">
        <f t="shared" si="63"/>
        <v>6242665.2842715299</v>
      </c>
    </row>
    <row r="1975" spans="2:4" x14ac:dyDescent="0.25">
      <c r="B1975" s="90">
        <v>1971</v>
      </c>
      <c r="C1975" s="39">
        <f t="shared" si="62"/>
        <v>7004200.1259647589</v>
      </c>
      <c r="D1975" s="39">
        <f t="shared" si="63"/>
        <v>6245834.1498980634</v>
      </c>
    </row>
    <row r="1976" spans="2:4" x14ac:dyDescent="0.25">
      <c r="B1976" s="90">
        <v>1972</v>
      </c>
      <c r="C1976" s="39">
        <f t="shared" si="62"/>
        <v>7006863.0382559635</v>
      </c>
      <c r="D1976" s="39">
        <f t="shared" si="63"/>
        <v>6249003.0155245969</v>
      </c>
    </row>
    <row r="1977" spans="2:4" x14ac:dyDescent="0.25">
      <c r="B1977" s="90">
        <v>1973</v>
      </c>
      <c r="C1977" s="39">
        <f t="shared" si="62"/>
        <v>7009525.950547168</v>
      </c>
      <c r="D1977" s="39">
        <f t="shared" si="63"/>
        <v>6252171.8811511304</v>
      </c>
    </row>
    <row r="1978" spans="2:4" x14ac:dyDescent="0.25">
      <c r="B1978" s="90">
        <v>1974</v>
      </c>
      <c r="C1978" s="39">
        <f t="shared" si="62"/>
        <v>7012188.8628383735</v>
      </c>
      <c r="D1978" s="39">
        <f t="shared" si="63"/>
        <v>6255340.7467776649</v>
      </c>
    </row>
    <row r="1979" spans="2:4" x14ac:dyDescent="0.25">
      <c r="B1979" s="90">
        <v>1975</v>
      </c>
      <c r="C1979" s="39">
        <f t="shared" si="62"/>
        <v>7014851.7751295781</v>
      </c>
      <c r="D1979" s="39">
        <f t="shared" si="63"/>
        <v>6258509.6124041984</v>
      </c>
    </row>
    <row r="1980" spans="2:4" x14ac:dyDescent="0.25">
      <c r="B1980" s="90">
        <v>1976</v>
      </c>
      <c r="C1980" s="39">
        <f t="shared" si="62"/>
        <v>7017514.6874207826</v>
      </c>
      <c r="D1980" s="39">
        <f t="shared" si="63"/>
        <v>6261678.4780307319</v>
      </c>
    </row>
    <row r="1981" spans="2:4" x14ac:dyDescent="0.25">
      <c r="B1981" s="90">
        <v>1977</v>
      </c>
      <c r="C1981" s="39">
        <f t="shared" si="62"/>
        <v>7020177.5997119881</v>
      </c>
      <c r="D1981" s="39">
        <f t="shared" si="63"/>
        <v>6264847.3436572663</v>
      </c>
    </row>
    <row r="1982" spans="2:4" x14ac:dyDescent="0.25">
      <c r="B1982" s="90">
        <v>1978</v>
      </c>
      <c r="C1982" s="39">
        <f t="shared" si="62"/>
        <v>7022840.5120031927</v>
      </c>
      <c r="D1982" s="39">
        <f t="shared" si="63"/>
        <v>6268016.2092837999</v>
      </c>
    </row>
    <row r="1983" spans="2:4" x14ac:dyDescent="0.25">
      <c r="B1983" s="90">
        <v>1979</v>
      </c>
      <c r="C1983" s="39">
        <f t="shared" si="62"/>
        <v>7025503.4242943972</v>
      </c>
      <c r="D1983" s="39">
        <f t="shared" si="63"/>
        <v>6271185.0749103334</v>
      </c>
    </row>
    <row r="1984" spans="2:4" x14ac:dyDescent="0.25">
      <c r="B1984" s="90">
        <v>1980</v>
      </c>
      <c r="C1984" s="39">
        <f t="shared" si="62"/>
        <v>7028166.3365856027</v>
      </c>
      <c r="D1984" s="39">
        <f t="shared" si="63"/>
        <v>6274353.9405368669</v>
      </c>
    </row>
    <row r="1985" spans="2:4" x14ac:dyDescent="0.25">
      <c r="B1985" s="90">
        <v>1981</v>
      </c>
      <c r="C1985" s="39">
        <f t="shared" si="62"/>
        <v>7030829.2488768073</v>
      </c>
      <c r="D1985" s="39">
        <f t="shared" si="63"/>
        <v>6277522.8061634013</v>
      </c>
    </row>
    <row r="1986" spans="2:4" x14ac:dyDescent="0.25">
      <c r="B1986" s="90">
        <v>1982</v>
      </c>
      <c r="C1986" s="39">
        <f t="shared" si="62"/>
        <v>7033492.1611680118</v>
      </c>
      <c r="D1986" s="39">
        <f t="shared" si="63"/>
        <v>6280691.6717899349</v>
      </c>
    </row>
    <row r="1987" spans="2:4" x14ac:dyDescent="0.25">
      <c r="B1987" s="90">
        <v>1983</v>
      </c>
      <c r="C1987" s="39">
        <f t="shared" si="62"/>
        <v>7036155.0734592173</v>
      </c>
      <c r="D1987" s="39">
        <f t="shared" si="63"/>
        <v>6283860.5374164684</v>
      </c>
    </row>
    <row r="1988" spans="2:4" x14ac:dyDescent="0.25">
      <c r="B1988" s="90">
        <v>1984</v>
      </c>
      <c r="C1988" s="39">
        <f t="shared" si="62"/>
        <v>7038817.9857504219</v>
      </c>
      <c r="D1988" s="39">
        <f t="shared" si="63"/>
        <v>6287029.4030430019</v>
      </c>
    </row>
    <row r="1989" spans="2:4" x14ac:dyDescent="0.25">
      <c r="B1989" s="90">
        <v>1985</v>
      </c>
      <c r="C1989" s="39">
        <f t="shared" si="62"/>
        <v>7041480.8980416264</v>
      </c>
      <c r="D1989" s="39">
        <f t="shared" si="63"/>
        <v>6290198.2686695363</v>
      </c>
    </row>
    <row r="1990" spans="2:4" x14ac:dyDescent="0.25">
      <c r="B1990" s="90">
        <v>1986</v>
      </c>
      <c r="C1990" s="39">
        <f t="shared" si="62"/>
        <v>7044143.8103328319</v>
      </c>
      <c r="D1990" s="39">
        <f t="shared" si="63"/>
        <v>6293367.1342960699</v>
      </c>
    </row>
    <row r="1991" spans="2:4" x14ac:dyDescent="0.25">
      <c r="B1991" s="90">
        <v>1987</v>
      </c>
      <c r="C1991" s="39">
        <f t="shared" si="62"/>
        <v>7046806.7226240365</v>
      </c>
      <c r="D1991" s="39">
        <f t="shared" si="63"/>
        <v>6296535.9999226034</v>
      </c>
    </row>
    <row r="1992" spans="2:4" x14ac:dyDescent="0.25">
      <c r="B1992" s="90">
        <v>1988</v>
      </c>
      <c r="C1992" s="39">
        <f t="shared" si="62"/>
        <v>7049469.634915241</v>
      </c>
      <c r="D1992" s="39">
        <f t="shared" si="63"/>
        <v>6299704.8655491378</v>
      </c>
    </row>
    <row r="1993" spans="2:4" x14ac:dyDescent="0.25">
      <c r="B1993" s="90">
        <v>1989</v>
      </c>
      <c r="C1993" s="39">
        <f t="shared" si="62"/>
        <v>7052132.5472064456</v>
      </c>
      <c r="D1993" s="39">
        <f t="shared" si="63"/>
        <v>6302873.7311756713</v>
      </c>
    </row>
    <row r="1994" spans="2:4" x14ac:dyDescent="0.25">
      <c r="B1994" s="90">
        <v>1990</v>
      </c>
      <c r="C1994" s="39">
        <f t="shared" si="62"/>
        <v>7054795.4594976511</v>
      </c>
      <c r="D1994" s="39">
        <f t="shared" si="63"/>
        <v>6306042.5968022048</v>
      </c>
    </row>
    <row r="1995" spans="2:4" x14ac:dyDescent="0.25">
      <c r="B1995" s="90">
        <v>1991</v>
      </c>
      <c r="C1995" s="39">
        <f t="shared" si="62"/>
        <v>7057458.3717888556</v>
      </c>
      <c r="D1995" s="39">
        <f t="shared" si="63"/>
        <v>6309211.4624287384</v>
      </c>
    </row>
    <row r="1996" spans="2:4" x14ac:dyDescent="0.25">
      <c r="B1996" s="90">
        <v>1992</v>
      </c>
      <c r="C1996" s="39">
        <f t="shared" si="62"/>
        <v>7060121.2840800602</v>
      </c>
      <c r="D1996" s="39">
        <f t="shared" si="63"/>
        <v>6312380.3280552728</v>
      </c>
    </row>
    <row r="1997" spans="2:4" x14ac:dyDescent="0.25">
      <c r="B1997" s="90">
        <v>1993</v>
      </c>
      <c r="C1997" s="39">
        <f t="shared" si="62"/>
        <v>7062784.1963712657</v>
      </c>
      <c r="D1997" s="39">
        <f t="shared" si="63"/>
        <v>6315549.1936818063</v>
      </c>
    </row>
    <row r="1998" spans="2:4" x14ac:dyDescent="0.25">
      <c r="B1998" s="90">
        <v>1994</v>
      </c>
      <c r="C1998" s="39">
        <f t="shared" si="62"/>
        <v>7065447.1086624702</v>
      </c>
      <c r="D1998" s="39">
        <f t="shared" si="63"/>
        <v>6318718.0593083398</v>
      </c>
    </row>
    <row r="1999" spans="2:4" x14ac:dyDescent="0.25">
      <c r="B1999" s="90">
        <v>1995</v>
      </c>
      <c r="C1999" s="39">
        <f t="shared" si="62"/>
        <v>7068110.0209536748</v>
      </c>
      <c r="D1999" s="39">
        <f t="shared" si="63"/>
        <v>6321886.9249348734</v>
      </c>
    </row>
    <row r="2000" spans="2:4" x14ac:dyDescent="0.25">
      <c r="B2000" s="90">
        <v>1996</v>
      </c>
      <c r="C2000" s="39">
        <f t="shared" si="62"/>
        <v>7070772.9332448803</v>
      </c>
      <c r="D2000" s="39">
        <f t="shared" si="63"/>
        <v>6325055.7905614078</v>
      </c>
    </row>
    <row r="2001" spans="2:4" x14ac:dyDescent="0.25">
      <c r="B2001" s="90">
        <v>1997</v>
      </c>
      <c r="C2001" s="39">
        <f t="shared" si="62"/>
        <v>7073435.8455360848</v>
      </c>
      <c r="D2001" s="39">
        <f t="shared" si="63"/>
        <v>6328224.6561879413</v>
      </c>
    </row>
    <row r="2002" spans="2:4" x14ac:dyDescent="0.25">
      <c r="B2002" s="90">
        <v>1998</v>
      </c>
      <c r="C2002" s="39">
        <f t="shared" si="62"/>
        <v>7076098.7578272894</v>
      </c>
      <c r="D2002" s="39">
        <f t="shared" si="63"/>
        <v>6331393.5218144748</v>
      </c>
    </row>
    <row r="2003" spans="2:4" x14ac:dyDescent="0.25">
      <c r="B2003" s="90">
        <v>1999</v>
      </c>
      <c r="C2003" s="39">
        <f t="shared" si="62"/>
        <v>7078761.6701184949</v>
      </c>
      <c r="D2003" s="39">
        <f t="shared" si="63"/>
        <v>6334562.3874410093</v>
      </c>
    </row>
    <row r="2004" spans="2:4" x14ac:dyDescent="0.25">
      <c r="B2004" s="90">
        <v>2000</v>
      </c>
      <c r="C2004" s="39">
        <f t="shared" si="62"/>
        <v>7081424.5824096994</v>
      </c>
      <c r="D2004" s="39">
        <f t="shared" si="63"/>
        <v>6337731.2530675428</v>
      </c>
    </row>
    <row r="2005" spans="2:4" x14ac:dyDescent="0.25">
      <c r="B2005" s="90">
        <v>2001</v>
      </c>
      <c r="C2005" s="39">
        <f t="shared" si="62"/>
        <v>7084087.494700904</v>
      </c>
      <c r="D2005" s="39">
        <f t="shared" si="63"/>
        <v>6340900.1186940763</v>
      </c>
    </row>
    <row r="2006" spans="2:4" x14ac:dyDescent="0.25">
      <c r="B2006" s="90">
        <v>2002</v>
      </c>
      <c r="C2006" s="39">
        <f t="shared" si="62"/>
        <v>7086750.4069921095</v>
      </c>
      <c r="D2006" s="39">
        <f t="shared" si="63"/>
        <v>6344068.9843206098</v>
      </c>
    </row>
    <row r="2007" spans="2:4" x14ac:dyDescent="0.25">
      <c r="B2007" s="90">
        <v>2003</v>
      </c>
      <c r="C2007" s="39">
        <f t="shared" si="62"/>
        <v>7089413.319283314</v>
      </c>
      <c r="D2007" s="39">
        <f t="shared" si="63"/>
        <v>6347237.8499471443</v>
      </c>
    </row>
    <row r="2008" spans="2:4" x14ac:dyDescent="0.25">
      <c r="B2008" s="90">
        <v>2004</v>
      </c>
      <c r="C2008" s="39">
        <f t="shared" si="62"/>
        <v>7092076.2315745186</v>
      </c>
      <c r="D2008" s="39">
        <f t="shared" si="63"/>
        <v>6350406.7155736778</v>
      </c>
    </row>
    <row r="2009" spans="2:4" x14ac:dyDescent="0.25">
      <c r="B2009" s="90">
        <v>2005</v>
      </c>
      <c r="C2009" s="39">
        <f t="shared" si="62"/>
        <v>7094739.1438657232</v>
      </c>
      <c r="D2009" s="39">
        <f t="shared" si="63"/>
        <v>6353575.5812002113</v>
      </c>
    </row>
    <row r="2010" spans="2:4" x14ac:dyDescent="0.25">
      <c r="B2010" s="90">
        <v>2006</v>
      </c>
      <c r="C2010" s="39">
        <f t="shared" si="62"/>
        <v>7097402.0561569287</v>
      </c>
      <c r="D2010" s="39">
        <f t="shared" si="63"/>
        <v>6356744.4468267448</v>
      </c>
    </row>
    <row r="2011" spans="2:4" x14ac:dyDescent="0.25">
      <c r="B2011" s="90">
        <v>2007</v>
      </c>
      <c r="C2011" s="39">
        <f t="shared" si="62"/>
        <v>7100064.9684481332</v>
      </c>
      <c r="D2011" s="39">
        <f t="shared" si="63"/>
        <v>6359913.3124532793</v>
      </c>
    </row>
    <row r="2012" spans="2:4" x14ac:dyDescent="0.25">
      <c r="B2012" s="90">
        <v>2008</v>
      </c>
      <c r="C2012" s="39">
        <f t="shared" si="62"/>
        <v>7102727.8807393378</v>
      </c>
      <c r="D2012" s="39">
        <f t="shared" si="63"/>
        <v>6363082.1780798128</v>
      </c>
    </row>
    <row r="2013" spans="2:4" x14ac:dyDescent="0.25">
      <c r="B2013" s="90">
        <v>2009</v>
      </c>
      <c r="C2013" s="39">
        <f t="shared" si="62"/>
        <v>7105390.7930305433</v>
      </c>
      <c r="D2013" s="39">
        <f t="shared" si="63"/>
        <v>6366251.0437063463</v>
      </c>
    </row>
    <row r="2014" spans="2:4" x14ac:dyDescent="0.25">
      <c r="B2014" s="90">
        <v>2010</v>
      </c>
      <c r="C2014" s="39">
        <f t="shared" si="62"/>
        <v>7108053.7053217478</v>
      </c>
      <c r="D2014" s="39">
        <f t="shared" si="63"/>
        <v>6369419.9093328808</v>
      </c>
    </row>
    <row r="2015" spans="2:4" x14ac:dyDescent="0.25">
      <c r="B2015" s="90">
        <v>2011</v>
      </c>
      <c r="C2015" s="39">
        <f t="shared" si="62"/>
        <v>7110716.6176129524</v>
      </c>
      <c r="D2015" s="39">
        <f t="shared" si="63"/>
        <v>6372588.7749594143</v>
      </c>
    </row>
    <row r="2016" spans="2:4" x14ac:dyDescent="0.25">
      <c r="B2016" s="90">
        <v>2012</v>
      </c>
      <c r="C2016" s="39">
        <f t="shared" si="62"/>
        <v>7113379.5299041579</v>
      </c>
      <c r="D2016" s="39">
        <f t="shared" si="63"/>
        <v>6375757.6405859478</v>
      </c>
    </row>
    <row r="2017" spans="2:4" x14ac:dyDescent="0.25">
      <c r="B2017" s="90">
        <v>2013</v>
      </c>
      <c r="C2017" s="39">
        <f t="shared" si="62"/>
        <v>7116042.4421953624</v>
      </c>
      <c r="D2017" s="39">
        <f t="shared" si="63"/>
        <v>6378926.5062124813</v>
      </c>
    </row>
    <row r="2018" spans="2:4" x14ac:dyDescent="0.25">
      <c r="B2018" s="90">
        <v>2014</v>
      </c>
      <c r="C2018" s="39">
        <f t="shared" si="62"/>
        <v>7118705.354486567</v>
      </c>
      <c r="D2018" s="39">
        <f t="shared" si="63"/>
        <v>6382095.3718390157</v>
      </c>
    </row>
    <row r="2019" spans="2:4" x14ac:dyDescent="0.25">
      <c r="B2019" s="90">
        <v>2015</v>
      </c>
      <c r="C2019" s="39">
        <f t="shared" si="62"/>
        <v>7121368.2667777725</v>
      </c>
      <c r="D2019" s="39">
        <f t="shared" si="63"/>
        <v>6385264.2374655493</v>
      </c>
    </row>
    <row r="2020" spans="2:4" x14ac:dyDescent="0.25">
      <c r="B2020" s="90">
        <v>2016</v>
      </c>
      <c r="C2020" s="39">
        <f t="shared" si="62"/>
        <v>7124031.179068977</v>
      </c>
      <c r="D2020" s="39">
        <f t="shared" si="63"/>
        <v>6388433.1030920828</v>
      </c>
    </row>
    <row r="2021" spans="2:4" x14ac:dyDescent="0.25">
      <c r="B2021" s="90">
        <v>2017</v>
      </c>
      <c r="C2021" s="39">
        <f t="shared" si="62"/>
        <v>7126694.0913601816</v>
      </c>
      <c r="D2021" s="39">
        <f t="shared" si="63"/>
        <v>6391601.9687186163</v>
      </c>
    </row>
    <row r="2022" spans="2:4" x14ac:dyDescent="0.25">
      <c r="B2022" s="90">
        <v>2018</v>
      </c>
      <c r="C2022" s="39">
        <f t="shared" si="62"/>
        <v>7129357.0036513871</v>
      </c>
      <c r="D2022" s="39">
        <f t="shared" si="63"/>
        <v>6394770.8343451507</v>
      </c>
    </row>
    <row r="2023" spans="2:4" x14ac:dyDescent="0.25">
      <c r="B2023" s="90">
        <v>2019</v>
      </c>
      <c r="C2023" s="39">
        <f t="shared" si="62"/>
        <v>7132019.9159425916</v>
      </c>
      <c r="D2023" s="39">
        <f t="shared" si="63"/>
        <v>6397939.6999716843</v>
      </c>
    </row>
    <row r="2024" spans="2:4" x14ac:dyDescent="0.25">
      <c r="B2024" s="90">
        <v>2020</v>
      </c>
      <c r="C2024" s="39">
        <f t="shared" si="62"/>
        <v>7134682.8282337962</v>
      </c>
      <c r="D2024" s="39">
        <f t="shared" si="63"/>
        <v>6401108.5655982178</v>
      </c>
    </row>
    <row r="2025" spans="2:4" x14ac:dyDescent="0.25">
      <c r="B2025" s="90">
        <v>2021</v>
      </c>
      <c r="C2025" s="39">
        <f t="shared" si="62"/>
        <v>7137345.7405250017</v>
      </c>
      <c r="D2025" s="39">
        <f t="shared" si="63"/>
        <v>6404277.4312247522</v>
      </c>
    </row>
    <row r="2026" spans="2:4" x14ac:dyDescent="0.25">
      <c r="B2026" s="90">
        <v>2022</v>
      </c>
      <c r="C2026" s="39">
        <f t="shared" si="62"/>
        <v>7140008.6528162062</v>
      </c>
      <c r="D2026" s="39">
        <f t="shared" si="63"/>
        <v>6407446.2968512857</v>
      </c>
    </row>
    <row r="2027" spans="2:4" x14ac:dyDescent="0.25">
      <c r="B2027" s="90">
        <v>2023</v>
      </c>
      <c r="C2027" s="39">
        <f t="shared" si="62"/>
        <v>7142671.5651074108</v>
      </c>
      <c r="D2027" s="39">
        <f t="shared" si="63"/>
        <v>6410615.1624778192</v>
      </c>
    </row>
    <row r="2028" spans="2:4" x14ac:dyDescent="0.25">
      <c r="B2028" s="90">
        <v>2024</v>
      </c>
      <c r="C2028" s="39">
        <f t="shared" si="62"/>
        <v>7145334.4773986153</v>
      </c>
      <c r="D2028" s="39">
        <f t="shared" si="63"/>
        <v>6413784.0281043528</v>
      </c>
    </row>
    <row r="2029" spans="2:4" x14ac:dyDescent="0.25">
      <c r="B2029" s="90">
        <v>2025</v>
      </c>
      <c r="C2029" s="39">
        <f t="shared" si="62"/>
        <v>7147997.3896898208</v>
      </c>
      <c r="D2029" s="39">
        <f t="shared" si="63"/>
        <v>6416952.8937308872</v>
      </c>
    </row>
    <row r="2030" spans="2:4" x14ac:dyDescent="0.25">
      <c r="B2030" s="90">
        <v>2026</v>
      </c>
      <c r="C2030" s="39">
        <f t="shared" si="62"/>
        <v>7150660.3019810254</v>
      </c>
      <c r="D2030" s="39">
        <f t="shared" si="63"/>
        <v>6420121.7593574207</v>
      </c>
    </row>
    <row r="2031" spans="2:4" x14ac:dyDescent="0.25">
      <c r="B2031" s="90">
        <v>2027</v>
      </c>
      <c r="C2031" s="39">
        <f t="shared" si="62"/>
        <v>7153323.2142722299</v>
      </c>
      <c r="D2031" s="39">
        <f t="shared" si="63"/>
        <v>6423290.6249839542</v>
      </c>
    </row>
    <row r="2032" spans="2:4" x14ac:dyDescent="0.25">
      <c r="B2032" s="90">
        <v>2028</v>
      </c>
      <c r="C2032" s="39">
        <f t="shared" si="62"/>
        <v>7155986.1265634354</v>
      </c>
      <c r="D2032" s="39">
        <f t="shared" si="63"/>
        <v>6426459.4906104887</v>
      </c>
    </row>
    <row r="2033" spans="2:4" x14ac:dyDescent="0.25">
      <c r="B2033" s="90">
        <v>2029</v>
      </c>
      <c r="C2033" s="39">
        <f t="shared" ref="C2033:C2096" si="64">($C$2*B2033)+$C$1</f>
        <v>7158649.03885464</v>
      </c>
      <c r="D2033" s="39">
        <f t="shared" ref="D2033:D2096" si="65">$D$2*B2033</f>
        <v>6429628.3562370222</v>
      </c>
    </row>
    <row r="2034" spans="2:4" x14ac:dyDescent="0.25">
      <c r="B2034" s="90">
        <v>2030</v>
      </c>
      <c r="C2034" s="39">
        <f t="shared" si="64"/>
        <v>7161311.9511458445</v>
      </c>
      <c r="D2034" s="39">
        <f t="shared" si="65"/>
        <v>6432797.2218635557</v>
      </c>
    </row>
    <row r="2035" spans="2:4" x14ac:dyDescent="0.25">
      <c r="B2035" s="90">
        <v>2031</v>
      </c>
      <c r="C2035" s="39">
        <f t="shared" si="64"/>
        <v>7163974.86343705</v>
      </c>
      <c r="D2035" s="39">
        <f t="shared" si="65"/>
        <v>6435966.0874900892</v>
      </c>
    </row>
    <row r="2036" spans="2:4" x14ac:dyDescent="0.25">
      <c r="B2036" s="90">
        <v>2032</v>
      </c>
      <c r="C2036" s="39">
        <f t="shared" si="64"/>
        <v>7166637.7757282546</v>
      </c>
      <c r="D2036" s="39">
        <f t="shared" si="65"/>
        <v>6439134.9531166237</v>
      </c>
    </row>
    <row r="2037" spans="2:4" x14ac:dyDescent="0.25">
      <c r="B2037" s="90">
        <v>2033</v>
      </c>
      <c r="C2037" s="39">
        <f t="shared" si="64"/>
        <v>7169300.6880194591</v>
      </c>
      <c r="D2037" s="39">
        <f t="shared" si="65"/>
        <v>6442303.8187431572</v>
      </c>
    </row>
    <row r="2038" spans="2:4" x14ac:dyDescent="0.25">
      <c r="B2038" s="90">
        <v>2034</v>
      </c>
      <c r="C2038" s="39">
        <f t="shared" si="64"/>
        <v>7171963.6003106646</v>
      </c>
      <c r="D2038" s="39">
        <f t="shared" si="65"/>
        <v>6445472.6843696907</v>
      </c>
    </row>
    <row r="2039" spans="2:4" x14ac:dyDescent="0.25">
      <c r="B2039" s="90">
        <v>2035</v>
      </c>
      <c r="C2039" s="39">
        <f t="shared" si="64"/>
        <v>7174626.5126018692</v>
      </c>
      <c r="D2039" s="39">
        <f t="shared" si="65"/>
        <v>6448641.5499962242</v>
      </c>
    </row>
    <row r="2040" spans="2:4" x14ac:dyDescent="0.25">
      <c r="B2040" s="90">
        <v>2036</v>
      </c>
      <c r="C2040" s="39">
        <f t="shared" si="64"/>
        <v>7177289.4248930737</v>
      </c>
      <c r="D2040" s="39">
        <f t="shared" si="65"/>
        <v>6451810.4156227587</v>
      </c>
    </row>
    <row r="2041" spans="2:4" x14ac:dyDescent="0.25">
      <c r="B2041" s="90">
        <v>2037</v>
      </c>
      <c r="C2041" s="39">
        <f t="shared" si="64"/>
        <v>7179952.3371842792</v>
      </c>
      <c r="D2041" s="39">
        <f t="shared" si="65"/>
        <v>6454979.2812492922</v>
      </c>
    </row>
    <row r="2042" spans="2:4" x14ac:dyDescent="0.25">
      <c r="B2042" s="90">
        <v>2038</v>
      </c>
      <c r="C2042" s="39">
        <f t="shared" si="64"/>
        <v>7182615.2494754838</v>
      </c>
      <c r="D2042" s="39">
        <f t="shared" si="65"/>
        <v>6458148.1468758257</v>
      </c>
    </row>
    <row r="2043" spans="2:4" x14ac:dyDescent="0.25">
      <c r="B2043" s="90">
        <v>2039</v>
      </c>
      <c r="C2043" s="39">
        <f t="shared" si="64"/>
        <v>7185278.1617666883</v>
      </c>
      <c r="D2043" s="39">
        <f t="shared" si="65"/>
        <v>6461317.0125023602</v>
      </c>
    </row>
    <row r="2044" spans="2:4" x14ac:dyDescent="0.25">
      <c r="B2044" s="90">
        <v>2040</v>
      </c>
      <c r="C2044" s="39">
        <f t="shared" si="64"/>
        <v>7187941.0740578929</v>
      </c>
      <c r="D2044" s="39">
        <f t="shared" si="65"/>
        <v>6464485.8781288937</v>
      </c>
    </row>
    <row r="2045" spans="2:4" x14ac:dyDescent="0.25">
      <c r="B2045" s="90">
        <v>2041</v>
      </c>
      <c r="C2045" s="39">
        <f t="shared" si="64"/>
        <v>7190603.9863490984</v>
      </c>
      <c r="D2045" s="39">
        <f t="shared" si="65"/>
        <v>6467654.7437554272</v>
      </c>
    </row>
    <row r="2046" spans="2:4" x14ac:dyDescent="0.25">
      <c r="B2046" s="90">
        <v>2042</v>
      </c>
      <c r="C2046" s="39">
        <f t="shared" si="64"/>
        <v>7193266.8986403029</v>
      </c>
      <c r="D2046" s="39">
        <f t="shared" si="65"/>
        <v>6470823.6093819607</v>
      </c>
    </row>
    <row r="2047" spans="2:4" x14ac:dyDescent="0.25">
      <c r="B2047" s="90">
        <v>2043</v>
      </c>
      <c r="C2047" s="39">
        <f t="shared" si="64"/>
        <v>7195929.8109315075</v>
      </c>
      <c r="D2047" s="39">
        <f t="shared" si="65"/>
        <v>6473992.4750084952</v>
      </c>
    </row>
    <row r="2048" spans="2:4" x14ac:dyDescent="0.25">
      <c r="B2048" s="90">
        <v>2044</v>
      </c>
      <c r="C2048" s="39">
        <f t="shared" si="64"/>
        <v>7198592.723222713</v>
      </c>
      <c r="D2048" s="39">
        <f t="shared" si="65"/>
        <v>6477161.3406350287</v>
      </c>
    </row>
    <row r="2049" spans="2:4" x14ac:dyDescent="0.25">
      <c r="B2049" s="90">
        <v>2045</v>
      </c>
      <c r="C2049" s="39">
        <f t="shared" si="64"/>
        <v>7201255.6355139175</v>
      </c>
      <c r="D2049" s="39">
        <f t="shared" si="65"/>
        <v>6480330.2062615622</v>
      </c>
    </row>
    <row r="2050" spans="2:4" x14ac:dyDescent="0.25">
      <c r="B2050" s="90">
        <v>2046</v>
      </c>
      <c r="C2050" s="39">
        <f t="shared" si="64"/>
        <v>7203918.5478051221</v>
      </c>
      <c r="D2050" s="39">
        <f t="shared" si="65"/>
        <v>6483499.0718880957</v>
      </c>
    </row>
    <row r="2051" spans="2:4" x14ac:dyDescent="0.25">
      <c r="B2051" s="90">
        <v>2047</v>
      </c>
      <c r="C2051" s="39">
        <f t="shared" si="64"/>
        <v>7206581.4600963276</v>
      </c>
      <c r="D2051" s="39">
        <f t="shared" si="65"/>
        <v>6486667.9375146301</v>
      </c>
    </row>
    <row r="2052" spans="2:4" x14ac:dyDescent="0.25">
      <c r="B2052" s="90">
        <v>2048</v>
      </c>
      <c r="C2052" s="39">
        <f t="shared" si="64"/>
        <v>7209244.3723875321</v>
      </c>
      <c r="D2052" s="39">
        <f t="shared" si="65"/>
        <v>6489836.8031411637</v>
      </c>
    </row>
    <row r="2053" spans="2:4" x14ac:dyDescent="0.25">
      <c r="B2053" s="90">
        <v>2049</v>
      </c>
      <c r="C2053" s="39">
        <f t="shared" si="64"/>
        <v>7211907.2846787367</v>
      </c>
      <c r="D2053" s="39">
        <f t="shared" si="65"/>
        <v>6493005.6687676972</v>
      </c>
    </row>
    <row r="2054" spans="2:4" x14ac:dyDescent="0.25">
      <c r="B2054" s="90">
        <v>2050</v>
      </c>
      <c r="C2054" s="39">
        <f t="shared" si="64"/>
        <v>7214570.1969699422</v>
      </c>
      <c r="D2054" s="39">
        <f t="shared" si="65"/>
        <v>6496174.5343942316</v>
      </c>
    </row>
    <row r="2055" spans="2:4" x14ac:dyDescent="0.25">
      <c r="B2055" s="90">
        <v>2051</v>
      </c>
      <c r="C2055" s="39">
        <f t="shared" si="64"/>
        <v>7217233.1092611467</v>
      </c>
      <c r="D2055" s="39">
        <f t="shared" si="65"/>
        <v>6499343.4000207651</v>
      </c>
    </row>
    <row r="2056" spans="2:4" x14ac:dyDescent="0.25">
      <c r="B2056" s="90">
        <v>2052</v>
      </c>
      <c r="C2056" s="39">
        <f t="shared" si="64"/>
        <v>7219896.0215523513</v>
      </c>
      <c r="D2056" s="39">
        <f t="shared" si="65"/>
        <v>6502512.2656472987</v>
      </c>
    </row>
    <row r="2057" spans="2:4" x14ac:dyDescent="0.25">
      <c r="B2057" s="90">
        <v>2053</v>
      </c>
      <c r="C2057" s="39">
        <f t="shared" si="64"/>
        <v>7222558.9338435568</v>
      </c>
      <c r="D2057" s="39">
        <f t="shared" si="65"/>
        <v>6505681.1312738322</v>
      </c>
    </row>
    <row r="2058" spans="2:4" x14ac:dyDescent="0.25">
      <c r="B2058" s="90">
        <v>2054</v>
      </c>
      <c r="C2058" s="39">
        <f t="shared" si="64"/>
        <v>7225221.8461347613</v>
      </c>
      <c r="D2058" s="39">
        <f t="shared" si="65"/>
        <v>6508849.9969003666</v>
      </c>
    </row>
    <row r="2059" spans="2:4" x14ac:dyDescent="0.25">
      <c r="B2059" s="90">
        <v>2055</v>
      </c>
      <c r="C2059" s="39">
        <f t="shared" si="64"/>
        <v>7227884.7584259659</v>
      </c>
      <c r="D2059" s="39">
        <f t="shared" si="65"/>
        <v>6512018.8625269001</v>
      </c>
    </row>
    <row r="2060" spans="2:4" x14ac:dyDescent="0.25">
      <c r="B2060" s="90">
        <v>2056</v>
      </c>
      <c r="C2060" s="39">
        <f t="shared" si="64"/>
        <v>7230547.6707171714</v>
      </c>
      <c r="D2060" s="39">
        <f t="shared" si="65"/>
        <v>6515187.7281534337</v>
      </c>
    </row>
    <row r="2061" spans="2:4" x14ac:dyDescent="0.25">
      <c r="B2061" s="90">
        <v>2057</v>
      </c>
      <c r="C2061" s="39">
        <f t="shared" si="64"/>
        <v>7233210.583008376</v>
      </c>
      <c r="D2061" s="39">
        <f t="shared" si="65"/>
        <v>6518356.5937799672</v>
      </c>
    </row>
    <row r="2062" spans="2:4" x14ac:dyDescent="0.25">
      <c r="B2062" s="90">
        <v>2058</v>
      </c>
      <c r="C2062" s="39">
        <f t="shared" si="64"/>
        <v>7235873.4952995805</v>
      </c>
      <c r="D2062" s="39">
        <f t="shared" si="65"/>
        <v>6521525.4594065016</v>
      </c>
    </row>
    <row r="2063" spans="2:4" x14ac:dyDescent="0.25">
      <c r="B2063" s="90">
        <v>2059</v>
      </c>
      <c r="C2063" s="39">
        <f t="shared" si="64"/>
        <v>7238536.4075907851</v>
      </c>
      <c r="D2063" s="39">
        <f t="shared" si="65"/>
        <v>6524694.3250330351</v>
      </c>
    </row>
    <row r="2064" spans="2:4" x14ac:dyDescent="0.25">
      <c r="B2064" s="90">
        <v>2060</v>
      </c>
      <c r="C2064" s="39">
        <f t="shared" si="64"/>
        <v>7241199.3198819906</v>
      </c>
      <c r="D2064" s="39">
        <f t="shared" si="65"/>
        <v>6527863.1906595686</v>
      </c>
    </row>
    <row r="2065" spans="2:4" x14ac:dyDescent="0.25">
      <c r="B2065" s="90">
        <v>2061</v>
      </c>
      <c r="C2065" s="39">
        <f t="shared" si="64"/>
        <v>7243862.2321731951</v>
      </c>
      <c r="D2065" s="39">
        <f t="shared" si="65"/>
        <v>6531032.0562861031</v>
      </c>
    </row>
    <row r="2066" spans="2:4" x14ac:dyDescent="0.25">
      <c r="B2066" s="90">
        <v>2062</v>
      </c>
      <c r="C2066" s="39">
        <f t="shared" si="64"/>
        <v>7246525.1444643997</v>
      </c>
      <c r="D2066" s="39">
        <f t="shared" si="65"/>
        <v>6534200.9219126366</v>
      </c>
    </row>
    <row r="2067" spans="2:4" x14ac:dyDescent="0.25">
      <c r="B2067" s="90">
        <v>2063</v>
      </c>
      <c r="C2067" s="39">
        <f t="shared" si="64"/>
        <v>7249188.0567556052</v>
      </c>
      <c r="D2067" s="39">
        <f t="shared" si="65"/>
        <v>6537369.7875391701</v>
      </c>
    </row>
    <row r="2068" spans="2:4" x14ac:dyDescent="0.25">
      <c r="B2068" s="90">
        <v>2064</v>
      </c>
      <c r="C2068" s="39">
        <f t="shared" si="64"/>
        <v>7251850.9690468097</v>
      </c>
      <c r="D2068" s="39">
        <f t="shared" si="65"/>
        <v>6540538.6531657036</v>
      </c>
    </row>
    <row r="2069" spans="2:4" x14ac:dyDescent="0.25">
      <c r="B2069" s="90">
        <v>2065</v>
      </c>
      <c r="C2069" s="39">
        <f t="shared" si="64"/>
        <v>7254513.8813380143</v>
      </c>
      <c r="D2069" s="39">
        <f t="shared" si="65"/>
        <v>6543707.5187922381</v>
      </c>
    </row>
    <row r="2070" spans="2:4" x14ac:dyDescent="0.25">
      <c r="B2070" s="90">
        <v>2066</v>
      </c>
      <c r="C2070" s="39">
        <f t="shared" si="64"/>
        <v>7257176.7936292198</v>
      </c>
      <c r="D2070" s="39">
        <f t="shared" si="65"/>
        <v>6546876.3844187716</v>
      </c>
    </row>
    <row r="2071" spans="2:4" x14ac:dyDescent="0.25">
      <c r="B2071" s="90">
        <v>2067</v>
      </c>
      <c r="C2071" s="39">
        <f t="shared" si="64"/>
        <v>7259839.7059204243</v>
      </c>
      <c r="D2071" s="39">
        <f t="shared" si="65"/>
        <v>6550045.2500453051</v>
      </c>
    </row>
    <row r="2072" spans="2:4" x14ac:dyDescent="0.25">
      <c r="B2072" s="90">
        <v>2068</v>
      </c>
      <c r="C2072" s="39">
        <f t="shared" si="64"/>
        <v>7262502.6182116289</v>
      </c>
      <c r="D2072" s="39">
        <f t="shared" si="65"/>
        <v>6553214.1156718386</v>
      </c>
    </row>
    <row r="2073" spans="2:4" x14ac:dyDescent="0.25">
      <c r="B2073" s="90">
        <v>2069</v>
      </c>
      <c r="C2073" s="39">
        <f t="shared" si="64"/>
        <v>7265165.5305028344</v>
      </c>
      <c r="D2073" s="39">
        <f t="shared" si="65"/>
        <v>6556382.9812983731</v>
      </c>
    </row>
    <row r="2074" spans="2:4" x14ac:dyDescent="0.25">
      <c r="B2074" s="90">
        <v>2070</v>
      </c>
      <c r="C2074" s="39">
        <f t="shared" si="64"/>
        <v>7267828.4427940389</v>
      </c>
      <c r="D2074" s="39">
        <f t="shared" si="65"/>
        <v>6559551.8469249066</v>
      </c>
    </row>
    <row r="2075" spans="2:4" x14ac:dyDescent="0.25">
      <c r="B2075" s="90">
        <v>2071</v>
      </c>
      <c r="C2075" s="39">
        <f t="shared" si="64"/>
        <v>7270491.3550852435</v>
      </c>
      <c r="D2075" s="39">
        <f t="shared" si="65"/>
        <v>6562720.7125514401</v>
      </c>
    </row>
    <row r="2076" spans="2:4" x14ac:dyDescent="0.25">
      <c r="B2076" s="90">
        <v>2072</v>
      </c>
      <c r="C2076" s="39">
        <f t="shared" si="64"/>
        <v>7273154.267376449</v>
      </c>
      <c r="D2076" s="39">
        <f t="shared" si="65"/>
        <v>6565889.5781779746</v>
      </c>
    </row>
    <row r="2077" spans="2:4" x14ac:dyDescent="0.25">
      <c r="B2077" s="90">
        <v>2073</v>
      </c>
      <c r="C2077" s="39">
        <f t="shared" si="64"/>
        <v>7275817.1796676535</v>
      </c>
      <c r="D2077" s="39">
        <f t="shared" si="65"/>
        <v>6569058.4438045081</v>
      </c>
    </row>
    <row r="2078" spans="2:4" x14ac:dyDescent="0.25">
      <c r="B2078" s="90">
        <v>2074</v>
      </c>
      <c r="C2078" s="39">
        <f t="shared" si="64"/>
        <v>7278480.0919588581</v>
      </c>
      <c r="D2078" s="39">
        <f t="shared" si="65"/>
        <v>6572227.3094310416</v>
      </c>
    </row>
    <row r="2079" spans="2:4" x14ac:dyDescent="0.25">
      <c r="B2079" s="90">
        <v>2075</v>
      </c>
      <c r="C2079" s="39">
        <f t="shared" si="64"/>
        <v>7281143.0042500626</v>
      </c>
      <c r="D2079" s="39">
        <f t="shared" si="65"/>
        <v>6575396.1750575751</v>
      </c>
    </row>
    <row r="2080" spans="2:4" x14ac:dyDescent="0.25">
      <c r="B2080" s="90">
        <v>2076</v>
      </c>
      <c r="C2080" s="39">
        <f t="shared" si="64"/>
        <v>7283805.9165412681</v>
      </c>
      <c r="D2080" s="39">
        <f t="shared" si="65"/>
        <v>6578565.0406841096</v>
      </c>
    </row>
    <row r="2081" spans="2:4" x14ac:dyDescent="0.25">
      <c r="B2081" s="90">
        <v>2077</v>
      </c>
      <c r="C2081" s="39">
        <f t="shared" si="64"/>
        <v>7286468.8288324727</v>
      </c>
      <c r="D2081" s="39">
        <f t="shared" si="65"/>
        <v>6581733.9063106431</v>
      </c>
    </row>
    <row r="2082" spans="2:4" x14ac:dyDescent="0.25">
      <c r="B2082" s="90">
        <v>2078</v>
      </c>
      <c r="C2082" s="39">
        <f t="shared" si="64"/>
        <v>7289131.7411236772</v>
      </c>
      <c r="D2082" s="39">
        <f t="shared" si="65"/>
        <v>6584902.7719371766</v>
      </c>
    </row>
    <row r="2083" spans="2:4" x14ac:dyDescent="0.25">
      <c r="B2083" s="90">
        <v>2079</v>
      </c>
      <c r="C2083" s="39">
        <f t="shared" si="64"/>
        <v>7291794.6534148827</v>
      </c>
      <c r="D2083" s="39">
        <f t="shared" si="65"/>
        <v>6588071.637563711</v>
      </c>
    </row>
    <row r="2084" spans="2:4" x14ac:dyDescent="0.25">
      <c r="B2084" s="90">
        <v>2080</v>
      </c>
      <c r="C2084" s="39">
        <f t="shared" si="64"/>
        <v>7294457.5657060873</v>
      </c>
      <c r="D2084" s="39">
        <f t="shared" si="65"/>
        <v>6591240.5031902445</v>
      </c>
    </row>
    <row r="2085" spans="2:4" x14ac:dyDescent="0.25">
      <c r="B2085" s="90">
        <v>2081</v>
      </c>
      <c r="C2085" s="39">
        <f t="shared" si="64"/>
        <v>7297120.4779972918</v>
      </c>
      <c r="D2085" s="39">
        <f t="shared" si="65"/>
        <v>6594409.3688167781</v>
      </c>
    </row>
    <row r="2086" spans="2:4" x14ac:dyDescent="0.25">
      <c r="B2086" s="90">
        <v>2082</v>
      </c>
      <c r="C2086" s="39">
        <f t="shared" si="64"/>
        <v>7299783.3902884973</v>
      </c>
      <c r="D2086" s="39">
        <f t="shared" si="65"/>
        <v>6597578.2344433116</v>
      </c>
    </row>
    <row r="2087" spans="2:4" x14ac:dyDescent="0.25">
      <c r="B2087" s="90">
        <v>2083</v>
      </c>
      <c r="C2087" s="39">
        <f t="shared" si="64"/>
        <v>7302446.3025797019</v>
      </c>
      <c r="D2087" s="39">
        <f t="shared" si="65"/>
        <v>6600747.100069846</v>
      </c>
    </row>
    <row r="2088" spans="2:4" x14ac:dyDescent="0.25">
      <c r="B2088" s="90">
        <v>2084</v>
      </c>
      <c r="C2088" s="39">
        <f t="shared" si="64"/>
        <v>7305109.2148709064</v>
      </c>
      <c r="D2088" s="39">
        <f t="shared" si="65"/>
        <v>6603915.9656963795</v>
      </c>
    </row>
    <row r="2089" spans="2:4" x14ac:dyDescent="0.25">
      <c r="B2089" s="90">
        <v>2085</v>
      </c>
      <c r="C2089" s="39">
        <f t="shared" si="64"/>
        <v>7307772.1271621119</v>
      </c>
      <c r="D2089" s="39">
        <f t="shared" si="65"/>
        <v>6607084.8313229131</v>
      </c>
    </row>
    <row r="2090" spans="2:4" x14ac:dyDescent="0.25">
      <c r="B2090" s="90">
        <v>2086</v>
      </c>
      <c r="C2090" s="39">
        <f t="shared" si="64"/>
        <v>7310435.0394533165</v>
      </c>
      <c r="D2090" s="39">
        <f t="shared" si="65"/>
        <v>6610253.6969494466</v>
      </c>
    </row>
    <row r="2091" spans="2:4" x14ac:dyDescent="0.25">
      <c r="B2091" s="90">
        <v>2087</v>
      </c>
      <c r="C2091" s="39">
        <f t="shared" si="64"/>
        <v>7313097.951744521</v>
      </c>
      <c r="D2091" s="39">
        <f t="shared" si="65"/>
        <v>6613422.562575981</v>
      </c>
    </row>
    <row r="2092" spans="2:4" x14ac:dyDescent="0.25">
      <c r="B2092" s="90">
        <v>2088</v>
      </c>
      <c r="C2092" s="39">
        <f t="shared" si="64"/>
        <v>7315760.8640357265</v>
      </c>
      <c r="D2092" s="39">
        <f t="shared" si="65"/>
        <v>6616591.4282025145</v>
      </c>
    </row>
    <row r="2093" spans="2:4" x14ac:dyDescent="0.25">
      <c r="B2093" s="90">
        <v>2089</v>
      </c>
      <c r="C2093" s="39">
        <f t="shared" si="64"/>
        <v>7318423.7763269311</v>
      </c>
      <c r="D2093" s="39">
        <f t="shared" si="65"/>
        <v>6619760.2938290481</v>
      </c>
    </row>
    <row r="2094" spans="2:4" x14ac:dyDescent="0.25">
      <c r="B2094" s="90">
        <v>2090</v>
      </c>
      <c r="C2094" s="39">
        <f t="shared" si="64"/>
        <v>7321086.6886181356</v>
      </c>
      <c r="D2094" s="39">
        <f t="shared" si="65"/>
        <v>6622929.1594555825</v>
      </c>
    </row>
    <row r="2095" spans="2:4" x14ac:dyDescent="0.25">
      <c r="B2095" s="90">
        <v>2091</v>
      </c>
      <c r="C2095" s="39">
        <f t="shared" si="64"/>
        <v>7323749.6009093411</v>
      </c>
      <c r="D2095" s="39">
        <f t="shared" si="65"/>
        <v>6626098.025082116</v>
      </c>
    </row>
    <row r="2096" spans="2:4" x14ac:dyDescent="0.25">
      <c r="B2096" s="90">
        <v>2092</v>
      </c>
      <c r="C2096" s="39">
        <f t="shared" si="64"/>
        <v>7326412.5132005457</v>
      </c>
      <c r="D2096" s="39">
        <f t="shared" si="65"/>
        <v>6629266.8907086495</v>
      </c>
    </row>
    <row r="2097" spans="2:4" x14ac:dyDescent="0.25">
      <c r="B2097" s="90">
        <v>2093</v>
      </c>
      <c r="C2097" s="39">
        <f t="shared" ref="C2097:C2160" si="66">($C$2*B2097)+$C$1</f>
        <v>7329075.4254917502</v>
      </c>
      <c r="D2097" s="39">
        <f t="shared" ref="D2097:D2160" si="67">$D$2*B2097</f>
        <v>6632435.756335183</v>
      </c>
    </row>
    <row r="2098" spans="2:4" x14ac:dyDescent="0.25">
      <c r="B2098" s="90">
        <v>2094</v>
      </c>
      <c r="C2098" s="39">
        <f t="shared" si="66"/>
        <v>7331738.3377829548</v>
      </c>
      <c r="D2098" s="39">
        <f t="shared" si="67"/>
        <v>6635604.6219617175</v>
      </c>
    </row>
    <row r="2099" spans="2:4" x14ac:dyDescent="0.25">
      <c r="B2099" s="90">
        <v>2095</v>
      </c>
      <c r="C2099" s="39">
        <f t="shared" si="66"/>
        <v>7334401.2500741603</v>
      </c>
      <c r="D2099" s="39">
        <f t="shared" si="67"/>
        <v>6638773.487588251</v>
      </c>
    </row>
    <row r="2100" spans="2:4" x14ac:dyDescent="0.25">
      <c r="B2100" s="90">
        <v>2096</v>
      </c>
      <c r="C2100" s="39">
        <f t="shared" si="66"/>
        <v>7337064.1623653648</v>
      </c>
      <c r="D2100" s="39">
        <f t="shared" si="67"/>
        <v>6641942.3532147845</v>
      </c>
    </row>
    <row r="2101" spans="2:4" x14ac:dyDescent="0.25">
      <c r="B2101" s="90">
        <v>2097</v>
      </c>
      <c r="C2101" s="39">
        <f t="shared" si="66"/>
        <v>7339727.0746565694</v>
      </c>
      <c r="D2101" s="39">
        <f t="shared" si="67"/>
        <v>6645111.218841318</v>
      </c>
    </row>
    <row r="2102" spans="2:4" x14ac:dyDescent="0.25">
      <c r="B2102" s="90">
        <v>2098</v>
      </c>
      <c r="C2102" s="39">
        <f t="shared" si="66"/>
        <v>7342389.9869477749</v>
      </c>
      <c r="D2102" s="39">
        <f t="shared" si="67"/>
        <v>6648280.0844678525</v>
      </c>
    </row>
    <row r="2103" spans="2:4" x14ac:dyDescent="0.25">
      <c r="B2103" s="90">
        <v>2099</v>
      </c>
      <c r="C2103" s="39">
        <f t="shared" si="66"/>
        <v>7345052.8992389794</v>
      </c>
      <c r="D2103" s="39">
        <f t="shared" si="67"/>
        <v>6651448.950094386</v>
      </c>
    </row>
    <row r="2104" spans="2:4" x14ac:dyDescent="0.25">
      <c r="B2104" s="90">
        <v>2100</v>
      </c>
      <c r="C2104" s="39">
        <f t="shared" si="66"/>
        <v>7347715.811530184</v>
      </c>
      <c r="D2104" s="39">
        <f t="shared" si="67"/>
        <v>6654617.8157209195</v>
      </c>
    </row>
    <row r="2105" spans="2:4" x14ac:dyDescent="0.25">
      <c r="B2105" s="90">
        <v>2101</v>
      </c>
      <c r="C2105" s="39">
        <f t="shared" si="66"/>
        <v>7350378.7238213895</v>
      </c>
      <c r="D2105" s="39">
        <f t="shared" si="67"/>
        <v>6657786.681347454</v>
      </c>
    </row>
    <row r="2106" spans="2:4" x14ac:dyDescent="0.25">
      <c r="B2106" s="90">
        <v>2102</v>
      </c>
      <c r="C2106" s="39">
        <f t="shared" si="66"/>
        <v>7353041.636112594</v>
      </c>
      <c r="D2106" s="39">
        <f t="shared" si="67"/>
        <v>6660955.5469739875</v>
      </c>
    </row>
    <row r="2107" spans="2:4" x14ac:dyDescent="0.25">
      <c r="B2107" s="90">
        <v>2103</v>
      </c>
      <c r="C2107" s="39">
        <f t="shared" si="66"/>
        <v>7355704.5484037986</v>
      </c>
      <c r="D2107" s="39">
        <f t="shared" si="67"/>
        <v>6664124.412600521</v>
      </c>
    </row>
    <row r="2108" spans="2:4" x14ac:dyDescent="0.25">
      <c r="B2108" s="90">
        <v>2104</v>
      </c>
      <c r="C2108" s="39">
        <f t="shared" si="66"/>
        <v>7358367.4606950041</v>
      </c>
      <c r="D2108" s="39">
        <f t="shared" si="67"/>
        <v>6667293.2782270545</v>
      </c>
    </row>
    <row r="2109" spans="2:4" x14ac:dyDescent="0.25">
      <c r="B2109" s="90">
        <v>2105</v>
      </c>
      <c r="C2109" s="39">
        <f t="shared" si="66"/>
        <v>7361030.3729862086</v>
      </c>
      <c r="D2109" s="39">
        <f t="shared" si="67"/>
        <v>6670462.143853589</v>
      </c>
    </row>
    <row r="2110" spans="2:4" x14ac:dyDescent="0.25">
      <c r="B2110" s="90">
        <v>2106</v>
      </c>
      <c r="C2110" s="39">
        <f t="shared" si="66"/>
        <v>7363693.2852774132</v>
      </c>
      <c r="D2110" s="39">
        <f t="shared" si="67"/>
        <v>6673631.0094801225</v>
      </c>
    </row>
    <row r="2111" spans="2:4" x14ac:dyDescent="0.25">
      <c r="B2111" s="90">
        <v>2107</v>
      </c>
      <c r="C2111" s="39">
        <f t="shared" si="66"/>
        <v>7366356.1975686187</v>
      </c>
      <c r="D2111" s="39">
        <f t="shared" si="67"/>
        <v>6676799.875106656</v>
      </c>
    </row>
    <row r="2112" spans="2:4" x14ac:dyDescent="0.25">
      <c r="B2112" s="90">
        <v>2108</v>
      </c>
      <c r="C2112" s="39">
        <f t="shared" si="66"/>
        <v>7369019.1098598232</v>
      </c>
      <c r="D2112" s="39">
        <f t="shared" si="67"/>
        <v>6679968.7407331895</v>
      </c>
    </row>
    <row r="2113" spans="2:4" x14ac:dyDescent="0.25">
      <c r="B2113" s="90">
        <v>2109</v>
      </c>
      <c r="C2113" s="39">
        <f t="shared" si="66"/>
        <v>7371682.0221510278</v>
      </c>
      <c r="D2113" s="39">
        <f t="shared" si="67"/>
        <v>6683137.606359724</v>
      </c>
    </row>
    <row r="2114" spans="2:4" x14ac:dyDescent="0.25">
      <c r="B2114" s="90">
        <v>2110</v>
      </c>
      <c r="C2114" s="39">
        <f t="shared" si="66"/>
        <v>7374344.9344422324</v>
      </c>
      <c r="D2114" s="39">
        <f t="shared" si="67"/>
        <v>6686306.4719862575</v>
      </c>
    </row>
    <row r="2115" spans="2:4" x14ac:dyDescent="0.25">
      <c r="B2115" s="90">
        <v>2111</v>
      </c>
      <c r="C2115" s="39">
        <f t="shared" si="66"/>
        <v>7377007.8467334379</v>
      </c>
      <c r="D2115" s="39">
        <f t="shared" si="67"/>
        <v>6689475.337612791</v>
      </c>
    </row>
    <row r="2116" spans="2:4" x14ac:dyDescent="0.25">
      <c r="B2116" s="90">
        <v>2112</v>
      </c>
      <c r="C2116" s="39">
        <f t="shared" si="66"/>
        <v>7379670.7590246424</v>
      </c>
      <c r="D2116" s="39">
        <f t="shared" si="67"/>
        <v>6692644.2032393254</v>
      </c>
    </row>
    <row r="2117" spans="2:4" x14ac:dyDescent="0.25">
      <c r="B2117" s="90">
        <v>2113</v>
      </c>
      <c r="C2117" s="39">
        <f t="shared" si="66"/>
        <v>7382333.671315847</v>
      </c>
      <c r="D2117" s="39">
        <f t="shared" si="67"/>
        <v>6695813.0688658589</v>
      </c>
    </row>
    <row r="2118" spans="2:4" x14ac:dyDescent="0.25">
      <c r="B2118" s="90">
        <v>2114</v>
      </c>
      <c r="C2118" s="39">
        <f t="shared" si="66"/>
        <v>7384996.5836070525</v>
      </c>
      <c r="D2118" s="39">
        <f t="shared" si="67"/>
        <v>6698981.9344923925</v>
      </c>
    </row>
    <row r="2119" spans="2:4" x14ac:dyDescent="0.25">
      <c r="B2119" s="90">
        <v>2115</v>
      </c>
      <c r="C2119" s="39">
        <f t="shared" si="66"/>
        <v>7387659.495898257</v>
      </c>
      <c r="D2119" s="39">
        <f t="shared" si="67"/>
        <v>6702150.800118926</v>
      </c>
    </row>
    <row r="2120" spans="2:4" x14ac:dyDescent="0.25">
      <c r="B2120" s="90">
        <v>2116</v>
      </c>
      <c r="C2120" s="39">
        <f t="shared" si="66"/>
        <v>7390322.4081894616</v>
      </c>
      <c r="D2120" s="39">
        <f t="shared" si="67"/>
        <v>6705319.6657454604</v>
      </c>
    </row>
    <row r="2121" spans="2:4" x14ac:dyDescent="0.25">
      <c r="B2121" s="90">
        <v>2117</v>
      </c>
      <c r="C2121" s="39">
        <f t="shared" si="66"/>
        <v>7392985.3204806671</v>
      </c>
      <c r="D2121" s="39">
        <f t="shared" si="67"/>
        <v>6708488.5313719939</v>
      </c>
    </row>
    <row r="2122" spans="2:4" x14ac:dyDescent="0.25">
      <c r="B2122" s="90">
        <v>2118</v>
      </c>
      <c r="C2122" s="39">
        <f t="shared" si="66"/>
        <v>7395648.2327718716</v>
      </c>
      <c r="D2122" s="39">
        <f t="shared" si="67"/>
        <v>6711657.3969985275</v>
      </c>
    </row>
    <row r="2123" spans="2:4" x14ac:dyDescent="0.25">
      <c r="B2123" s="90">
        <v>2119</v>
      </c>
      <c r="C2123" s="39">
        <f t="shared" si="66"/>
        <v>7398311.1450630762</v>
      </c>
      <c r="D2123" s="39">
        <f t="shared" si="67"/>
        <v>6714826.262625061</v>
      </c>
    </row>
    <row r="2124" spans="2:4" x14ac:dyDescent="0.25">
      <c r="B2124" s="90">
        <v>2120</v>
      </c>
      <c r="C2124" s="39">
        <f t="shared" si="66"/>
        <v>7400974.0573542817</v>
      </c>
      <c r="D2124" s="39">
        <f t="shared" si="67"/>
        <v>6717995.1282515954</v>
      </c>
    </row>
    <row r="2125" spans="2:4" x14ac:dyDescent="0.25">
      <c r="B2125" s="90">
        <v>2121</v>
      </c>
      <c r="C2125" s="39">
        <f t="shared" si="66"/>
        <v>7403636.9696454862</v>
      </c>
      <c r="D2125" s="39">
        <f t="shared" si="67"/>
        <v>6721163.9938781289</v>
      </c>
    </row>
    <row r="2126" spans="2:4" x14ac:dyDescent="0.25">
      <c r="B2126" s="90">
        <v>2122</v>
      </c>
      <c r="C2126" s="39">
        <f t="shared" si="66"/>
        <v>7406299.8819366908</v>
      </c>
      <c r="D2126" s="39">
        <f t="shared" si="67"/>
        <v>6724332.8595046625</v>
      </c>
    </row>
    <row r="2127" spans="2:4" x14ac:dyDescent="0.25">
      <c r="B2127" s="90">
        <v>2123</v>
      </c>
      <c r="C2127" s="39">
        <f t="shared" si="66"/>
        <v>7408962.7942278963</v>
      </c>
      <c r="D2127" s="39">
        <f t="shared" si="67"/>
        <v>6727501.7251311969</v>
      </c>
    </row>
    <row r="2128" spans="2:4" x14ac:dyDescent="0.25">
      <c r="B2128" s="90">
        <v>2124</v>
      </c>
      <c r="C2128" s="39">
        <f t="shared" si="66"/>
        <v>7411625.7065191008</v>
      </c>
      <c r="D2128" s="39">
        <f t="shared" si="67"/>
        <v>6730670.5907577304</v>
      </c>
    </row>
    <row r="2129" spans="2:4" x14ac:dyDescent="0.25">
      <c r="B2129" s="90">
        <v>2125</v>
      </c>
      <c r="C2129" s="39">
        <f t="shared" si="66"/>
        <v>7414288.6188103054</v>
      </c>
      <c r="D2129" s="39">
        <f t="shared" si="67"/>
        <v>6733839.4563842639</v>
      </c>
    </row>
    <row r="2130" spans="2:4" x14ac:dyDescent="0.25">
      <c r="B2130" s="90">
        <v>2126</v>
      </c>
      <c r="C2130" s="39">
        <f t="shared" si="66"/>
        <v>7416951.5311015109</v>
      </c>
      <c r="D2130" s="39">
        <f t="shared" si="67"/>
        <v>6737008.3220107974</v>
      </c>
    </row>
    <row r="2131" spans="2:4" x14ac:dyDescent="0.25">
      <c r="B2131" s="90">
        <v>2127</v>
      </c>
      <c r="C2131" s="39">
        <f t="shared" si="66"/>
        <v>7419614.4433927154</v>
      </c>
      <c r="D2131" s="39">
        <f t="shared" si="67"/>
        <v>6740177.1876373319</v>
      </c>
    </row>
    <row r="2132" spans="2:4" x14ac:dyDescent="0.25">
      <c r="B2132" s="90">
        <v>2128</v>
      </c>
      <c r="C2132" s="39">
        <f t="shared" si="66"/>
        <v>7422277.35568392</v>
      </c>
      <c r="D2132" s="39">
        <f t="shared" si="67"/>
        <v>6743346.0532638654</v>
      </c>
    </row>
    <row r="2133" spans="2:4" x14ac:dyDescent="0.25">
      <c r="B2133" s="90">
        <v>2129</v>
      </c>
      <c r="C2133" s="39">
        <f t="shared" si="66"/>
        <v>7424940.2679751245</v>
      </c>
      <c r="D2133" s="39">
        <f t="shared" si="67"/>
        <v>6746514.9188903989</v>
      </c>
    </row>
    <row r="2134" spans="2:4" x14ac:dyDescent="0.25">
      <c r="B2134" s="90">
        <v>2130</v>
      </c>
      <c r="C2134" s="39">
        <f t="shared" si="66"/>
        <v>7427603.18026633</v>
      </c>
      <c r="D2134" s="39">
        <f t="shared" si="67"/>
        <v>6749683.7845169334</v>
      </c>
    </row>
    <row r="2135" spans="2:4" x14ac:dyDescent="0.25">
      <c r="B2135" s="90">
        <v>2131</v>
      </c>
      <c r="C2135" s="39">
        <f t="shared" si="66"/>
        <v>7430266.0925575346</v>
      </c>
      <c r="D2135" s="39">
        <f t="shared" si="67"/>
        <v>6752852.6501434669</v>
      </c>
    </row>
    <row r="2136" spans="2:4" x14ac:dyDescent="0.25">
      <c r="B2136" s="90">
        <v>2132</v>
      </c>
      <c r="C2136" s="39">
        <f t="shared" si="66"/>
        <v>7432929.0048487391</v>
      </c>
      <c r="D2136" s="39">
        <f t="shared" si="67"/>
        <v>6756021.5157700004</v>
      </c>
    </row>
    <row r="2137" spans="2:4" x14ac:dyDescent="0.25">
      <c r="B2137" s="90">
        <v>2133</v>
      </c>
      <c r="C2137" s="39">
        <f t="shared" si="66"/>
        <v>7435591.9171399446</v>
      </c>
      <c r="D2137" s="39">
        <f t="shared" si="67"/>
        <v>6759190.3813965339</v>
      </c>
    </row>
    <row r="2138" spans="2:4" x14ac:dyDescent="0.25">
      <c r="B2138" s="90">
        <v>2134</v>
      </c>
      <c r="C2138" s="39">
        <f t="shared" si="66"/>
        <v>7438254.8294311492</v>
      </c>
      <c r="D2138" s="39">
        <f t="shared" si="67"/>
        <v>6762359.2470230684</v>
      </c>
    </row>
    <row r="2139" spans="2:4" x14ac:dyDescent="0.25">
      <c r="B2139" s="90">
        <v>2135</v>
      </c>
      <c r="C2139" s="39">
        <f t="shared" si="66"/>
        <v>7440917.7417223537</v>
      </c>
      <c r="D2139" s="39">
        <f t="shared" si="67"/>
        <v>6765528.1126496019</v>
      </c>
    </row>
    <row r="2140" spans="2:4" x14ac:dyDescent="0.25">
      <c r="B2140" s="90">
        <v>2136</v>
      </c>
      <c r="C2140" s="39">
        <f t="shared" si="66"/>
        <v>7443580.6540135592</v>
      </c>
      <c r="D2140" s="39">
        <f t="shared" si="67"/>
        <v>6768696.9782761354</v>
      </c>
    </row>
    <row r="2141" spans="2:4" x14ac:dyDescent="0.25">
      <c r="B2141" s="90">
        <v>2137</v>
      </c>
      <c r="C2141" s="39">
        <f t="shared" si="66"/>
        <v>7446243.5663047638</v>
      </c>
      <c r="D2141" s="39">
        <f t="shared" si="67"/>
        <v>6771865.8439026689</v>
      </c>
    </row>
    <row r="2142" spans="2:4" x14ac:dyDescent="0.25">
      <c r="B2142" s="90">
        <v>2138</v>
      </c>
      <c r="C2142" s="39">
        <f t="shared" si="66"/>
        <v>7448906.4785959683</v>
      </c>
      <c r="D2142" s="39">
        <f t="shared" si="67"/>
        <v>6775034.7095292034</v>
      </c>
    </row>
    <row r="2143" spans="2:4" x14ac:dyDescent="0.25">
      <c r="B2143" s="90">
        <v>2139</v>
      </c>
      <c r="C2143" s="39">
        <f t="shared" si="66"/>
        <v>7451569.3908871738</v>
      </c>
      <c r="D2143" s="39">
        <f t="shared" si="67"/>
        <v>6778203.5751557369</v>
      </c>
    </row>
    <row r="2144" spans="2:4" x14ac:dyDescent="0.25">
      <c r="B2144" s="90">
        <v>2140</v>
      </c>
      <c r="C2144" s="39">
        <f t="shared" si="66"/>
        <v>7454232.3031783784</v>
      </c>
      <c r="D2144" s="39">
        <f t="shared" si="67"/>
        <v>6781372.4407822704</v>
      </c>
    </row>
    <row r="2145" spans="2:4" x14ac:dyDescent="0.25">
      <c r="B2145" s="90">
        <v>2141</v>
      </c>
      <c r="C2145" s="39">
        <f t="shared" si="66"/>
        <v>7456895.2154695829</v>
      </c>
      <c r="D2145" s="39">
        <f t="shared" si="67"/>
        <v>6784541.3064088048</v>
      </c>
    </row>
    <row r="2146" spans="2:4" x14ac:dyDescent="0.25">
      <c r="B2146" s="90">
        <v>2142</v>
      </c>
      <c r="C2146" s="39">
        <f t="shared" si="66"/>
        <v>7459558.1277607884</v>
      </c>
      <c r="D2146" s="39">
        <f t="shared" si="67"/>
        <v>6787710.1720353384</v>
      </c>
    </row>
    <row r="2147" spans="2:4" x14ac:dyDescent="0.25">
      <c r="B2147" s="90">
        <v>2143</v>
      </c>
      <c r="C2147" s="39">
        <f t="shared" si="66"/>
        <v>7462221.040051993</v>
      </c>
      <c r="D2147" s="39">
        <f t="shared" si="67"/>
        <v>6790879.0376618719</v>
      </c>
    </row>
    <row r="2148" spans="2:4" x14ac:dyDescent="0.25">
      <c r="B2148" s="90">
        <v>2144</v>
      </c>
      <c r="C2148" s="39">
        <f t="shared" si="66"/>
        <v>7464883.9523431975</v>
      </c>
      <c r="D2148" s="39">
        <f t="shared" si="67"/>
        <v>6794047.9032884054</v>
      </c>
    </row>
    <row r="2149" spans="2:4" x14ac:dyDescent="0.25">
      <c r="B2149" s="90">
        <v>2145</v>
      </c>
      <c r="C2149" s="39">
        <f t="shared" si="66"/>
        <v>7467546.864634403</v>
      </c>
      <c r="D2149" s="39">
        <f t="shared" si="67"/>
        <v>6797216.7689149398</v>
      </c>
    </row>
    <row r="2150" spans="2:4" x14ac:dyDescent="0.25">
      <c r="B2150" s="90">
        <v>2146</v>
      </c>
      <c r="C2150" s="39">
        <f t="shared" si="66"/>
        <v>7470209.7769256076</v>
      </c>
      <c r="D2150" s="39">
        <f t="shared" si="67"/>
        <v>6800385.6345414734</v>
      </c>
    </row>
    <row r="2151" spans="2:4" x14ac:dyDescent="0.25">
      <c r="B2151" s="90">
        <v>2147</v>
      </c>
      <c r="C2151" s="39">
        <f t="shared" si="66"/>
        <v>7472872.6892168121</v>
      </c>
      <c r="D2151" s="39">
        <f t="shared" si="67"/>
        <v>6803554.5001680069</v>
      </c>
    </row>
    <row r="2152" spans="2:4" x14ac:dyDescent="0.25">
      <c r="B2152" s="90">
        <v>2148</v>
      </c>
      <c r="C2152" s="39">
        <f t="shared" si="66"/>
        <v>7475535.6015080167</v>
      </c>
      <c r="D2152" s="39">
        <f t="shared" si="67"/>
        <v>6806723.3657945404</v>
      </c>
    </row>
    <row r="2153" spans="2:4" x14ac:dyDescent="0.25">
      <c r="B2153" s="90">
        <v>2149</v>
      </c>
      <c r="C2153" s="39">
        <f t="shared" si="66"/>
        <v>7478198.5137992222</v>
      </c>
      <c r="D2153" s="39">
        <f t="shared" si="67"/>
        <v>6809892.2314210748</v>
      </c>
    </row>
    <row r="2154" spans="2:4" x14ac:dyDescent="0.25">
      <c r="B2154" s="90">
        <v>2150</v>
      </c>
      <c r="C2154" s="39">
        <f t="shared" si="66"/>
        <v>7480861.4260904267</v>
      </c>
      <c r="D2154" s="39">
        <f t="shared" si="67"/>
        <v>6813061.0970476083</v>
      </c>
    </row>
    <row r="2155" spans="2:4" x14ac:dyDescent="0.25">
      <c r="B2155" s="90">
        <v>2151</v>
      </c>
      <c r="C2155" s="39">
        <f t="shared" si="66"/>
        <v>7483524.3383816313</v>
      </c>
      <c r="D2155" s="39">
        <f t="shared" si="67"/>
        <v>6816229.9626741419</v>
      </c>
    </row>
    <row r="2156" spans="2:4" x14ac:dyDescent="0.25">
      <c r="B2156" s="90">
        <v>2152</v>
      </c>
      <c r="C2156" s="39">
        <f t="shared" si="66"/>
        <v>7486187.2506728368</v>
      </c>
      <c r="D2156" s="39">
        <f t="shared" si="67"/>
        <v>6819398.8283006763</v>
      </c>
    </row>
    <row r="2157" spans="2:4" x14ac:dyDescent="0.25">
      <c r="B2157" s="90">
        <v>2153</v>
      </c>
      <c r="C2157" s="39">
        <f t="shared" si="66"/>
        <v>7488850.1629640413</v>
      </c>
      <c r="D2157" s="39">
        <f t="shared" si="67"/>
        <v>6822567.6939272098</v>
      </c>
    </row>
    <row r="2158" spans="2:4" x14ac:dyDescent="0.25">
      <c r="B2158" s="90">
        <v>2154</v>
      </c>
      <c r="C2158" s="39">
        <f t="shared" si="66"/>
        <v>7491513.0752552459</v>
      </c>
      <c r="D2158" s="39">
        <f t="shared" si="67"/>
        <v>6825736.5595537433</v>
      </c>
    </row>
    <row r="2159" spans="2:4" x14ac:dyDescent="0.25">
      <c r="B2159" s="90">
        <v>2155</v>
      </c>
      <c r="C2159" s="39">
        <f t="shared" si="66"/>
        <v>7494175.9875464514</v>
      </c>
      <c r="D2159" s="39">
        <f t="shared" si="67"/>
        <v>6828905.4251802769</v>
      </c>
    </row>
    <row r="2160" spans="2:4" x14ac:dyDescent="0.25">
      <c r="B2160" s="90">
        <v>2156</v>
      </c>
      <c r="C2160" s="39">
        <f t="shared" si="66"/>
        <v>7496838.8998376559</v>
      </c>
      <c r="D2160" s="39">
        <f t="shared" si="67"/>
        <v>6832074.2908068113</v>
      </c>
    </row>
    <row r="2161" spans="2:4" x14ac:dyDescent="0.25">
      <c r="B2161" s="90">
        <v>2157</v>
      </c>
      <c r="C2161" s="39">
        <f t="shared" ref="C2161:C2224" si="68">($C$2*B2161)+$C$1</f>
        <v>7499501.8121288605</v>
      </c>
      <c r="D2161" s="39">
        <f t="shared" ref="D2161:D2224" si="69">$D$2*B2161</f>
        <v>6835243.1564333448</v>
      </c>
    </row>
    <row r="2162" spans="2:4" x14ac:dyDescent="0.25">
      <c r="B2162" s="90">
        <v>2158</v>
      </c>
      <c r="C2162" s="39">
        <f t="shared" si="68"/>
        <v>7502164.724420066</v>
      </c>
      <c r="D2162" s="39">
        <f t="shared" si="69"/>
        <v>6838412.0220598783</v>
      </c>
    </row>
    <row r="2163" spans="2:4" x14ac:dyDescent="0.25">
      <c r="B2163" s="90">
        <v>2159</v>
      </c>
      <c r="C2163" s="39">
        <f t="shared" si="68"/>
        <v>7504827.6367112705</v>
      </c>
      <c r="D2163" s="39">
        <f t="shared" si="69"/>
        <v>6841580.8876864119</v>
      </c>
    </row>
    <row r="2164" spans="2:4" x14ac:dyDescent="0.25">
      <c r="B2164" s="90">
        <v>2160</v>
      </c>
      <c r="C2164" s="39">
        <f t="shared" si="68"/>
        <v>7507490.5490024751</v>
      </c>
      <c r="D2164" s="39">
        <f t="shared" si="69"/>
        <v>6844749.7533129463</v>
      </c>
    </row>
    <row r="2165" spans="2:4" x14ac:dyDescent="0.25">
      <c r="B2165" s="90">
        <v>2161</v>
      </c>
      <c r="C2165" s="39">
        <f t="shared" si="68"/>
        <v>7510153.4612936806</v>
      </c>
      <c r="D2165" s="39">
        <f t="shared" si="69"/>
        <v>6847918.6189394798</v>
      </c>
    </row>
    <row r="2166" spans="2:4" x14ac:dyDescent="0.25">
      <c r="B2166" s="90">
        <v>2162</v>
      </c>
      <c r="C2166" s="39">
        <f t="shared" si="68"/>
        <v>7512816.3735848852</v>
      </c>
      <c r="D2166" s="39">
        <f t="shared" si="69"/>
        <v>6851087.4845660133</v>
      </c>
    </row>
    <row r="2167" spans="2:4" x14ac:dyDescent="0.25">
      <c r="B2167" s="90">
        <v>2163</v>
      </c>
      <c r="C2167" s="39">
        <f t="shared" si="68"/>
        <v>7515479.2858760897</v>
      </c>
      <c r="D2167" s="39">
        <f t="shared" si="69"/>
        <v>6854256.3501925478</v>
      </c>
    </row>
    <row r="2168" spans="2:4" x14ac:dyDescent="0.25">
      <c r="B2168" s="90">
        <v>2164</v>
      </c>
      <c r="C2168" s="39">
        <f t="shared" si="68"/>
        <v>7518142.1981672943</v>
      </c>
      <c r="D2168" s="39">
        <f t="shared" si="69"/>
        <v>6857425.2158190813</v>
      </c>
    </row>
    <row r="2169" spans="2:4" x14ac:dyDescent="0.25">
      <c r="B2169" s="90">
        <v>2165</v>
      </c>
      <c r="C2169" s="39">
        <f t="shared" si="68"/>
        <v>7520805.1104584998</v>
      </c>
      <c r="D2169" s="39">
        <f t="shared" si="69"/>
        <v>6860594.0814456148</v>
      </c>
    </row>
    <row r="2170" spans="2:4" x14ac:dyDescent="0.25">
      <c r="B2170" s="90">
        <v>2166</v>
      </c>
      <c r="C2170" s="39">
        <f t="shared" si="68"/>
        <v>7523468.0227497043</v>
      </c>
      <c r="D2170" s="39">
        <f t="shared" si="69"/>
        <v>6863762.9470721483</v>
      </c>
    </row>
    <row r="2171" spans="2:4" x14ac:dyDescent="0.25">
      <c r="B2171" s="90">
        <v>2167</v>
      </c>
      <c r="C2171" s="39">
        <f t="shared" si="68"/>
        <v>7526130.9350409089</v>
      </c>
      <c r="D2171" s="39">
        <f t="shared" si="69"/>
        <v>6866931.8126986828</v>
      </c>
    </row>
    <row r="2172" spans="2:4" x14ac:dyDescent="0.25">
      <c r="B2172" s="90">
        <v>2168</v>
      </c>
      <c r="C2172" s="39">
        <f t="shared" si="68"/>
        <v>7528793.8473321144</v>
      </c>
      <c r="D2172" s="39">
        <f t="shared" si="69"/>
        <v>6870100.6783252163</v>
      </c>
    </row>
    <row r="2173" spans="2:4" x14ac:dyDescent="0.25">
      <c r="B2173" s="90">
        <v>2169</v>
      </c>
      <c r="C2173" s="39">
        <f t="shared" si="68"/>
        <v>7531456.7596233189</v>
      </c>
      <c r="D2173" s="39">
        <f t="shared" si="69"/>
        <v>6873269.5439517498</v>
      </c>
    </row>
    <row r="2174" spans="2:4" x14ac:dyDescent="0.25">
      <c r="B2174" s="90">
        <v>2170</v>
      </c>
      <c r="C2174" s="39">
        <f t="shared" si="68"/>
        <v>7534119.6719145235</v>
      </c>
      <c r="D2174" s="39">
        <f t="shared" si="69"/>
        <v>6876438.4095782833</v>
      </c>
    </row>
    <row r="2175" spans="2:4" x14ac:dyDescent="0.25">
      <c r="B2175" s="90">
        <v>2171</v>
      </c>
      <c r="C2175" s="39">
        <f t="shared" si="68"/>
        <v>7536782.584205729</v>
      </c>
      <c r="D2175" s="39">
        <f t="shared" si="69"/>
        <v>6879607.2752048178</v>
      </c>
    </row>
    <row r="2176" spans="2:4" x14ac:dyDescent="0.25">
      <c r="B2176" s="90">
        <v>2172</v>
      </c>
      <c r="C2176" s="39">
        <f t="shared" si="68"/>
        <v>7539445.4964969335</v>
      </c>
      <c r="D2176" s="39">
        <f t="shared" si="69"/>
        <v>6882776.1408313513</v>
      </c>
    </row>
    <row r="2177" spans="2:4" x14ac:dyDescent="0.25">
      <c r="B2177" s="90">
        <v>2173</v>
      </c>
      <c r="C2177" s="39">
        <f t="shared" si="68"/>
        <v>7542108.4087881381</v>
      </c>
      <c r="D2177" s="39">
        <f t="shared" si="69"/>
        <v>6885945.0064578848</v>
      </c>
    </row>
    <row r="2178" spans="2:4" x14ac:dyDescent="0.25">
      <c r="B2178" s="90">
        <v>2174</v>
      </c>
      <c r="C2178" s="39">
        <f t="shared" si="68"/>
        <v>7544771.3210793436</v>
      </c>
      <c r="D2178" s="39">
        <f t="shared" si="69"/>
        <v>6889113.8720844192</v>
      </c>
    </row>
    <row r="2179" spans="2:4" x14ac:dyDescent="0.25">
      <c r="B2179" s="90">
        <v>2175</v>
      </c>
      <c r="C2179" s="39">
        <f t="shared" si="68"/>
        <v>7547434.2333705481</v>
      </c>
      <c r="D2179" s="39">
        <f t="shared" si="69"/>
        <v>6892282.7377109528</v>
      </c>
    </row>
    <row r="2180" spans="2:4" x14ac:dyDescent="0.25">
      <c r="B2180" s="90">
        <v>2176</v>
      </c>
      <c r="C2180" s="39">
        <f t="shared" si="68"/>
        <v>7550097.1456617527</v>
      </c>
      <c r="D2180" s="39">
        <f t="shared" si="69"/>
        <v>6895451.6033374863</v>
      </c>
    </row>
    <row r="2181" spans="2:4" x14ac:dyDescent="0.25">
      <c r="B2181" s="90">
        <v>2177</v>
      </c>
      <c r="C2181" s="39">
        <f t="shared" si="68"/>
        <v>7552760.0579529582</v>
      </c>
      <c r="D2181" s="39">
        <f t="shared" si="69"/>
        <v>6898620.4689640198</v>
      </c>
    </row>
    <row r="2182" spans="2:4" x14ac:dyDescent="0.25">
      <c r="B2182" s="90">
        <v>2178</v>
      </c>
      <c r="C2182" s="39">
        <f t="shared" si="68"/>
        <v>7555422.9702441627</v>
      </c>
      <c r="D2182" s="39">
        <f t="shared" si="69"/>
        <v>6901789.3345905542</v>
      </c>
    </row>
    <row r="2183" spans="2:4" x14ac:dyDescent="0.25">
      <c r="B2183" s="90">
        <v>2179</v>
      </c>
      <c r="C2183" s="39">
        <f t="shared" si="68"/>
        <v>7558085.8825353673</v>
      </c>
      <c r="D2183" s="39">
        <f t="shared" si="69"/>
        <v>6904958.2002170878</v>
      </c>
    </row>
    <row r="2184" spans="2:4" x14ac:dyDescent="0.25">
      <c r="B2184" s="90">
        <v>2180</v>
      </c>
      <c r="C2184" s="39">
        <f t="shared" si="68"/>
        <v>7560748.7948265728</v>
      </c>
      <c r="D2184" s="39">
        <f t="shared" si="69"/>
        <v>6908127.0658436213</v>
      </c>
    </row>
    <row r="2185" spans="2:4" x14ac:dyDescent="0.25">
      <c r="B2185" s="90">
        <v>2181</v>
      </c>
      <c r="C2185" s="39">
        <f t="shared" si="68"/>
        <v>7563411.7071177773</v>
      </c>
      <c r="D2185" s="39">
        <f t="shared" si="69"/>
        <v>6911295.9314701548</v>
      </c>
    </row>
    <row r="2186" spans="2:4" x14ac:dyDescent="0.25">
      <c r="B2186" s="90">
        <v>2182</v>
      </c>
      <c r="C2186" s="39">
        <f t="shared" si="68"/>
        <v>7566074.6194089819</v>
      </c>
      <c r="D2186" s="39">
        <f t="shared" si="69"/>
        <v>6914464.7970966892</v>
      </c>
    </row>
    <row r="2187" spans="2:4" x14ac:dyDescent="0.25">
      <c r="B2187" s="90">
        <v>2183</v>
      </c>
      <c r="C2187" s="39">
        <f t="shared" si="68"/>
        <v>7568737.5317001864</v>
      </c>
      <c r="D2187" s="39">
        <f t="shared" si="69"/>
        <v>6917633.6627232227</v>
      </c>
    </row>
    <row r="2188" spans="2:4" x14ac:dyDescent="0.25">
      <c r="B2188" s="90">
        <v>2184</v>
      </c>
      <c r="C2188" s="39">
        <f t="shared" si="68"/>
        <v>7571400.4439913919</v>
      </c>
      <c r="D2188" s="39">
        <f t="shared" si="69"/>
        <v>6920802.5283497563</v>
      </c>
    </row>
    <row r="2189" spans="2:4" x14ac:dyDescent="0.25">
      <c r="B2189" s="90">
        <v>2185</v>
      </c>
      <c r="C2189" s="39">
        <f t="shared" si="68"/>
        <v>7574063.3562825965</v>
      </c>
      <c r="D2189" s="39">
        <f t="shared" si="69"/>
        <v>6923971.3939762907</v>
      </c>
    </row>
    <row r="2190" spans="2:4" x14ac:dyDescent="0.25">
      <c r="B2190" s="90">
        <v>2186</v>
      </c>
      <c r="C2190" s="39">
        <f t="shared" si="68"/>
        <v>7576726.268573801</v>
      </c>
      <c r="D2190" s="39">
        <f t="shared" si="69"/>
        <v>6927140.2596028242</v>
      </c>
    </row>
    <row r="2191" spans="2:4" x14ac:dyDescent="0.25">
      <c r="B2191" s="90">
        <v>2187</v>
      </c>
      <c r="C2191" s="39">
        <f t="shared" si="68"/>
        <v>7579389.1808650065</v>
      </c>
      <c r="D2191" s="39">
        <f t="shared" si="69"/>
        <v>6930309.1252293577</v>
      </c>
    </row>
    <row r="2192" spans="2:4" x14ac:dyDescent="0.25">
      <c r="B2192" s="90">
        <v>2188</v>
      </c>
      <c r="C2192" s="39">
        <f t="shared" si="68"/>
        <v>7582052.0931562111</v>
      </c>
      <c r="D2192" s="39">
        <f t="shared" si="69"/>
        <v>6933477.9908558913</v>
      </c>
    </row>
    <row r="2193" spans="2:4" x14ac:dyDescent="0.25">
      <c r="B2193" s="90">
        <v>2189</v>
      </c>
      <c r="C2193" s="39">
        <f t="shared" si="68"/>
        <v>7584715.0054474156</v>
      </c>
      <c r="D2193" s="39">
        <f t="shared" si="69"/>
        <v>6936646.8564824257</v>
      </c>
    </row>
    <row r="2194" spans="2:4" x14ac:dyDescent="0.25">
      <c r="B2194" s="90">
        <v>2190</v>
      </c>
      <c r="C2194" s="39">
        <f t="shared" si="68"/>
        <v>7587377.9177386211</v>
      </c>
      <c r="D2194" s="39">
        <f t="shared" si="69"/>
        <v>6939815.7221089592</v>
      </c>
    </row>
    <row r="2195" spans="2:4" x14ac:dyDescent="0.25">
      <c r="B2195" s="90">
        <v>2191</v>
      </c>
      <c r="C2195" s="39">
        <f t="shared" si="68"/>
        <v>7590040.8300298257</v>
      </c>
      <c r="D2195" s="39">
        <f t="shared" si="69"/>
        <v>6942984.5877354927</v>
      </c>
    </row>
    <row r="2196" spans="2:4" x14ac:dyDescent="0.25">
      <c r="B2196" s="90">
        <v>2192</v>
      </c>
      <c r="C2196" s="39">
        <f t="shared" si="68"/>
        <v>7592703.7423210302</v>
      </c>
      <c r="D2196" s="39">
        <f t="shared" si="69"/>
        <v>6946153.4533620272</v>
      </c>
    </row>
    <row r="2197" spans="2:4" x14ac:dyDescent="0.25">
      <c r="B2197" s="90">
        <v>2193</v>
      </c>
      <c r="C2197" s="39">
        <f t="shared" si="68"/>
        <v>7595366.6546122357</v>
      </c>
      <c r="D2197" s="39">
        <f t="shared" si="69"/>
        <v>6949322.3189885607</v>
      </c>
    </row>
    <row r="2198" spans="2:4" x14ac:dyDescent="0.25">
      <c r="B2198" s="90">
        <v>2194</v>
      </c>
      <c r="C2198" s="39">
        <f t="shared" si="68"/>
        <v>7598029.5669034403</v>
      </c>
      <c r="D2198" s="39">
        <f t="shared" si="69"/>
        <v>6952491.1846150942</v>
      </c>
    </row>
    <row r="2199" spans="2:4" x14ac:dyDescent="0.25">
      <c r="B2199" s="90">
        <v>2195</v>
      </c>
      <c r="C2199" s="39">
        <f t="shared" si="68"/>
        <v>7600692.4791946448</v>
      </c>
      <c r="D2199" s="39">
        <f t="shared" si="69"/>
        <v>6955660.0502416277</v>
      </c>
    </row>
    <row r="2200" spans="2:4" x14ac:dyDescent="0.25">
      <c r="B2200" s="90">
        <v>2196</v>
      </c>
      <c r="C2200" s="39">
        <f t="shared" si="68"/>
        <v>7603355.3914858503</v>
      </c>
      <c r="D2200" s="39">
        <f t="shared" si="69"/>
        <v>6958828.9158681622</v>
      </c>
    </row>
    <row r="2201" spans="2:4" x14ac:dyDescent="0.25">
      <c r="B2201" s="90">
        <v>2197</v>
      </c>
      <c r="C2201" s="39">
        <f t="shared" si="68"/>
        <v>7606018.3037770549</v>
      </c>
      <c r="D2201" s="39">
        <f t="shared" si="69"/>
        <v>6961997.7814946957</v>
      </c>
    </row>
    <row r="2202" spans="2:4" x14ac:dyDescent="0.25">
      <c r="B2202" s="90">
        <v>2198</v>
      </c>
      <c r="C2202" s="39">
        <f t="shared" si="68"/>
        <v>7608681.2160682594</v>
      </c>
      <c r="D2202" s="39">
        <f t="shared" si="69"/>
        <v>6965166.6471212292</v>
      </c>
    </row>
    <row r="2203" spans="2:4" x14ac:dyDescent="0.25">
      <c r="B2203" s="90">
        <v>2199</v>
      </c>
      <c r="C2203" s="39">
        <f t="shared" si="68"/>
        <v>7611344.128359464</v>
      </c>
      <c r="D2203" s="39">
        <f t="shared" si="69"/>
        <v>6968335.5127477627</v>
      </c>
    </row>
    <row r="2204" spans="2:4" x14ac:dyDescent="0.25">
      <c r="B2204" s="90">
        <v>2200</v>
      </c>
      <c r="C2204" s="39">
        <f t="shared" si="68"/>
        <v>7614007.0406506695</v>
      </c>
      <c r="D2204" s="39">
        <f t="shared" si="69"/>
        <v>6971504.3783742972</v>
      </c>
    </row>
    <row r="2205" spans="2:4" x14ac:dyDescent="0.25">
      <c r="B2205" s="90">
        <v>2201</v>
      </c>
      <c r="C2205" s="39">
        <f t="shared" si="68"/>
        <v>7616669.952941874</v>
      </c>
      <c r="D2205" s="39">
        <f t="shared" si="69"/>
        <v>6974673.2440008307</v>
      </c>
    </row>
    <row r="2206" spans="2:4" x14ac:dyDescent="0.25">
      <c r="B2206" s="90">
        <v>2202</v>
      </c>
      <c r="C2206" s="39">
        <f t="shared" si="68"/>
        <v>7619332.8652330786</v>
      </c>
      <c r="D2206" s="39">
        <f t="shared" si="69"/>
        <v>6977842.1096273642</v>
      </c>
    </row>
    <row r="2207" spans="2:4" x14ac:dyDescent="0.25">
      <c r="B2207" s="90">
        <v>2203</v>
      </c>
      <c r="C2207" s="39">
        <f t="shared" si="68"/>
        <v>7621995.7775242841</v>
      </c>
      <c r="D2207" s="39">
        <f t="shared" si="69"/>
        <v>6981010.9752538987</v>
      </c>
    </row>
    <row r="2208" spans="2:4" x14ac:dyDescent="0.25">
      <c r="B2208" s="90">
        <v>2204</v>
      </c>
      <c r="C2208" s="39">
        <f t="shared" si="68"/>
        <v>7624658.6898154886</v>
      </c>
      <c r="D2208" s="39">
        <f t="shared" si="69"/>
        <v>6984179.8408804322</v>
      </c>
    </row>
    <row r="2209" spans="2:4" x14ac:dyDescent="0.25">
      <c r="B2209" s="90">
        <v>2205</v>
      </c>
      <c r="C2209" s="39">
        <f t="shared" si="68"/>
        <v>7627321.6021066932</v>
      </c>
      <c r="D2209" s="39">
        <f t="shared" si="69"/>
        <v>6987348.7065069657</v>
      </c>
    </row>
    <row r="2210" spans="2:4" x14ac:dyDescent="0.25">
      <c r="B2210" s="90">
        <v>2206</v>
      </c>
      <c r="C2210" s="39">
        <f t="shared" si="68"/>
        <v>7629984.5143978987</v>
      </c>
      <c r="D2210" s="39">
        <f t="shared" si="69"/>
        <v>6990517.5721334992</v>
      </c>
    </row>
    <row r="2211" spans="2:4" x14ac:dyDescent="0.25">
      <c r="B2211" s="90">
        <v>2207</v>
      </c>
      <c r="C2211" s="39">
        <f t="shared" si="68"/>
        <v>7632647.4266891032</v>
      </c>
      <c r="D2211" s="39">
        <f t="shared" si="69"/>
        <v>6993686.4377600336</v>
      </c>
    </row>
    <row r="2212" spans="2:4" x14ac:dyDescent="0.25">
      <c r="B2212" s="90">
        <v>2208</v>
      </c>
      <c r="C2212" s="39">
        <f t="shared" si="68"/>
        <v>7635310.3389803078</v>
      </c>
      <c r="D2212" s="39">
        <f t="shared" si="69"/>
        <v>6996855.3033865672</v>
      </c>
    </row>
    <row r="2213" spans="2:4" x14ac:dyDescent="0.25">
      <c r="B2213" s="90">
        <v>2209</v>
      </c>
      <c r="C2213" s="39">
        <f t="shared" si="68"/>
        <v>7637973.2512715133</v>
      </c>
      <c r="D2213" s="39">
        <f t="shared" si="69"/>
        <v>7000024.1690131007</v>
      </c>
    </row>
    <row r="2214" spans="2:4" x14ac:dyDescent="0.25">
      <c r="B2214" s="90">
        <v>2210</v>
      </c>
      <c r="C2214" s="39">
        <f t="shared" si="68"/>
        <v>7640636.1635627178</v>
      </c>
      <c r="D2214" s="39">
        <f t="shared" si="69"/>
        <v>7003193.0346396342</v>
      </c>
    </row>
    <row r="2215" spans="2:4" x14ac:dyDescent="0.25">
      <c r="B2215" s="90">
        <v>2211</v>
      </c>
      <c r="C2215" s="39">
        <f t="shared" si="68"/>
        <v>7643299.0758539224</v>
      </c>
      <c r="D2215" s="39">
        <f t="shared" si="69"/>
        <v>7006361.9002661686</v>
      </c>
    </row>
    <row r="2216" spans="2:4" x14ac:dyDescent="0.25">
      <c r="B2216" s="90">
        <v>2212</v>
      </c>
      <c r="C2216" s="39">
        <f t="shared" si="68"/>
        <v>7645961.9881451279</v>
      </c>
      <c r="D2216" s="39">
        <f t="shared" si="69"/>
        <v>7009530.7658927022</v>
      </c>
    </row>
    <row r="2217" spans="2:4" x14ac:dyDescent="0.25">
      <c r="B2217" s="90">
        <v>2213</v>
      </c>
      <c r="C2217" s="39">
        <f t="shared" si="68"/>
        <v>7648624.9004363324</v>
      </c>
      <c r="D2217" s="39">
        <f t="shared" si="69"/>
        <v>7012699.6315192357</v>
      </c>
    </row>
    <row r="2218" spans="2:4" x14ac:dyDescent="0.25">
      <c r="B2218" s="90">
        <v>2214</v>
      </c>
      <c r="C2218" s="39">
        <f t="shared" si="68"/>
        <v>7651287.812727537</v>
      </c>
      <c r="D2218" s="39">
        <f t="shared" si="69"/>
        <v>7015868.4971457701</v>
      </c>
    </row>
    <row r="2219" spans="2:4" x14ac:dyDescent="0.25">
      <c r="B2219" s="90">
        <v>2215</v>
      </c>
      <c r="C2219" s="39">
        <f t="shared" si="68"/>
        <v>7653950.7250187425</v>
      </c>
      <c r="D2219" s="39">
        <f t="shared" si="69"/>
        <v>7019037.3627723036</v>
      </c>
    </row>
    <row r="2220" spans="2:4" x14ac:dyDescent="0.25">
      <c r="B2220" s="90">
        <v>2216</v>
      </c>
      <c r="C2220" s="39">
        <f t="shared" si="68"/>
        <v>7656613.6373099471</v>
      </c>
      <c r="D2220" s="39">
        <f t="shared" si="69"/>
        <v>7022206.2283988371</v>
      </c>
    </row>
    <row r="2221" spans="2:4" x14ac:dyDescent="0.25">
      <c r="B2221" s="90">
        <v>2217</v>
      </c>
      <c r="C2221" s="39">
        <f t="shared" si="68"/>
        <v>7659276.5496011516</v>
      </c>
      <c r="D2221" s="39">
        <f t="shared" si="69"/>
        <v>7025375.0940253707</v>
      </c>
    </row>
    <row r="2222" spans="2:4" x14ac:dyDescent="0.25">
      <c r="B2222" s="90">
        <v>2218</v>
      </c>
      <c r="C2222" s="39">
        <f t="shared" si="68"/>
        <v>7661939.4618923562</v>
      </c>
      <c r="D2222" s="39">
        <f t="shared" si="69"/>
        <v>7028543.9596519051</v>
      </c>
    </row>
    <row r="2223" spans="2:4" x14ac:dyDescent="0.25">
      <c r="B2223" s="90">
        <v>2219</v>
      </c>
      <c r="C2223" s="39">
        <f t="shared" si="68"/>
        <v>7664602.3741835617</v>
      </c>
      <c r="D2223" s="39">
        <f t="shared" si="69"/>
        <v>7031712.8252784386</v>
      </c>
    </row>
    <row r="2224" spans="2:4" x14ac:dyDescent="0.25">
      <c r="B2224" s="90">
        <v>2220</v>
      </c>
      <c r="C2224" s="39">
        <f t="shared" si="68"/>
        <v>7667265.2864747662</v>
      </c>
      <c r="D2224" s="39">
        <f t="shared" si="69"/>
        <v>7034881.6909049721</v>
      </c>
    </row>
    <row r="2225" spans="2:4" x14ac:dyDescent="0.25">
      <c r="B2225" s="90">
        <v>2221</v>
      </c>
      <c r="C2225" s="39">
        <f t="shared" ref="C2225:C2288" si="70">($C$2*B2225)+$C$1</f>
        <v>7669928.1987659708</v>
      </c>
      <c r="D2225" s="39">
        <f t="shared" ref="D2225:D2288" si="71">$D$2*B2225</f>
        <v>7038050.5565315057</v>
      </c>
    </row>
    <row r="2226" spans="2:4" x14ac:dyDescent="0.25">
      <c r="B2226" s="90">
        <v>2222</v>
      </c>
      <c r="C2226" s="39">
        <f t="shared" si="70"/>
        <v>7672591.1110571763</v>
      </c>
      <c r="D2226" s="39">
        <f t="shared" si="71"/>
        <v>7041219.4221580401</v>
      </c>
    </row>
    <row r="2227" spans="2:4" x14ac:dyDescent="0.25">
      <c r="B2227" s="90">
        <v>2223</v>
      </c>
      <c r="C2227" s="39">
        <f t="shared" si="70"/>
        <v>7675254.0233483808</v>
      </c>
      <c r="D2227" s="39">
        <f t="shared" si="71"/>
        <v>7044388.2877845736</v>
      </c>
    </row>
    <row r="2228" spans="2:4" x14ac:dyDescent="0.25">
      <c r="B2228" s="90">
        <v>2224</v>
      </c>
      <c r="C2228" s="39">
        <f t="shared" si="70"/>
        <v>7677916.9356395854</v>
      </c>
      <c r="D2228" s="39">
        <f t="shared" si="71"/>
        <v>7047557.1534111071</v>
      </c>
    </row>
    <row r="2229" spans="2:4" x14ac:dyDescent="0.25">
      <c r="B2229" s="90">
        <v>2225</v>
      </c>
      <c r="C2229" s="39">
        <f t="shared" si="70"/>
        <v>7680579.8479307909</v>
      </c>
      <c r="D2229" s="39">
        <f t="shared" si="71"/>
        <v>7050726.0190376416</v>
      </c>
    </row>
    <row r="2230" spans="2:4" x14ac:dyDescent="0.25">
      <c r="B2230" s="90">
        <v>2226</v>
      </c>
      <c r="C2230" s="39">
        <f t="shared" si="70"/>
        <v>7683242.7602219954</v>
      </c>
      <c r="D2230" s="39">
        <f t="shared" si="71"/>
        <v>7053894.8846641751</v>
      </c>
    </row>
    <row r="2231" spans="2:4" x14ac:dyDescent="0.25">
      <c r="B2231" s="90">
        <v>2227</v>
      </c>
      <c r="C2231" s="39">
        <f t="shared" si="70"/>
        <v>7685905.6725132</v>
      </c>
      <c r="D2231" s="39">
        <f t="shared" si="71"/>
        <v>7057063.7502907086</v>
      </c>
    </row>
    <row r="2232" spans="2:4" x14ac:dyDescent="0.25">
      <c r="B2232" s="90">
        <v>2228</v>
      </c>
      <c r="C2232" s="39">
        <f t="shared" si="70"/>
        <v>7688568.5848044055</v>
      </c>
      <c r="D2232" s="39">
        <f t="shared" si="71"/>
        <v>7060232.6159172421</v>
      </c>
    </row>
    <row r="2233" spans="2:4" x14ac:dyDescent="0.25">
      <c r="B2233" s="90">
        <v>2229</v>
      </c>
      <c r="C2233" s="39">
        <f t="shared" si="70"/>
        <v>7691231.49709561</v>
      </c>
      <c r="D2233" s="39">
        <f t="shared" si="71"/>
        <v>7063401.4815437766</v>
      </c>
    </row>
    <row r="2234" spans="2:4" x14ac:dyDescent="0.25">
      <c r="B2234" s="90">
        <v>2230</v>
      </c>
      <c r="C2234" s="39">
        <f t="shared" si="70"/>
        <v>7693894.4093868146</v>
      </c>
      <c r="D2234" s="39">
        <f t="shared" si="71"/>
        <v>7066570.3471703101</v>
      </c>
    </row>
    <row r="2235" spans="2:4" x14ac:dyDescent="0.25">
      <c r="B2235" s="90">
        <v>2231</v>
      </c>
      <c r="C2235" s="39">
        <f t="shared" si="70"/>
        <v>7696557.3216780201</v>
      </c>
      <c r="D2235" s="39">
        <f t="shared" si="71"/>
        <v>7069739.2127968436</v>
      </c>
    </row>
    <row r="2236" spans="2:4" x14ac:dyDescent="0.25">
      <c r="B2236" s="90">
        <v>2232</v>
      </c>
      <c r="C2236" s="39">
        <f t="shared" si="70"/>
        <v>7699220.2339692246</v>
      </c>
      <c r="D2236" s="39">
        <f t="shared" si="71"/>
        <v>7072908.0784233771</v>
      </c>
    </row>
    <row r="2237" spans="2:4" x14ac:dyDescent="0.25">
      <c r="B2237" s="90">
        <v>2233</v>
      </c>
      <c r="C2237" s="39">
        <f t="shared" si="70"/>
        <v>7701883.1462604292</v>
      </c>
      <c r="D2237" s="39">
        <f t="shared" si="71"/>
        <v>7076076.9440499116</v>
      </c>
    </row>
    <row r="2238" spans="2:4" x14ac:dyDescent="0.25">
      <c r="B2238" s="90">
        <v>2234</v>
      </c>
      <c r="C2238" s="39">
        <f t="shared" si="70"/>
        <v>7704546.0585516337</v>
      </c>
      <c r="D2238" s="39">
        <f t="shared" si="71"/>
        <v>7079245.8096764451</v>
      </c>
    </row>
    <row r="2239" spans="2:4" x14ac:dyDescent="0.25">
      <c r="B2239" s="90">
        <v>2235</v>
      </c>
      <c r="C2239" s="39">
        <f t="shared" si="70"/>
        <v>7707208.9708428392</v>
      </c>
      <c r="D2239" s="39">
        <f t="shared" si="71"/>
        <v>7082414.6753029786</v>
      </c>
    </row>
    <row r="2240" spans="2:4" x14ac:dyDescent="0.25">
      <c r="B2240" s="90">
        <v>2236</v>
      </c>
      <c r="C2240" s="39">
        <f t="shared" si="70"/>
        <v>7709871.8831340438</v>
      </c>
      <c r="D2240" s="39">
        <f t="shared" si="71"/>
        <v>7085583.5409295131</v>
      </c>
    </row>
    <row r="2241" spans="2:4" x14ac:dyDescent="0.25">
      <c r="B2241" s="90">
        <v>2237</v>
      </c>
      <c r="C2241" s="39">
        <f t="shared" si="70"/>
        <v>7712534.7954252483</v>
      </c>
      <c r="D2241" s="39">
        <f t="shared" si="71"/>
        <v>7088752.4065560466</v>
      </c>
    </row>
    <row r="2242" spans="2:4" x14ac:dyDescent="0.25">
      <c r="B2242" s="90">
        <v>2238</v>
      </c>
      <c r="C2242" s="39">
        <f t="shared" si="70"/>
        <v>7715197.7077164538</v>
      </c>
      <c r="D2242" s="39">
        <f t="shared" si="71"/>
        <v>7091921.2721825801</v>
      </c>
    </row>
    <row r="2243" spans="2:4" x14ac:dyDescent="0.25">
      <c r="B2243" s="90">
        <v>2239</v>
      </c>
      <c r="C2243" s="39">
        <f t="shared" si="70"/>
        <v>7717860.6200076584</v>
      </c>
      <c r="D2243" s="39">
        <f t="shared" si="71"/>
        <v>7095090.1378091136</v>
      </c>
    </row>
    <row r="2244" spans="2:4" x14ac:dyDescent="0.25">
      <c r="B2244" s="90">
        <v>2240</v>
      </c>
      <c r="C2244" s="39">
        <f t="shared" si="70"/>
        <v>7720523.5322988629</v>
      </c>
      <c r="D2244" s="39">
        <f t="shared" si="71"/>
        <v>7098259.003435648</v>
      </c>
    </row>
    <row r="2245" spans="2:4" x14ac:dyDescent="0.25">
      <c r="B2245" s="90">
        <v>2241</v>
      </c>
      <c r="C2245" s="39">
        <f t="shared" si="70"/>
        <v>7723186.4445900684</v>
      </c>
      <c r="D2245" s="39">
        <f t="shared" si="71"/>
        <v>7101427.8690621816</v>
      </c>
    </row>
    <row r="2246" spans="2:4" x14ac:dyDescent="0.25">
      <c r="B2246" s="90">
        <v>2242</v>
      </c>
      <c r="C2246" s="39">
        <f t="shared" si="70"/>
        <v>7725849.356881273</v>
      </c>
      <c r="D2246" s="39">
        <f t="shared" si="71"/>
        <v>7104596.7346887151</v>
      </c>
    </row>
    <row r="2247" spans="2:4" x14ac:dyDescent="0.25">
      <c r="B2247" s="90">
        <v>2243</v>
      </c>
      <c r="C2247" s="39">
        <f t="shared" si="70"/>
        <v>7728512.2691724775</v>
      </c>
      <c r="D2247" s="39">
        <f t="shared" si="71"/>
        <v>7107765.6003152495</v>
      </c>
    </row>
    <row r="2248" spans="2:4" x14ac:dyDescent="0.25">
      <c r="B2248" s="90">
        <v>2244</v>
      </c>
      <c r="C2248" s="39">
        <f t="shared" si="70"/>
        <v>7731175.181463683</v>
      </c>
      <c r="D2248" s="39">
        <f t="shared" si="71"/>
        <v>7110934.465941783</v>
      </c>
    </row>
    <row r="2249" spans="2:4" x14ac:dyDescent="0.25">
      <c r="B2249" s="90">
        <v>2245</v>
      </c>
      <c r="C2249" s="39">
        <f t="shared" si="70"/>
        <v>7733838.0937548876</v>
      </c>
      <c r="D2249" s="39">
        <f t="shared" si="71"/>
        <v>7114103.3315683166</v>
      </c>
    </row>
    <row r="2250" spans="2:4" x14ac:dyDescent="0.25">
      <c r="B2250" s="90">
        <v>2246</v>
      </c>
      <c r="C2250" s="39">
        <f t="shared" si="70"/>
        <v>7736501.0060460921</v>
      </c>
      <c r="D2250" s="39">
        <f t="shared" si="71"/>
        <v>7117272.1971948501</v>
      </c>
    </row>
    <row r="2251" spans="2:4" x14ac:dyDescent="0.25">
      <c r="B2251" s="90">
        <v>2247</v>
      </c>
      <c r="C2251" s="39">
        <f t="shared" si="70"/>
        <v>7739163.9183372976</v>
      </c>
      <c r="D2251" s="39">
        <f t="shared" si="71"/>
        <v>7120441.0628213845</v>
      </c>
    </row>
    <row r="2252" spans="2:4" x14ac:dyDescent="0.25">
      <c r="B2252" s="90">
        <v>2248</v>
      </c>
      <c r="C2252" s="39">
        <f t="shared" si="70"/>
        <v>7741826.8306285022</v>
      </c>
      <c r="D2252" s="39">
        <f t="shared" si="71"/>
        <v>7123609.928447918</v>
      </c>
    </row>
    <row r="2253" spans="2:4" x14ac:dyDescent="0.25">
      <c r="B2253" s="90">
        <v>2249</v>
      </c>
      <c r="C2253" s="39">
        <f t="shared" si="70"/>
        <v>7744489.7429197067</v>
      </c>
      <c r="D2253" s="39">
        <f t="shared" si="71"/>
        <v>7126778.7940744516</v>
      </c>
    </row>
    <row r="2254" spans="2:4" x14ac:dyDescent="0.25">
      <c r="B2254" s="90">
        <v>2250</v>
      </c>
      <c r="C2254" s="39">
        <f t="shared" si="70"/>
        <v>7747152.6552109122</v>
      </c>
      <c r="D2254" s="39">
        <f t="shared" si="71"/>
        <v>7129947.6597009851</v>
      </c>
    </row>
    <row r="2255" spans="2:4" x14ac:dyDescent="0.25">
      <c r="B2255" s="90">
        <v>2251</v>
      </c>
      <c r="C2255" s="39">
        <f t="shared" si="70"/>
        <v>7749815.5675021168</v>
      </c>
      <c r="D2255" s="39">
        <f t="shared" si="71"/>
        <v>7133116.5253275195</v>
      </c>
    </row>
    <row r="2256" spans="2:4" x14ac:dyDescent="0.25">
      <c r="B2256" s="90">
        <v>2252</v>
      </c>
      <c r="C2256" s="39">
        <f t="shared" si="70"/>
        <v>7752478.4797933213</v>
      </c>
      <c r="D2256" s="39">
        <f t="shared" si="71"/>
        <v>7136285.390954053</v>
      </c>
    </row>
    <row r="2257" spans="2:4" x14ac:dyDescent="0.25">
      <c r="B2257" s="90">
        <v>2253</v>
      </c>
      <c r="C2257" s="39">
        <f t="shared" si="70"/>
        <v>7755141.3920845259</v>
      </c>
      <c r="D2257" s="39">
        <f t="shared" si="71"/>
        <v>7139454.2565805865</v>
      </c>
    </row>
    <row r="2258" spans="2:4" x14ac:dyDescent="0.25">
      <c r="B2258" s="90">
        <v>2254</v>
      </c>
      <c r="C2258" s="39">
        <f t="shared" si="70"/>
        <v>7757804.3043757314</v>
      </c>
      <c r="D2258" s="39">
        <f t="shared" si="71"/>
        <v>7142623.122207121</v>
      </c>
    </row>
    <row r="2259" spans="2:4" x14ac:dyDescent="0.25">
      <c r="B2259" s="90">
        <v>2255</v>
      </c>
      <c r="C2259" s="39">
        <f t="shared" si="70"/>
        <v>7760467.2166669359</v>
      </c>
      <c r="D2259" s="39">
        <f t="shared" si="71"/>
        <v>7145791.9878336545</v>
      </c>
    </row>
    <row r="2260" spans="2:4" x14ac:dyDescent="0.25">
      <c r="B2260" s="90">
        <v>2256</v>
      </c>
      <c r="C2260" s="39">
        <f t="shared" si="70"/>
        <v>7763130.1289581405</v>
      </c>
      <c r="D2260" s="39">
        <f t="shared" si="71"/>
        <v>7148960.853460188</v>
      </c>
    </row>
    <row r="2261" spans="2:4" x14ac:dyDescent="0.25">
      <c r="B2261" s="90">
        <v>2257</v>
      </c>
      <c r="C2261" s="39">
        <f t="shared" si="70"/>
        <v>7765793.041249346</v>
      </c>
      <c r="D2261" s="39">
        <f t="shared" si="71"/>
        <v>7152129.7190867215</v>
      </c>
    </row>
    <row r="2262" spans="2:4" x14ac:dyDescent="0.25">
      <c r="B2262" s="90">
        <v>2258</v>
      </c>
      <c r="C2262" s="39">
        <f t="shared" si="70"/>
        <v>7768455.9535405505</v>
      </c>
      <c r="D2262" s="39">
        <f t="shared" si="71"/>
        <v>7155298.584713256</v>
      </c>
    </row>
    <row r="2263" spans="2:4" x14ac:dyDescent="0.25">
      <c r="B2263" s="90">
        <v>2259</v>
      </c>
      <c r="C2263" s="39">
        <f t="shared" si="70"/>
        <v>7771118.8658317551</v>
      </c>
      <c r="D2263" s="39">
        <f t="shared" si="71"/>
        <v>7158467.4503397895</v>
      </c>
    </row>
    <row r="2264" spans="2:4" x14ac:dyDescent="0.25">
      <c r="B2264" s="90">
        <v>2260</v>
      </c>
      <c r="C2264" s="39">
        <f t="shared" si="70"/>
        <v>7773781.7781229606</v>
      </c>
      <c r="D2264" s="39">
        <f t="shared" si="71"/>
        <v>7161636.315966323</v>
      </c>
    </row>
    <row r="2265" spans="2:4" x14ac:dyDescent="0.25">
      <c r="B2265" s="90">
        <v>2261</v>
      </c>
      <c r="C2265" s="39">
        <f t="shared" si="70"/>
        <v>7776444.6904141651</v>
      </c>
      <c r="D2265" s="39">
        <f t="shared" si="71"/>
        <v>7164805.1815928565</v>
      </c>
    </row>
    <row r="2266" spans="2:4" x14ac:dyDescent="0.25">
      <c r="B2266" s="90">
        <v>2262</v>
      </c>
      <c r="C2266" s="39">
        <f t="shared" si="70"/>
        <v>7779107.6027053697</v>
      </c>
      <c r="D2266" s="39">
        <f t="shared" si="71"/>
        <v>7167974.047219391</v>
      </c>
    </row>
    <row r="2267" spans="2:4" x14ac:dyDescent="0.25">
      <c r="B2267" s="90">
        <v>2263</v>
      </c>
      <c r="C2267" s="39">
        <f t="shared" si="70"/>
        <v>7781770.5149965752</v>
      </c>
      <c r="D2267" s="39">
        <f t="shared" si="71"/>
        <v>7171142.9128459245</v>
      </c>
    </row>
    <row r="2268" spans="2:4" x14ac:dyDescent="0.25">
      <c r="B2268" s="90">
        <v>2264</v>
      </c>
      <c r="C2268" s="39">
        <f t="shared" si="70"/>
        <v>7784433.4272877797</v>
      </c>
      <c r="D2268" s="39">
        <f t="shared" si="71"/>
        <v>7174311.778472458</v>
      </c>
    </row>
    <row r="2269" spans="2:4" x14ac:dyDescent="0.25">
      <c r="B2269" s="90">
        <v>2265</v>
      </c>
      <c r="C2269" s="39">
        <f t="shared" si="70"/>
        <v>7787096.3395789843</v>
      </c>
      <c r="D2269" s="39">
        <f t="shared" si="71"/>
        <v>7177480.6440989925</v>
      </c>
    </row>
    <row r="2270" spans="2:4" x14ac:dyDescent="0.25">
      <c r="B2270" s="90">
        <v>2266</v>
      </c>
      <c r="C2270" s="39">
        <f t="shared" si="70"/>
        <v>7789759.2518701898</v>
      </c>
      <c r="D2270" s="39">
        <f t="shared" si="71"/>
        <v>7180649.509725526</v>
      </c>
    </row>
    <row r="2271" spans="2:4" x14ac:dyDescent="0.25">
      <c r="B2271" s="90">
        <v>2267</v>
      </c>
      <c r="C2271" s="39">
        <f t="shared" si="70"/>
        <v>7792422.1641613944</v>
      </c>
      <c r="D2271" s="39">
        <f t="shared" si="71"/>
        <v>7183818.3753520595</v>
      </c>
    </row>
    <row r="2272" spans="2:4" x14ac:dyDescent="0.25">
      <c r="B2272" s="90">
        <v>2268</v>
      </c>
      <c r="C2272" s="39">
        <f t="shared" si="70"/>
        <v>7795085.0764525989</v>
      </c>
      <c r="D2272" s="39">
        <f t="shared" si="71"/>
        <v>7186987.240978593</v>
      </c>
    </row>
    <row r="2273" spans="2:4" x14ac:dyDescent="0.25">
      <c r="B2273" s="90">
        <v>2269</v>
      </c>
      <c r="C2273" s="39">
        <f t="shared" si="70"/>
        <v>7797747.9887438035</v>
      </c>
      <c r="D2273" s="39">
        <f t="shared" si="71"/>
        <v>7190156.1066051275</v>
      </c>
    </row>
    <row r="2274" spans="2:4" x14ac:dyDescent="0.25">
      <c r="B2274" s="90">
        <v>2270</v>
      </c>
      <c r="C2274" s="39">
        <f t="shared" si="70"/>
        <v>7800410.901035009</v>
      </c>
      <c r="D2274" s="39">
        <f t="shared" si="71"/>
        <v>7193324.972231661</v>
      </c>
    </row>
    <row r="2275" spans="2:4" x14ac:dyDescent="0.25">
      <c r="B2275" s="90">
        <v>2271</v>
      </c>
      <c r="C2275" s="39">
        <f t="shared" si="70"/>
        <v>7803073.8133262135</v>
      </c>
      <c r="D2275" s="39">
        <f t="shared" si="71"/>
        <v>7196493.8378581945</v>
      </c>
    </row>
    <row r="2276" spans="2:4" x14ac:dyDescent="0.25">
      <c r="B2276" s="90">
        <v>2272</v>
      </c>
      <c r="C2276" s="39">
        <f t="shared" si="70"/>
        <v>7805736.7256174181</v>
      </c>
      <c r="D2276" s="39">
        <f t="shared" si="71"/>
        <v>7199662.703484728</v>
      </c>
    </row>
    <row r="2277" spans="2:4" x14ac:dyDescent="0.25">
      <c r="B2277" s="90">
        <v>2273</v>
      </c>
      <c r="C2277" s="39">
        <f t="shared" si="70"/>
        <v>7808399.6379086236</v>
      </c>
      <c r="D2277" s="39">
        <f t="shared" si="71"/>
        <v>7202831.5691112624</v>
      </c>
    </row>
    <row r="2278" spans="2:4" x14ac:dyDescent="0.25">
      <c r="B2278" s="90">
        <v>2274</v>
      </c>
      <c r="C2278" s="39">
        <f t="shared" si="70"/>
        <v>7811062.5501998281</v>
      </c>
      <c r="D2278" s="39">
        <f t="shared" si="71"/>
        <v>7206000.434737796</v>
      </c>
    </row>
    <row r="2279" spans="2:4" x14ac:dyDescent="0.25">
      <c r="B2279" s="90">
        <v>2275</v>
      </c>
      <c r="C2279" s="39">
        <f t="shared" si="70"/>
        <v>7813725.4624910327</v>
      </c>
      <c r="D2279" s="39">
        <f t="shared" si="71"/>
        <v>7209169.3003643295</v>
      </c>
    </row>
    <row r="2280" spans="2:4" x14ac:dyDescent="0.25">
      <c r="B2280" s="90">
        <v>2276</v>
      </c>
      <c r="C2280" s="39">
        <f t="shared" si="70"/>
        <v>7816388.3747822382</v>
      </c>
      <c r="D2280" s="39">
        <f t="shared" si="71"/>
        <v>7212338.1659908639</v>
      </c>
    </row>
    <row r="2281" spans="2:4" x14ac:dyDescent="0.25">
      <c r="B2281" s="90">
        <v>2277</v>
      </c>
      <c r="C2281" s="39">
        <f t="shared" si="70"/>
        <v>7819051.2870734427</v>
      </c>
      <c r="D2281" s="39">
        <f t="shared" si="71"/>
        <v>7215507.0316173974</v>
      </c>
    </row>
    <row r="2282" spans="2:4" x14ac:dyDescent="0.25">
      <c r="B2282" s="90">
        <v>2278</v>
      </c>
      <c r="C2282" s="39">
        <f t="shared" si="70"/>
        <v>7821714.1993646473</v>
      </c>
      <c r="D2282" s="39">
        <f t="shared" si="71"/>
        <v>7218675.897243931</v>
      </c>
    </row>
    <row r="2283" spans="2:4" x14ac:dyDescent="0.25">
      <c r="B2283" s="90">
        <v>2279</v>
      </c>
      <c r="C2283" s="39">
        <f t="shared" si="70"/>
        <v>7824377.1116558528</v>
      </c>
      <c r="D2283" s="39">
        <f t="shared" si="71"/>
        <v>7221844.7628704645</v>
      </c>
    </row>
    <row r="2284" spans="2:4" x14ac:dyDescent="0.25">
      <c r="B2284" s="90">
        <v>2280</v>
      </c>
      <c r="C2284" s="39">
        <f t="shared" si="70"/>
        <v>7827040.0239470573</v>
      </c>
      <c r="D2284" s="39">
        <f t="shared" si="71"/>
        <v>7225013.6284969989</v>
      </c>
    </row>
    <row r="2285" spans="2:4" x14ac:dyDescent="0.25">
      <c r="B2285" s="90">
        <v>2281</v>
      </c>
      <c r="C2285" s="39">
        <f t="shared" si="70"/>
        <v>7829702.9362382619</v>
      </c>
      <c r="D2285" s="39">
        <f t="shared" si="71"/>
        <v>7228182.4941235324</v>
      </c>
    </row>
    <row r="2286" spans="2:4" x14ac:dyDescent="0.25">
      <c r="B2286" s="90">
        <v>2282</v>
      </c>
      <c r="C2286" s="39">
        <f t="shared" si="70"/>
        <v>7832365.8485294674</v>
      </c>
      <c r="D2286" s="39">
        <f t="shared" si="71"/>
        <v>7231351.359750066</v>
      </c>
    </row>
    <row r="2287" spans="2:4" x14ac:dyDescent="0.25">
      <c r="B2287" s="90">
        <v>2283</v>
      </c>
      <c r="C2287" s="39">
        <f t="shared" si="70"/>
        <v>7835028.7608206719</v>
      </c>
      <c r="D2287" s="39">
        <f t="shared" si="71"/>
        <v>7234520.2253765995</v>
      </c>
    </row>
    <row r="2288" spans="2:4" x14ac:dyDescent="0.25">
      <c r="B2288" s="90">
        <v>2284</v>
      </c>
      <c r="C2288" s="39">
        <f t="shared" si="70"/>
        <v>7837691.6731118765</v>
      </c>
      <c r="D2288" s="39">
        <f t="shared" si="71"/>
        <v>7237689.0910031339</v>
      </c>
    </row>
    <row r="2289" spans="2:4" x14ac:dyDescent="0.25">
      <c r="B2289" s="90">
        <v>2285</v>
      </c>
      <c r="C2289" s="39">
        <f t="shared" ref="C2289:C2352" si="72">($C$2*B2289)+$C$1</f>
        <v>7840354.585403082</v>
      </c>
      <c r="D2289" s="39">
        <f t="shared" ref="D2289:D2352" si="73">$D$2*B2289</f>
        <v>7240857.9566296674</v>
      </c>
    </row>
    <row r="2290" spans="2:4" x14ac:dyDescent="0.25">
      <c r="B2290" s="90">
        <v>2286</v>
      </c>
      <c r="C2290" s="39">
        <f t="shared" si="72"/>
        <v>7843017.4976942865</v>
      </c>
      <c r="D2290" s="39">
        <f t="shared" si="73"/>
        <v>7244026.8222562009</v>
      </c>
    </row>
    <row r="2291" spans="2:4" x14ac:dyDescent="0.25">
      <c r="B2291" s="90">
        <v>2287</v>
      </c>
      <c r="C2291" s="39">
        <f t="shared" si="72"/>
        <v>7845680.4099854911</v>
      </c>
      <c r="D2291" s="39">
        <f t="shared" si="73"/>
        <v>7247195.6878827354</v>
      </c>
    </row>
    <row r="2292" spans="2:4" x14ac:dyDescent="0.25">
      <c r="B2292" s="90">
        <v>2288</v>
      </c>
      <c r="C2292" s="39">
        <f t="shared" si="72"/>
        <v>7848343.3222766956</v>
      </c>
      <c r="D2292" s="39">
        <f t="shared" si="73"/>
        <v>7250364.5535092689</v>
      </c>
    </row>
    <row r="2293" spans="2:4" x14ac:dyDescent="0.25">
      <c r="B2293" s="90">
        <v>2289</v>
      </c>
      <c r="C2293" s="39">
        <f t="shared" si="72"/>
        <v>7851006.2345679011</v>
      </c>
      <c r="D2293" s="39">
        <f t="shared" si="73"/>
        <v>7253533.4191358024</v>
      </c>
    </row>
    <row r="2294" spans="2:4" x14ac:dyDescent="0.25">
      <c r="B2294" s="90">
        <v>2290</v>
      </c>
      <c r="C2294" s="39">
        <f t="shared" si="72"/>
        <v>7853669.1468591057</v>
      </c>
      <c r="D2294" s="39">
        <f t="shared" si="73"/>
        <v>7256702.2847623359</v>
      </c>
    </row>
    <row r="2295" spans="2:4" x14ac:dyDescent="0.25">
      <c r="B2295" s="90">
        <v>2291</v>
      </c>
      <c r="C2295" s="39">
        <f t="shared" si="72"/>
        <v>7856332.0591503102</v>
      </c>
      <c r="D2295" s="39">
        <f t="shared" si="73"/>
        <v>7259871.1503888704</v>
      </c>
    </row>
    <row r="2296" spans="2:4" x14ac:dyDescent="0.25">
      <c r="B2296" s="90">
        <v>2292</v>
      </c>
      <c r="C2296" s="39">
        <f t="shared" si="72"/>
        <v>7858994.9714415157</v>
      </c>
      <c r="D2296" s="39">
        <f t="shared" si="73"/>
        <v>7263040.0160154039</v>
      </c>
    </row>
    <row r="2297" spans="2:4" x14ac:dyDescent="0.25">
      <c r="B2297" s="90">
        <v>2293</v>
      </c>
      <c r="C2297" s="39">
        <f t="shared" si="72"/>
        <v>7861657.8837327203</v>
      </c>
      <c r="D2297" s="39">
        <f t="shared" si="73"/>
        <v>7266208.8816419374</v>
      </c>
    </row>
    <row r="2298" spans="2:4" x14ac:dyDescent="0.25">
      <c r="B2298" s="90">
        <v>2294</v>
      </c>
      <c r="C2298" s="39">
        <f t="shared" si="72"/>
        <v>7864320.7960239248</v>
      </c>
      <c r="D2298" s="39">
        <f t="shared" si="73"/>
        <v>7269377.7472684719</v>
      </c>
    </row>
    <row r="2299" spans="2:4" x14ac:dyDescent="0.25">
      <c r="B2299" s="90">
        <v>2295</v>
      </c>
      <c r="C2299" s="39">
        <f t="shared" si="72"/>
        <v>7866983.7083151303</v>
      </c>
      <c r="D2299" s="39">
        <f t="shared" si="73"/>
        <v>7272546.6128950054</v>
      </c>
    </row>
    <row r="2300" spans="2:4" x14ac:dyDescent="0.25">
      <c r="B2300" s="90">
        <v>2296</v>
      </c>
      <c r="C2300" s="39">
        <f t="shared" si="72"/>
        <v>7869646.6206063349</v>
      </c>
      <c r="D2300" s="39">
        <f t="shared" si="73"/>
        <v>7275715.4785215389</v>
      </c>
    </row>
    <row r="2301" spans="2:4" x14ac:dyDescent="0.25">
      <c r="B2301" s="90">
        <v>2297</v>
      </c>
      <c r="C2301" s="39">
        <f t="shared" si="72"/>
        <v>7872309.5328975394</v>
      </c>
      <c r="D2301" s="39">
        <f t="shared" si="73"/>
        <v>7278884.3441480724</v>
      </c>
    </row>
    <row r="2302" spans="2:4" x14ac:dyDescent="0.25">
      <c r="B2302" s="90">
        <v>2298</v>
      </c>
      <c r="C2302" s="39">
        <f t="shared" si="72"/>
        <v>7874972.4451887449</v>
      </c>
      <c r="D2302" s="39">
        <f t="shared" si="73"/>
        <v>7282053.2097746069</v>
      </c>
    </row>
    <row r="2303" spans="2:4" x14ac:dyDescent="0.25">
      <c r="B2303" s="90">
        <v>2299</v>
      </c>
      <c r="C2303" s="39">
        <f t="shared" si="72"/>
        <v>7877635.3574799495</v>
      </c>
      <c r="D2303" s="39">
        <f t="shared" si="73"/>
        <v>7285222.0754011404</v>
      </c>
    </row>
    <row r="2304" spans="2:4" x14ac:dyDescent="0.25">
      <c r="B2304" s="90">
        <v>2300</v>
      </c>
      <c r="C2304" s="39">
        <f t="shared" si="72"/>
        <v>7880298.269771154</v>
      </c>
      <c r="D2304" s="39">
        <f t="shared" si="73"/>
        <v>7288390.9410276739</v>
      </c>
    </row>
    <row r="2305" spans="2:4" x14ac:dyDescent="0.25">
      <c r="B2305" s="90">
        <v>2301</v>
      </c>
      <c r="C2305" s="39">
        <f t="shared" si="72"/>
        <v>7882961.1820623595</v>
      </c>
      <c r="D2305" s="39">
        <f t="shared" si="73"/>
        <v>7291559.8066542074</v>
      </c>
    </row>
    <row r="2306" spans="2:4" x14ac:dyDescent="0.25">
      <c r="B2306" s="90">
        <v>2302</v>
      </c>
      <c r="C2306" s="39">
        <f t="shared" si="72"/>
        <v>7885624.0943535641</v>
      </c>
      <c r="D2306" s="39">
        <f t="shared" si="73"/>
        <v>7294728.6722807419</v>
      </c>
    </row>
    <row r="2307" spans="2:4" x14ac:dyDescent="0.25">
      <c r="B2307" s="90">
        <v>2303</v>
      </c>
      <c r="C2307" s="39">
        <f t="shared" si="72"/>
        <v>7888287.0066447686</v>
      </c>
      <c r="D2307" s="39">
        <f t="shared" si="73"/>
        <v>7297897.5379072754</v>
      </c>
    </row>
    <row r="2308" spans="2:4" x14ac:dyDescent="0.25">
      <c r="B2308" s="90">
        <v>2304</v>
      </c>
      <c r="C2308" s="39">
        <f t="shared" si="72"/>
        <v>7890949.9189359732</v>
      </c>
      <c r="D2308" s="39">
        <f t="shared" si="73"/>
        <v>7301066.4035338089</v>
      </c>
    </row>
    <row r="2309" spans="2:4" x14ac:dyDescent="0.25">
      <c r="B2309" s="90">
        <v>2305</v>
      </c>
      <c r="C2309" s="39">
        <f t="shared" si="72"/>
        <v>7893612.8312271787</v>
      </c>
      <c r="D2309" s="39">
        <f t="shared" si="73"/>
        <v>7304235.2691603433</v>
      </c>
    </row>
    <row r="2310" spans="2:4" x14ac:dyDescent="0.25">
      <c r="B2310" s="90">
        <v>2306</v>
      </c>
      <c r="C2310" s="39">
        <f t="shared" si="72"/>
        <v>7896275.7435183832</v>
      </c>
      <c r="D2310" s="39">
        <f t="shared" si="73"/>
        <v>7307404.1347868768</v>
      </c>
    </row>
    <row r="2311" spans="2:4" x14ac:dyDescent="0.25">
      <c r="B2311" s="90">
        <v>2307</v>
      </c>
      <c r="C2311" s="39">
        <f t="shared" si="72"/>
        <v>7898938.6558095878</v>
      </c>
      <c r="D2311" s="39">
        <f t="shared" si="73"/>
        <v>7310573.0004134104</v>
      </c>
    </row>
    <row r="2312" spans="2:4" x14ac:dyDescent="0.25">
      <c r="B2312" s="90">
        <v>2308</v>
      </c>
      <c r="C2312" s="39">
        <f t="shared" si="72"/>
        <v>7901601.5681007933</v>
      </c>
      <c r="D2312" s="39">
        <f t="shared" si="73"/>
        <v>7313741.8660399439</v>
      </c>
    </row>
    <row r="2313" spans="2:4" x14ac:dyDescent="0.25">
      <c r="B2313" s="90">
        <v>2309</v>
      </c>
      <c r="C2313" s="39">
        <f t="shared" si="72"/>
        <v>7904264.4803919978</v>
      </c>
      <c r="D2313" s="39">
        <f t="shared" si="73"/>
        <v>7316910.7316664783</v>
      </c>
    </row>
    <row r="2314" spans="2:4" x14ac:dyDescent="0.25">
      <c r="B2314" s="90">
        <v>2310</v>
      </c>
      <c r="C2314" s="39">
        <f t="shared" si="72"/>
        <v>7906927.3926832024</v>
      </c>
      <c r="D2314" s="39">
        <f t="shared" si="73"/>
        <v>7320079.5972930118</v>
      </c>
    </row>
    <row r="2315" spans="2:4" x14ac:dyDescent="0.25">
      <c r="B2315" s="90">
        <v>2311</v>
      </c>
      <c r="C2315" s="39">
        <f t="shared" si="72"/>
        <v>7909590.3049744079</v>
      </c>
      <c r="D2315" s="39">
        <f t="shared" si="73"/>
        <v>7323248.4629195454</v>
      </c>
    </row>
    <row r="2316" spans="2:4" x14ac:dyDescent="0.25">
      <c r="B2316" s="90">
        <v>2312</v>
      </c>
      <c r="C2316" s="39">
        <f t="shared" si="72"/>
        <v>7912253.2172656124</v>
      </c>
      <c r="D2316" s="39">
        <f t="shared" si="73"/>
        <v>7326417.3285460789</v>
      </c>
    </row>
    <row r="2317" spans="2:4" x14ac:dyDescent="0.25">
      <c r="B2317" s="90">
        <v>2313</v>
      </c>
      <c r="C2317" s="39">
        <f t="shared" si="72"/>
        <v>7914916.129556817</v>
      </c>
      <c r="D2317" s="39">
        <f t="shared" si="73"/>
        <v>7329586.1941726133</v>
      </c>
    </row>
    <row r="2318" spans="2:4" x14ac:dyDescent="0.25">
      <c r="B2318" s="90">
        <v>2314</v>
      </c>
      <c r="C2318" s="39">
        <f t="shared" si="72"/>
        <v>7917579.0418480225</v>
      </c>
      <c r="D2318" s="39">
        <f t="shared" si="73"/>
        <v>7332755.0597991468</v>
      </c>
    </row>
    <row r="2319" spans="2:4" x14ac:dyDescent="0.25">
      <c r="B2319" s="90">
        <v>2315</v>
      </c>
      <c r="C2319" s="39">
        <f t="shared" si="72"/>
        <v>7920241.954139227</v>
      </c>
      <c r="D2319" s="39">
        <f t="shared" si="73"/>
        <v>7335923.9254256804</v>
      </c>
    </row>
    <row r="2320" spans="2:4" x14ac:dyDescent="0.25">
      <c r="B2320" s="90">
        <v>2316</v>
      </c>
      <c r="C2320" s="39">
        <f t="shared" si="72"/>
        <v>7922904.8664304316</v>
      </c>
      <c r="D2320" s="39">
        <f t="shared" si="73"/>
        <v>7339092.7910522148</v>
      </c>
    </row>
    <row r="2321" spans="2:4" x14ac:dyDescent="0.25">
      <c r="B2321" s="90">
        <v>2317</v>
      </c>
      <c r="C2321" s="39">
        <f t="shared" si="72"/>
        <v>7925567.7787216371</v>
      </c>
      <c r="D2321" s="39">
        <f t="shared" si="73"/>
        <v>7342261.6566787483</v>
      </c>
    </row>
    <row r="2322" spans="2:4" x14ac:dyDescent="0.25">
      <c r="B2322" s="90">
        <v>2318</v>
      </c>
      <c r="C2322" s="39">
        <f t="shared" si="72"/>
        <v>7928230.6910128416</v>
      </c>
      <c r="D2322" s="39">
        <f t="shared" si="73"/>
        <v>7345430.5223052818</v>
      </c>
    </row>
    <row r="2323" spans="2:4" x14ac:dyDescent="0.25">
      <c r="B2323" s="90">
        <v>2319</v>
      </c>
      <c r="C2323" s="39">
        <f t="shared" si="72"/>
        <v>7930893.6033040462</v>
      </c>
      <c r="D2323" s="39">
        <f t="shared" si="73"/>
        <v>7348599.3879318153</v>
      </c>
    </row>
    <row r="2324" spans="2:4" x14ac:dyDescent="0.25">
      <c r="B2324" s="90">
        <v>2320</v>
      </c>
      <c r="C2324" s="39">
        <f t="shared" si="72"/>
        <v>7933556.5155952517</v>
      </c>
      <c r="D2324" s="39">
        <f t="shared" si="73"/>
        <v>7351768.2535583498</v>
      </c>
    </row>
    <row r="2325" spans="2:4" x14ac:dyDescent="0.25">
      <c r="B2325" s="90">
        <v>2321</v>
      </c>
      <c r="C2325" s="39">
        <f t="shared" si="72"/>
        <v>7936219.4278864563</v>
      </c>
      <c r="D2325" s="39">
        <f t="shared" si="73"/>
        <v>7354937.1191848833</v>
      </c>
    </row>
    <row r="2326" spans="2:4" x14ac:dyDescent="0.25">
      <c r="B2326" s="90">
        <v>2322</v>
      </c>
      <c r="C2326" s="39">
        <f t="shared" si="72"/>
        <v>7938882.3401776608</v>
      </c>
      <c r="D2326" s="39">
        <f t="shared" si="73"/>
        <v>7358105.9848114168</v>
      </c>
    </row>
    <row r="2327" spans="2:4" x14ac:dyDescent="0.25">
      <c r="B2327" s="90">
        <v>2323</v>
      </c>
      <c r="C2327" s="39">
        <f t="shared" si="72"/>
        <v>7941545.2524688654</v>
      </c>
      <c r="D2327" s="39">
        <f t="shared" si="73"/>
        <v>7361274.8504379503</v>
      </c>
    </row>
    <row r="2328" spans="2:4" x14ac:dyDescent="0.25">
      <c r="B2328" s="90">
        <v>2324</v>
      </c>
      <c r="C2328" s="39">
        <f t="shared" si="72"/>
        <v>7944208.1647600709</v>
      </c>
      <c r="D2328" s="39">
        <f t="shared" si="73"/>
        <v>7364443.7160644848</v>
      </c>
    </row>
    <row r="2329" spans="2:4" x14ac:dyDescent="0.25">
      <c r="B2329" s="90">
        <v>2325</v>
      </c>
      <c r="C2329" s="39">
        <f t="shared" si="72"/>
        <v>7946871.0770512754</v>
      </c>
      <c r="D2329" s="39">
        <f t="shared" si="73"/>
        <v>7367612.5816910183</v>
      </c>
    </row>
    <row r="2330" spans="2:4" x14ac:dyDescent="0.25">
      <c r="B2330" s="90">
        <v>2326</v>
      </c>
      <c r="C2330" s="39">
        <f t="shared" si="72"/>
        <v>7949533.98934248</v>
      </c>
      <c r="D2330" s="39">
        <f t="shared" si="73"/>
        <v>7370781.4473175518</v>
      </c>
    </row>
    <row r="2331" spans="2:4" x14ac:dyDescent="0.25">
      <c r="B2331" s="90">
        <v>2327</v>
      </c>
      <c r="C2331" s="39">
        <f t="shared" si="72"/>
        <v>7952196.9016336855</v>
      </c>
      <c r="D2331" s="39">
        <f t="shared" si="73"/>
        <v>7373950.3129440863</v>
      </c>
    </row>
    <row r="2332" spans="2:4" x14ac:dyDescent="0.25">
      <c r="B2332" s="90">
        <v>2328</v>
      </c>
      <c r="C2332" s="39">
        <f t="shared" si="72"/>
        <v>7954859.81392489</v>
      </c>
      <c r="D2332" s="39">
        <f t="shared" si="73"/>
        <v>7377119.1785706198</v>
      </c>
    </row>
    <row r="2333" spans="2:4" x14ac:dyDescent="0.25">
      <c r="B2333" s="90">
        <v>2329</v>
      </c>
      <c r="C2333" s="39">
        <f t="shared" si="72"/>
        <v>7957522.7262160946</v>
      </c>
      <c r="D2333" s="39">
        <f t="shared" si="73"/>
        <v>7380288.0441971533</v>
      </c>
    </row>
    <row r="2334" spans="2:4" x14ac:dyDescent="0.25">
      <c r="B2334" s="90">
        <v>2330</v>
      </c>
      <c r="C2334" s="39">
        <f t="shared" si="72"/>
        <v>7960185.6385073001</v>
      </c>
      <c r="D2334" s="39">
        <f t="shared" si="73"/>
        <v>7383456.9098236868</v>
      </c>
    </row>
    <row r="2335" spans="2:4" x14ac:dyDescent="0.25">
      <c r="B2335" s="90">
        <v>2331</v>
      </c>
      <c r="C2335" s="39">
        <f t="shared" si="72"/>
        <v>7962848.5507985046</v>
      </c>
      <c r="D2335" s="39">
        <f t="shared" si="73"/>
        <v>7386625.7754502213</v>
      </c>
    </row>
    <row r="2336" spans="2:4" x14ac:dyDescent="0.25">
      <c r="B2336" s="90">
        <v>2332</v>
      </c>
      <c r="C2336" s="39">
        <f t="shared" si="72"/>
        <v>7965511.4630897092</v>
      </c>
      <c r="D2336" s="39">
        <f t="shared" si="73"/>
        <v>7389794.6410767548</v>
      </c>
    </row>
    <row r="2337" spans="2:4" x14ac:dyDescent="0.25">
      <c r="B2337" s="90">
        <v>2333</v>
      </c>
      <c r="C2337" s="39">
        <f t="shared" si="72"/>
        <v>7968174.3753809147</v>
      </c>
      <c r="D2337" s="39">
        <f t="shared" si="73"/>
        <v>7392963.5067032883</v>
      </c>
    </row>
    <row r="2338" spans="2:4" x14ac:dyDescent="0.25">
      <c r="B2338" s="90">
        <v>2334</v>
      </c>
      <c r="C2338" s="39">
        <f t="shared" si="72"/>
        <v>7970837.2876721192</v>
      </c>
      <c r="D2338" s="39">
        <f t="shared" si="73"/>
        <v>7396132.3723298218</v>
      </c>
    </row>
    <row r="2339" spans="2:4" x14ac:dyDescent="0.25">
      <c r="B2339" s="90">
        <v>2335</v>
      </c>
      <c r="C2339" s="39">
        <f t="shared" si="72"/>
        <v>7973500.1999633238</v>
      </c>
      <c r="D2339" s="39">
        <f t="shared" si="73"/>
        <v>7399301.2379563563</v>
      </c>
    </row>
    <row r="2340" spans="2:4" x14ac:dyDescent="0.25">
      <c r="B2340" s="90">
        <v>2336</v>
      </c>
      <c r="C2340" s="39">
        <f t="shared" si="72"/>
        <v>7976163.1122545293</v>
      </c>
      <c r="D2340" s="39">
        <f t="shared" si="73"/>
        <v>7402470.1035828898</v>
      </c>
    </row>
    <row r="2341" spans="2:4" x14ac:dyDescent="0.25">
      <c r="B2341" s="90">
        <v>2337</v>
      </c>
      <c r="C2341" s="39">
        <f t="shared" si="72"/>
        <v>7978826.0245457338</v>
      </c>
      <c r="D2341" s="39">
        <f t="shared" si="73"/>
        <v>7405638.9692094233</v>
      </c>
    </row>
    <row r="2342" spans="2:4" x14ac:dyDescent="0.25">
      <c r="B2342" s="90">
        <v>2338</v>
      </c>
      <c r="C2342" s="39">
        <f t="shared" si="72"/>
        <v>7981488.9368369384</v>
      </c>
      <c r="D2342" s="39">
        <f t="shared" si="73"/>
        <v>7408807.8348359577</v>
      </c>
    </row>
    <row r="2343" spans="2:4" x14ac:dyDescent="0.25">
      <c r="B2343" s="90">
        <v>2339</v>
      </c>
      <c r="C2343" s="39">
        <f t="shared" si="72"/>
        <v>7984151.8491281439</v>
      </c>
      <c r="D2343" s="39">
        <f t="shared" si="73"/>
        <v>7411976.7004624913</v>
      </c>
    </row>
    <row r="2344" spans="2:4" x14ac:dyDescent="0.25">
      <c r="B2344" s="90">
        <v>2340</v>
      </c>
      <c r="C2344" s="39">
        <f t="shared" si="72"/>
        <v>7986814.7614193484</v>
      </c>
      <c r="D2344" s="39">
        <f t="shared" si="73"/>
        <v>7415145.5660890248</v>
      </c>
    </row>
    <row r="2345" spans="2:4" x14ac:dyDescent="0.25">
      <c r="B2345" s="90">
        <v>2341</v>
      </c>
      <c r="C2345" s="39">
        <f t="shared" si="72"/>
        <v>7989477.673710553</v>
      </c>
      <c r="D2345" s="39">
        <f t="shared" si="73"/>
        <v>7418314.4317155583</v>
      </c>
    </row>
    <row r="2346" spans="2:4" x14ac:dyDescent="0.25">
      <c r="B2346" s="90">
        <v>2342</v>
      </c>
      <c r="C2346" s="39">
        <f t="shared" si="72"/>
        <v>7992140.5860017575</v>
      </c>
      <c r="D2346" s="39">
        <f t="shared" si="73"/>
        <v>7421483.2973420927</v>
      </c>
    </row>
    <row r="2347" spans="2:4" x14ac:dyDescent="0.25">
      <c r="B2347" s="90">
        <v>2343</v>
      </c>
      <c r="C2347" s="39">
        <f t="shared" si="72"/>
        <v>7994803.498292963</v>
      </c>
      <c r="D2347" s="39">
        <f t="shared" si="73"/>
        <v>7424652.1629686262</v>
      </c>
    </row>
    <row r="2348" spans="2:4" x14ac:dyDescent="0.25">
      <c r="B2348" s="90">
        <v>2344</v>
      </c>
      <c r="C2348" s="39">
        <f t="shared" si="72"/>
        <v>7997466.4105841676</v>
      </c>
      <c r="D2348" s="39">
        <f t="shared" si="73"/>
        <v>7427821.0285951598</v>
      </c>
    </row>
    <row r="2349" spans="2:4" x14ac:dyDescent="0.25">
      <c r="B2349" s="90">
        <v>2345</v>
      </c>
      <c r="C2349" s="39">
        <f t="shared" si="72"/>
        <v>8000129.3228753721</v>
      </c>
      <c r="D2349" s="39">
        <f t="shared" si="73"/>
        <v>7430989.8942216942</v>
      </c>
    </row>
    <row r="2350" spans="2:4" x14ac:dyDescent="0.25">
      <c r="B2350" s="90">
        <v>2346</v>
      </c>
      <c r="C2350" s="39">
        <f t="shared" si="72"/>
        <v>8002792.2351665776</v>
      </c>
      <c r="D2350" s="39">
        <f t="shared" si="73"/>
        <v>7434158.7598482277</v>
      </c>
    </row>
    <row r="2351" spans="2:4" x14ac:dyDescent="0.25">
      <c r="B2351" s="90">
        <v>2347</v>
      </c>
      <c r="C2351" s="39">
        <f t="shared" si="72"/>
        <v>8005455.1474577822</v>
      </c>
      <c r="D2351" s="39">
        <f t="shared" si="73"/>
        <v>7437327.6254747612</v>
      </c>
    </row>
    <row r="2352" spans="2:4" x14ac:dyDescent="0.25">
      <c r="B2352" s="90">
        <v>2348</v>
      </c>
      <c r="C2352" s="39">
        <f t="shared" si="72"/>
        <v>8008118.0597489867</v>
      </c>
      <c r="D2352" s="39">
        <f t="shared" si="73"/>
        <v>7440496.4911012948</v>
      </c>
    </row>
    <row r="2353" spans="2:4" x14ac:dyDescent="0.25">
      <c r="B2353" s="90">
        <v>2349</v>
      </c>
      <c r="C2353" s="39">
        <f t="shared" ref="C2353:C2416" si="74">($C$2*B2353)+$C$1</f>
        <v>8010780.9720401922</v>
      </c>
      <c r="D2353" s="39">
        <f t="shared" ref="D2353:D2416" si="75">$D$2*B2353</f>
        <v>7443665.3567278292</v>
      </c>
    </row>
    <row r="2354" spans="2:4" x14ac:dyDescent="0.25">
      <c r="B2354" s="90">
        <v>2350</v>
      </c>
      <c r="C2354" s="39">
        <f t="shared" si="74"/>
        <v>8013443.8843313968</v>
      </c>
      <c r="D2354" s="39">
        <f t="shared" si="75"/>
        <v>7446834.2223543627</v>
      </c>
    </row>
    <row r="2355" spans="2:4" x14ac:dyDescent="0.25">
      <c r="B2355" s="90">
        <v>2351</v>
      </c>
      <c r="C2355" s="39">
        <f t="shared" si="74"/>
        <v>8016106.7966226013</v>
      </c>
      <c r="D2355" s="39">
        <f t="shared" si="75"/>
        <v>7450003.0879808962</v>
      </c>
    </row>
    <row r="2356" spans="2:4" x14ac:dyDescent="0.25">
      <c r="B2356" s="90">
        <v>2352</v>
      </c>
      <c r="C2356" s="39">
        <f t="shared" si="74"/>
        <v>8018769.7089138068</v>
      </c>
      <c r="D2356" s="39">
        <f t="shared" si="75"/>
        <v>7453171.9536074298</v>
      </c>
    </row>
    <row r="2357" spans="2:4" x14ac:dyDescent="0.25">
      <c r="B2357" s="90">
        <v>2353</v>
      </c>
      <c r="C2357" s="39">
        <f t="shared" si="74"/>
        <v>8021432.6212050114</v>
      </c>
      <c r="D2357" s="39">
        <f t="shared" si="75"/>
        <v>7456340.8192339642</v>
      </c>
    </row>
    <row r="2358" spans="2:4" x14ac:dyDescent="0.25">
      <c r="B2358" s="90">
        <v>2354</v>
      </c>
      <c r="C2358" s="39">
        <f t="shared" si="74"/>
        <v>8024095.5334962159</v>
      </c>
      <c r="D2358" s="39">
        <f t="shared" si="75"/>
        <v>7459509.6848604977</v>
      </c>
    </row>
    <row r="2359" spans="2:4" x14ac:dyDescent="0.25">
      <c r="B2359" s="90">
        <v>2355</v>
      </c>
      <c r="C2359" s="39">
        <f t="shared" si="74"/>
        <v>8026758.4457874214</v>
      </c>
      <c r="D2359" s="39">
        <f t="shared" si="75"/>
        <v>7462678.5504870312</v>
      </c>
    </row>
    <row r="2360" spans="2:4" x14ac:dyDescent="0.25">
      <c r="B2360" s="90">
        <v>2356</v>
      </c>
      <c r="C2360" s="39">
        <f t="shared" si="74"/>
        <v>8029421.358078626</v>
      </c>
      <c r="D2360" s="39">
        <f t="shared" si="75"/>
        <v>7465847.4161135657</v>
      </c>
    </row>
    <row r="2361" spans="2:4" x14ac:dyDescent="0.25">
      <c r="B2361" s="90">
        <v>2357</v>
      </c>
      <c r="C2361" s="39">
        <f t="shared" si="74"/>
        <v>8032084.2703698305</v>
      </c>
      <c r="D2361" s="39">
        <f t="shared" si="75"/>
        <v>7469016.2817400992</v>
      </c>
    </row>
    <row r="2362" spans="2:4" x14ac:dyDescent="0.25">
      <c r="B2362" s="90">
        <v>2358</v>
      </c>
      <c r="C2362" s="39">
        <f t="shared" si="74"/>
        <v>8034747.1826610351</v>
      </c>
      <c r="D2362" s="39">
        <f t="shared" si="75"/>
        <v>7472185.1473666327</v>
      </c>
    </row>
    <row r="2363" spans="2:4" x14ac:dyDescent="0.25">
      <c r="B2363" s="90">
        <v>2359</v>
      </c>
      <c r="C2363" s="39">
        <f t="shared" si="74"/>
        <v>8037410.0949522406</v>
      </c>
      <c r="D2363" s="39">
        <f t="shared" si="75"/>
        <v>7475354.0129931662</v>
      </c>
    </row>
    <row r="2364" spans="2:4" x14ac:dyDescent="0.25">
      <c r="B2364" s="90">
        <v>2360</v>
      </c>
      <c r="C2364" s="39">
        <f t="shared" si="74"/>
        <v>8040073.0072434451</v>
      </c>
      <c r="D2364" s="39">
        <f t="shared" si="75"/>
        <v>7478522.8786197007</v>
      </c>
    </row>
    <row r="2365" spans="2:4" x14ac:dyDescent="0.25">
      <c r="B2365" s="90">
        <v>2361</v>
      </c>
      <c r="C2365" s="39">
        <f t="shared" si="74"/>
        <v>8042735.9195346497</v>
      </c>
      <c r="D2365" s="39">
        <f t="shared" si="75"/>
        <v>7481691.7442462342</v>
      </c>
    </row>
    <row r="2366" spans="2:4" x14ac:dyDescent="0.25">
      <c r="B2366" s="90">
        <v>2362</v>
      </c>
      <c r="C2366" s="39">
        <f t="shared" si="74"/>
        <v>8045398.8318258552</v>
      </c>
      <c r="D2366" s="39">
        <f t="shared" si="75"/>
        <v>7484860.6098727677</v>
      </c>
    </row>
    <row r="2367" spans="2:4" x14ac:dyDescent="0.25">
      <c r="B2367" s="90">
        <v>2363</v>
      </c>
      <c r="C2367" s="39">
        <f t="shared" si="74"/>
        <v>8048061.7441170597</v>
      </c>
      <c r="D2367" s="39">
        <f t="shared" si="75"/>
        <v>7488029.4754993012</v>
      </c>
    </row>
    <row r="2368" spans="2:4" x14ac:dyDescent="0.25">
      <c r="B2368" s="90">
        <v>2364</v>
      </c>
      <c r="C2368" s="39">
        <f t="shared" si="74"/>
        <v>8050724.6564082643</v>
      </c>
      <c r="D2368" s="39">
        <f t="shared" si="75"/>
        <v>7491198.3411258357</v>
      </c>
    </row>
    <row r="2369" spans="2:4" x14ac:dyDescent="0.25">
      <c r="B2369" s="90">
        <v>2365</v>
      </c>
      <c r="C2369" s="39">
        <f t="shared" si="74"/>
        <v>8053387.5686994698</v>
      </c>
      <c r="D2369" s="39">
        <f t="shared" si="75"/>
        <v>7494367.2067523692</v>
      </c>
    </row>
    <row r="2370" spans="2:4" x14ac:dyDescent="0.25">
      <c r="B2370" s="90">
        <v>2366</v>
      </c>
      <c r="C2370" s="39">
        <f t="shared" si="74"/>
        <v>8056050.4809906743</v>
      </c>
      <c r="D2370" s="39">
        <f t="shared" si="75"/>
        <v>7497536.0723789027</v>
      </c>
    </row>
    <row r="2371" spans="2:4" x14ac:dyDescent="0.25">
      <c r="B2371" s="90">
        <v>2367</v>
      </c>
      <c r="C2371" s="39">
        <f t="shared" si="74"/>
        <v>8058713.3932818789</v>
      </c>
      <c r="D2371" s="39">
        <f t="shared" si="75"/>
        <v>7500704.9380054371</v>
      </c>
    </row>
    <row r="2372" spans="2:4" x14ac:dyDescent="0.25">
      <c r="B2372" s="90">
        <v>2368</v>
      </c>
      <c r="C2372" s="39">
        <f t="shared" si="74"/>
        <v>8061376.3055730844</v>
      </c>
      <c r="D2372" s="39">
        <f t="shared" si="75"/>
        <v>7503873.8036319707</v>
      </c>
    </row>
    <row r="2373" spans="2:4" x14ac:dyDescent="0.25">
      <c r="B2373" s="90">
        <v>2369</v>
      </c>
      <c r="C2373" s="39">
        <f t="shared" si="74"/>
        <v>8064039.2178642889</v>
      </c>
      <c r="D2373" s="39">
        <f t="shared" si="75"/>
        <v>7507042.6692585042</v>
      </c>
    </row>
    <row r="2374" spans="2:4" x14ac:dyDescent="0.25">
      <c r="B2374" s="90">
        <v>2370</v>
      </c>
      <c r="C2374" s="39">
        <f t="shared" si="74"/>
        <v>8066702.1301554935</v>
      </c>
      <c r="D2374" s="39">
        <f t="shared" si="75"/>
        <v>7510211.5348850377</v>
      </c>
    </row>
    <row r="2375" spans="2:4" x14ac:dyDescent="0.25">
      <c r="B2375" s="90">
        <v>2371</v>
      </c>
      <c r="C2375" s="39">
        <f t="shared" si="74"/>
        <v>8069365.042446699</v>
      </c>
      <c r="D2375" s="39">
        <f t="shared" si="75"/>
        <v>7513380.4005115721</v>
      </c>
    </row>
    <row r="2376" spans="2:4" x14ac:dyDescent="0.25">
      <c r="B2376" s="90">
        <v>2372</v>
      </c>
      <c r="C2376" s="39">
        <f t="shared" si="74"/>
        <v>8072027.9547379036</v>
      </c>
      <c r="D2376" s="39">
        <f t="shared" si="75"/>
        <v>7516549.2661381057</v>
      </c>
    </row>
    <row r="2377" spans="2:4" x14ac:dyDescent="0.25">
      <c r="B2377" s="90">
        <v>2373</v>
      </c>
      <c r="C2377" s="39">
        <f t="shared" si="74"/>
        <v>8074690.8670291081</v>
      </c>
      <c r="D2377" s="39">
        <f t="shared" si="75"/>
        <v>7519718.1317646392</v>
      </c>
    </row>
    <row r="2378" spans="2:4" x14ac:dyDescent="0.25">
      <c r="B2378" s="90">
        <v>2374</v>
      </c>
      <c r="C2378" s="39">
        <f t="shared" si="74"/>
        <v>8077353.7793203136</v>
      </c>
      <c r="D2378" s="39">
        <f t="shared" si="75"/>
        <v>7522886.9973911727</v>
      </c>
    </row>
    <row r="2379" spans="2:4" x14ac:dyDescent="0.25">
      <c r="B2379" s="90">
        <v>2375</v>
      </c>
      <c r="C2379" s="39">
        <f t="shared" si="74"/>
        <v>8080016.6916115182</v>
      </c>
      <c r="D2379" s="39">
        <f t="shared" si="75"/>
        <v>7526055.8630177071</v>
      </c>
    </row>
    <row r="2380" spans="2:4" x14ac:dyDescent="0.25">
      <c r="B2380" s="90">
        <v>2376</v>
      </c>
      <c r="C2380" s="39">
        <f t="shared" si="74"/>
        <v>8082679.6039027227</v>
      </c>
      <c r="D2380" s="39">
        <f t="shared" si="75"/>
        <v>7529224.7286442406</v>
      </c>
    </row>
    <row r="2381" spans="2:4" x14ac:dyDescent="0.25">
      <c r="B2381" s="90">
        <v>2377</v>
      </c>
      <c r="C2381" s="39">
        <f t="shared" si="74"/>
        <v>8085342.5161939273</v>
      </c>
      <c r="D2381" s="39">
        <f t="shared" si="75"/>
        <v>7532393.5942707742</v>
      </c>
    </row>
    <row r="2382" spans="2:4" x14ac:dyDescent="0.25">
      <c r="B2382" s="90">
        <v>2378</v>
      </c>
      <c r="C2382" s="39">
        <f t="shared" si="74"/>
        <v>8088005.4284851328</v>
      </c>
      <c r="D2382" s="39">
        <f t="shared" si="75"/>
        <v>7535562.4598973086</v>
      </c>
    </row>
    <row r="2383" spans="2:4" x14ac:dyDescent="0.25">
      <c r="B2383" s="90">
        <v>2379</v>
      </c>
      <c r="C2383" s="39">
        <f t="shared" si="74"/>
        <v>8090668.3407763373</v>
      </c>
      <c r="D2383" s="39">
        <f t="shared" si="75"/>
        <v>7538731.3255238421</v>
      </c>
    </row>
    <row r="2384" spans="2:4" x14ac:dyDescent="0.25">
      <c r="B2384" s="90">
        <v>2380</v>
      </c>
      <c r="C2384" s="39">
        <f t="shared" si="74"/>
        <v>8093331.2530675419</v>
      </c>
      <c r="D2384" s="39">
        <f t="shared" si="75"/>
        <v>7541900.1911503756</v>
      </c>
    </row>
    <row r="2385" spans="2:4" x14ac:dyDescent="0.25">
      <c r="B2385" s="90">
        <v>2381</v>
      </c>
      <c r="C2385" s="39">
        <f t="shared" si="74"/>
        <v>8095994.1653587474</v>
      </c>
      <c r="D2385" s="39">
        <f t="shared" si="75"/>
        <v>7545069.0567769092</v>
      </c>
    </row>
    <row r="2386" spans="2:4" x14ac:dyDescent="0.25">
      <c r="B2386" s="90">
        <v>2382</v>
      </c>
      <c r="C2386" s="39">
        <f t="shared" si="74"/>
        <v>8098657.0776499519</v>
      </c>
      <c r="D2386" s="39">
        <f t="shared" si="75"/>
        <v>7548237.9224034436</v>
      </c>
    </row>
    <row r="2387" spans="2:4" x14ac:dyDescent="0.25">
      <c r="B2387" s="90">
        <v>2383</v>
      </c>
      <c r="C2387" s="39">
        <f t="shared" si="74"/>
        <v>8101319.9899411565</v>
      </c>
      <c r="D2387" s="39">
        <f t="shared" si="75"/>
        <v>7551406.7880299771</v>
      </c>
    </row>
    <row r="2388" spans="2:4" x14ac:dyDescent="0.25">
      <c r="B2388" s="90">
        <v>2384</v>
      </c>
      <c r="C2388" s="39">
        <f t="shared" si="74"/>
        <v>8103982.902232362</v>
      </c>
      <c r="D2388" s="39">
        <f t="shared" si="75"/>
        <v>7554575.6536565106</v>
      </c>
    </row>
    <row r="2389" spans="2:4" x14ac:dyDescent="0.25">
      <c r="B2389" s="90">
        <v>2385</v>
      </c>
      <c r="C2389" s="39">
        <f t="shared" si="74"/>
        <v>8106645.8145235665</v>
      </c>
      <c r="D2389" s="39">
        <f t="shared" si="75"/>
        <v>7557744.5192830442</v>
      </c>
    </row>
    <row r="2390" spans="2:4" x14ac:dyDescent="0.25">
      <c r="B2390" s="90">
        <v>2386</v>
      </c>
      <c r="C2390" s="39">
        <f t="shared" si="74"/>
        <v>8109308.7268147711</v>
      </c>
      <c r="D2390" s="39">
        <f t="shared" si="75"/>
        <v>7560913.3849095786</v>
      </c>
    </row>
    <row r="2391" spans="2:4" x14ac:dyDescent="0.25">
      <c r="B2391" s="90">
        <v>2387</v>
      </c>
      <c r="C2391" s="39">
        <f t="shared" si="74"/>
        <v>8111971.6391059766</v>
      </c>
      <c r="D2391" s="39">
        <f t="shared" si="75"/>
        <v>7564082.2505361121</v>
      </c>
    </row>
    <row r="2392" spans="2:4" x14ac:dyDescent="0.25">
      <c r="B2392" s="90">
        <v>2388</v>
      </c>
      <c r="C2392" s="39">
        <f t="shared" si="74"/>
        <v>8114634.5513971811</v>
      </c>
      <c r="D2392" s="39">
        <f t="shared" si="75"/>
        <v>7567251.1161626456</v>
      </c>
    </row>
    <row r="2393" spans="2:4" x14ac:dyDescent="0.25">
      <c r="B2393" s="90">
        <v>2389</v>
      </c>
      <c r="C2393" s="39">
        <f t="shared" si="74"/>
        <v>8117297.4636883857</v>
      </c>
      <c r="D2393" s="39">
        <f t="shared" si="75"/>
        <v>7570419.9817891801</v>
      </c>
    </row>
    <row r="2394" spans="2:4" x14ac:dyDescent="0.25">
      <c r="B2394" s="90">
        <v>2390</v>
      </c>
      <c r="C2394" s="39">
        <f t="shared" si="74"/>
        <v>8119960.3759795912</v>
      </c>
      <c r="D2394" s="39">
        <f t="shared" si="75"/>
        <v>7573588.8474157136</v>
      </c>
    </row>
    <row r="2395" spans="2:4" x14ac:dyDescent="0.25">
      <c r="B2395" s="90">
        <v>2391</v>
      </c>
      <c r="C2395" s="39">
        <f t="shared" si="74"/>
        <v>8122623.2882707957</v>
      </c>
      <c r="D2395" s="39">
        <f t="shared" si="75"/>
        <v>7576757.7130422471</v>
      </c>
    </row>
    <row r="2396" spans="2:4" x14ac:dyDescent="0.25">
      <c r="B2396" s="90">
        <v>2392</v>
      </c>
      <c r="C2396" s="39">
        <f t="shared" si="74"/>
        <v>8125286.2005620003</v>
      </c>
      <c r="D2396" s="39">
        <f t="shared" si="75"/>
        <v>7579926.5786687806</v>
      </c>
    </row>
    <row r="2397" spans="2:4" x14ac:dyDescent="0.25">
      <c r="B2397" s="90">
        <v>2393</v>
      </c>
      <c r="C2397" s="39">
        <f t="shared" si="74"/>
        <v>8127949.1128532048</v>
      </c>
      <c r="D2397" s="39">
        <f t="shared" si="75"/>
        <v>7583095.4442953151</v>
      </c>
    </row>
    <row r="2398" spans="2:4" x14ac:dyDescent="0.25">
      <c r="B2398" s="90">
        <v>2394</v>
      </c>
      <c r="C2398" s="39">
        <f t="shared" si="74"/>
        <v>8130612.0251444103</v>
      </c>
      <c r="D2398" s="39">
        <f t="shared" si="75"/>
        <v>7586264.3099218486</v>
      </c>
    </row>
    <row r="2399" spans="2:4" x14ac:dyDescent="0.25">
      <c r="B2399" s="90">
        <v>2395</v>
      </c>
      <c r="C2399" s="39">
        <f t="shared" si="74"/>
        <v>8133274.9374356149</v>
      </c>
      <c r="D2399" s="39">
        <f t="shared" si="75"/>
        <v>7589433.1755483821</v>
      </c>
    </row>
    <row r="2400" spans="2:4" x14ac:dyDescent="0.25">
      <c r="B2400" s="90">
        <v>2396</v>
      </c>
      <c r="C2400" s="39">
        <f t="shared" si="74"/>
        <v>8135937.8497268194</v>
      </c>
      <c r="D2400" s="39">
        <f t="shared" si="75"/>
        <v>7592602.0411749156</v>
      </c>
    </row>
    <row r="2401" spans="2:4" x14ac:dyDescent="0.25">
      <c r="B2401" s="90">
        <v>2397</v>
      </c>
      <c r="C2401" s="39">
        <f t="shared" si="74"/>
        <v>8138600.7620180249</v>
      </c>
      <c r="D2401" s="39">
        <f t="shared" si="75"/>
        <v>7595770.9068014501</v>
      </c>
    </row>
    <row r="2402" spans="2:4" x14ac:dyDescent="0.25">
      <c r="B2402" s="90">
        <v>2398</v>
      </c>
      <c r="C2402" s="39">
        <f t="shared" si="74"/>
        <v>8141263.6743092295</v>
      </c>
      <c r="D2402" s="39">
        <f t="shared" si="75"/>
        <v>7598939.7724279836</v>
      </c>
    </row>
    <row r="2403" spans="2:4" x14ac:dyDescent="0.25">
      <c r="B2403" s="90">
        <v>2399</v>
      </c>
      <c r="C2403" s="39">
        <f t="shared" si="74"/>
        <v>8143926.586600434</v>
      </c>
      <c r="D2403" s="39">
        <f t="shared" si="75"/>
        <v>7602108.6380545171</v>
      </c>
    </row>
    <row r="2404" spans="2:4" x14ac:dyDescent="0.25">
      <c r="B2404" s="90">
        <v>2400</v>
      </c>
      <c r="C2404" s="39">
        <f t="shared" si="74"/>
        <v>8146589.4988916395</v>
      </c>
      <c r="D2404" s="39">
        <f t="shared" si="75"/>
        <v>7605277.5036810515</v>
      </c>
    </row>
    <row r="2405" spans="2:4" x14ac:dyDescent="0.25">
      <c r="B2405" s="90">
        <v>2401</v>
      </c>
      <c r="C2405" s="39">
        <f t="shared" si="74"/>
        <v>8149252.4111828441</v>
      </c>
      <c r="D2405" s="39">
        <f t="shared" si="75"/>
        <v>7608446.3693075851</v>
      </c>
    </row>
    <row r="2406" spans="2:4" x14ac:dyDescent="0.25">
      <c r="B2406" s="90">
        <v>2402</v>
      </c>
      <c r="C2406" s="39">
        <f t="shared" si="74"/>
        <v>8151915.3234740486</v>
      </c>
      <c r="D2406" s="39">
        <f t="shared" si="75"/>
        <v>7611615.2349341186</v>
      </c>
    </row>
    <row r="2407" spans="2:4" x14ac:dyDescent="0.25">
      <c r="B2407" s="90">
        <v>2403</v>
      </c>
      <c r="C2407" s="39">
        <f t="shared" si="74"/>
        <v>8154578.2357652541</v>
      </c>
      <c r="D2407" s="39">
        <f t="shared" si="75"/>
        <v>7614784.1005606521</v>
      </c>
    </row>
    <row r="2408" spans="2:4" x14ac:dyDescent="0.25">
      <c r="B2408" s="90">
        <v>2404</v>
      </c>
      <c r="C2408" s="39">
        <f t="shared" si="74"/>
        <v>8157241.1480564587</v>
      </c>
      <c r="D2408" s="39">
        <f t="shared" si="75"/>
        <v>7617952.9661871865</v>
      </c>
    </row>
    <row r="2409" spans="2:4" x14ac:dyDescent="0.25">
      <c r="B2409" s="90">
        <v>2405</v>
      </c>
      <c r="C2409" s="39">
        <f t="shared" si="74"/>
        <v>8159904.0603476632</v>
      </c>
      <c r="D2409" s="39">
        <f t="shared" si="75"/>
        <v>7621121.8318137201</v>
      </c>
    </row>
    <row r="2410" spans="2:4" x14ac:dyDescent="0.25">
      <c r="B2410" s="90">
        <v>2406</v>
      </c>
      <c r="C2410" s="39">
        <f t="shared" si="74"/>
        <v>8162566.9726388687</v>
      </c>
      <c r="D2410" s="39">
        <f t="shared" si="75"/>
        <v>7624290.6974402536</v>
      </c>
    </row>
    <row r="2411" spans="2:4" x14ac:dyDescent="0.25">
      <c r="B2411" s="90">
        <v>2407</v>
      </c>
      <c r="C2411" s="39">
        <f t="shared" si="74"/>
        <v>8165229.8849300733</v>
      </c>
      <c r="D2411" s="39">
        <f t="shared" si="75"/>
        <v>7627459.563066788</v>
      </c>
    </row>
    <row r="2412" spans="2:4" x14ac:dyDescent="0.25">
      <c r="B2412" s="90">
        <v>2408</v>
      </c>
      <c r="C2412" s="39">
        <f t="shared" si="74"/>
        <v>8167892.7972212778</v>
      </c>
      <c r="D2412" s="39">
        <f t="shared" si="75"/>
        <v>7630628.4286933215</v>
      </c>
    </row>
    <row r="2413" spans="2:4" x14ac:dyDescent="0.25">
      <c r="B2413" s="90">
        <v>2409</v>
      </c>
      <c r="C2413" s="39">
        <f t="shared" si="74"/>
        <v>8170555.7095124833</v>
      </c>
      <c r="D2413" s="39">
        <f t="shared" si="75"/>
        <v>7633797.294319855</v>
      </c>
    </row>
    <row r="2414" spans="2:4" x14ac:dyDescent="0.25">
      <c r="B2414" s="90">
        <v>2410</v>
      </c>
      <c r="C2414" s="39">
        <f t="shared" si="74"/>
        <v>8173218.6218036879</v>
      </c>
      <c r="D2414" s="39">
        <f t="shared" si="75"/>
        <v>7636966.1599463886</v>
      </c>
    </row>
    <row r="2415" spans="2:4" x14ac:dyDescent="0.25">
      <c r="B2415" s="90">
        <v>2411</v>
      </c>
      <c r="C2415" s="39">
        <f t="shared" si="74"/>
        <v>8175881.5340948924</v>
      </c>
      <c r="D2415" s="39">
        <f t="shared" si="75"/>
        <v>7640135.025572923</v>
      </c>
    </row>
    <row r="2416" spans="2:4" x14ac:dyDescent="0.25">
      <c r="B2416" s="90">
        <v>2412</v>
      </c>
      <c r="C2416" s="39">
        <f t="shared" si="74"/>
        <v>8178544.446386097</v>
      </c>
      <c r="D2416" s="39">
        <f t="shared" si="75"/>
        <v>7643303.8911994565</v>
      </c>
    </row>
    <row r="2417" spans="2:4" x14ac:dyDescent="0.25">
      <c r="B2417" s="90">
        <v>2413</v>
      </c>
      <c r="C2417" s="39">
        <f t="shared" ref="C2417:C2480" si="76">($C$2*B2417)+$C$1</f>
        <v>8181207.3586773025</v>
      </c>
      <c r="D2417" s="39">
        <f t="shared" ref="D2417:D2480" si="77">$D$2*B2417</f>
        <v>7646472.75682599</v>
      </c>
    </row>
    <row r="2418" spans="2:4" x14ac:dyDescent="0.25">
      <c r="B2418" s="90">
        <v>2414</v>
      </c>
      <c r="C2418" s="39">
        <f t="shared" si="76"/>
        <v>8183870.270968507</v>
      </c>
      <c r="D2418" s="39">
        <f t="shared" si="77"/>
        <v>7649641.6224525236</v>
      </c>
    </row>
    <row r="2419" spans="2:4" x14ac:dyDescent="0.25">
      <c r="B2419" s="90">
        <v>2415</v>
      </c>
      <c r="C2419" s="39">
        <f t="shared" si="76"/>
        <v>8186533.1832597116</v>
      </c>
      <c r="D2419" s="39">
        <f t="shared" si="77"/>
        <v>7652810.488079058</v>
      </c>
    </row>
    <row r="2420" spans="2:4" x14ac:dyDescent="0.25">
      <c r="B2420" s="90">
        <v>2416</v>
      </c>
      <c r="C2420" s="39">
        <f t="shared" si="76"/>
        <v>8189196.0955509171</v>
      </c>
      <c r="D2420" s="39">
        <f t="shared" si="77"/>
        <v>7655979.3537055915</v>
      </c>
    </row>
    <row r="2421" spans="2:4" x14ac:dyDescent="0.25">
      <c r="B2421" s="90">
        <v>2417</v>
      </c>
      <c r="C2421" s="39">
        <f t="shared" si="76"/>
        <v>8191859.0078421216</v>
      </c>
      <c r="D2421" s="39">
        <f t="shared" si="77"/>
        <v>7659148.219332125</v>
      </c>
    </row>
    <row r="2422" spans="2:4" x14ac:dyDescent="0.25">
      <c r="B2422" s="90">
        <v>2418</v>
      </c>
      <c r="C2422" s="39">
        <f t="shared" si="76"/>
        <v>8194521.9201333262</v>
      </c>
      <c r="D2422" s="39">
        <f t="shared" si="77"/>
        <v>7662317.0849586595</v>
      </c>
    </row>
    <row r="2423" spans="2:4" x14ac:dyDescent="0.25">
      <c r="B2423" s="90">
        <v>2419</v>
      </c>
      <c r="C2423" s="39">
        <f t="shared" si="76"/>
        <v>8197184.8324245317</v>
      </c>
      <c r="D2423" s="39">
        <f t="shared" si="77"/>
        <v>7665485.950585193</v>
      </c>
    </row>
    <row r="2424" spans="2:4" x14ac:dyDescent="0.25">
      <c r="B2424" s="90">
        <v>2420</v>
      </c>
      <c r="C2424" s="39">
        <f t="shared" si="76"/>
        <v>8199847.7447157362</v>
      </c>
      <c r="D2424" s="39">
        <f t="shared" si="77"/>
        <v>7668654.8162117265</v>
      </c>
    </row>
    <row r="2425" spans="2:4" x14ac:dyDescent="0.25">
      <c r="B2425" s="90">
        <v>2421</v>
      </c>
      <c r="C2425" s="39">
        <f t="shared" si="76"/>
        <v>8202510.6570069408</v>
      </c>
      <c r="D2425" s="39">
        <f t="shared" si="77"/>
        <v>7671823.68183826</v>
      </c>
    </row>
    <row r="2426" spans="2:4" x14ac:dyDescent="0.25">
      <c r="B2426" s="90">
        <v>2422</v>
      </c>
      <c r="C2426" s="39">
        <f t="shared" si="76"/>
        <v>8205173.5692981463</v>
      </c>
      <c r="D2426" s="39">
        <f t="shared" si="77"/>
        <v>7674992.5474647945</v>
      </c>
    </row>
    <row r="2427" spans="2:4" x14ac:dyDescent="0.25">
      <c r="B2427" s="90">
        <v>2423</v>
      </c>
      <c r="C2427" s="39">
        <f t="shared" si="76"/>
        <v>8207836.4815893508</v>
      </c>
      <c r="D2427" s="39">
        <f t="shared" si="77"/>
        <v>7678161.413091328</v>
      </c>
    </row>
    <row r="2428" spans="2:4" x14ac:dyDescent="0.25">
      <c r="B2428" s="90">
        <v>2424</v>
      </c>
      <c r="C2428" s="39">
        <f t="shared" si="76"/>
        <v>8210499.3938805554</v>
      </c>
      <c r="D2428" s="39">
        <f t="shared" si="77"/>
        <v>7681330.2787178615</v>
      </c>
    </row>
    <row r="2429" spans="2:4" x14ac:dyDescent="0.25">
      <c r="B2429" s="90">
        <v>2425</v>
      </c>
      <c r="C2429" s="39">
        <f t="shared" si="76"/>
        <v>8213162.3061717609</v>
      </c>
      <c r="D2429" s="39">
        <f t="shared" si="77"/>
        <v>7684499.144344395</v>
      </c>
    </row>
    <row r="2430" spans="2:4" x14ac:dyDescent="0.25">
      <c r="B2430" s="90">
        <v>2426</v>
      </c>
      <c r="C2430" s="39">
        <f t="shared" si="76"/>
        <v>8215825.2184629655</v>
      </c>
      <c r="D2430" s="39">
        <f t="shared" si="77"/>
        <v>7687668.0099709295</v>
      </c>
    </row>
    <row r="2431" spans="2:4" x14ac:dyDescent="0.25">
      <c r="B2431" s="90">
        <v>2427</v>
      </c>
      <c r="C2431" s="39">
        <f t="shared" si="76"/>
        <v>8218488.13075417</v>
      </c>
      <c r="D2431" s="39">
        <f t="shared" si="77"/>
        <v>7690836.875597463</v>
      </c>
    </row>
    <row r="2432" spans="2:4" x14ac:dyDescent="0.25">
      <c r="B2432" s="90">
        <v>2428</v>
      </c>
      <c r="C2432" s="39">
        <f t="shared" si="76"/>
        <v>8221151.0430453746</v>
      </c>
      <c r="D2432" s="39">
        <f t="shared" si="77"/>
        <v>7694005.7412239965</v>
      </c>
    </row>
    <row r="2433" spans="2:4" x14ac:dyDescent="0.25">
      <c r="B2433" s="90">
        <v>2429</v>
      </c>
      <c r="C2433" s="39">
        <f t="shared" si="76"/>
        <v>8223813.9553365801</v>
      </c>
      <c r="D2433" s="39">
        <f t="shared" si="77"/>
        <v>7697174.606850531</v>
      </c>
    </row>
    <row r="2434" spans="2:4" x14ac:dyDescent="0.25">
      <c r="B2434" s="90">
        <v>2430</v>
      </c>
      <c r="C2434" s="39">
        <f t="shared" si="76"/>
        <v>8226476.8676277846</v>
      </c>
      <c r="D2434" s="39">
        <f t="shared" si="77"/>
        <v>7700343.4724770645</v>
      </c>
    </row>
    <row r="2435" spans="2:4" x14ac:dyDescent="0.25">
      <c r="B2435" s="90">
        <v>2431</v>
      </c>
      <c r="C2435" s="39">
        <f t="shared" si="76"/>
        <v>8229139.7799189892</v>
      </c>
      <c r="D2435" s="39">
        <f t="shared" si="77"/>
        <v>7703512.338103598</v>
      </c>
    </row>
    <row r="2436" spans="2:4" x14ac:dyDescent="0.25">
      <c r="B2436" s="90">
        <v>2432</v>
      </c>
      <c r="C2436" s="39">
        <f t="shared" si="76"/>
        <v>8231802.6922101947</v>
      </c>
      <c r="D2436" s="39">
        <f t="shared" si="77"/>
        <v>7706681.2037301315</v>
      </c>
    </row>
    <row r="2437" spans="2:4" x14ac:dyDescent="0.25">
      <c r="B2437" s="90">
        <v>2433</v>
      </c>
      <c r="C2437" s="39">
        <f t="shared" si="76"/>
        <v>8234465.6045013992</v>
      </c>
      <c r="D2437" s="39">
        <f t="shared" si="77"/>
        <v>7709850.0693566659</v>
      </c>
    </row>
    <row r="2438" spans="2:4" x14ac:dyDescent="0.25">
      <c r="B2438" s="90">
        <v>2434</v>
      </c>
      <c r="C2438" s="39">
        <f t="shared" si="76"/>
        <v>8237128.5167926038</v>
      </c>
      <c r="D2438" s="39">
        <f t="shared" si="77"/>
        <v>7713018.9349831995</v>
      </c>
    </row>
    <row r="2439" spans="2:4" x14ac:dyDescent="0.25">
      <c r="B2439" s="90">
        <v>2435</v>
      </c>
      <c r="C2439" s="39">
        <f t="shared" si="76"/>
        <v>8239791.4290838093</v>
      </c>
      <c r="D2439" s="39">
        <f t="shared" si="77"/>
        <v>7716187.800609733</v>
      </c>
    </row>
    <row r="2440" spans="2:4" x14ac:dyDescent="0.25">
      <c r="B2440" s="90">
        <v>2436</v>
      </c>
      <c r="C2440" s="39">
        <f t="shared" si="76"/>
        <v>8242454.3413750138</v>
      </c>
      <c r="D2440" s="39">
        <f t="shared" si="77"/>
        <v>7719356.6662362665</v>
      </c>
    </row>
    <row r="2441" spans="2:4" x14ac:dyDescent="0.25">
      <c r="B2441" s="90">
        <v>2437</v>
      </c>
      <c r="C2441" s="39">
        <f t="shared" si="76"/>
        <v>8245117.2536662184</v>
      </c>
      <c r="D2441" s="39">
        <f t="shared" si="77"/>
        <v>7722525.5318628009</v>
      </c>
    </row>
    <row r="2442" spans="2:4" x14ac:dyDescent="0.25">
      <c r="B2442" s="90">
        <v>2438</v>
      </c>
      <c r="C2442" s="39">
        <f t="shared" si="76"/>
        <v>8247780.1659574239</v>
      </c>
      <c r="D2442" s="39">
        <f t="shared" si="77"/>
        <v>7725694.3974893345</v>
      </c>
    </row>
    <row r="2443" spans="2:4" x14ac:dyDescent="0.25">
      <c r="B2443" s="90">
        <v>2439</v>
      </c>
      <c r="C2443" s="39">
        <f t="shared" si="76"/>
        <v>8250443.0782486284</v>
      </c>
      <c r="D2443" s="39">
        <f t="shared" si="77"/>
        <v>7728863.263115868</v>
      </c>
    </row>
    <row r="2444" spans="2:4" x14ac:dyDescent="0.25">
      <c r="B2444" s="90">
        <v>2440</v>
      </c>
      <c r="C2444" s="39">
        <f t="shared" si="76"/>
        <v>8253105.990539833</v>
      </c>
      <c r="D2444" s="39">
        <f t="shared" si="77"/>
        <v>7732032.1287424024</v>
      </c>
    </row>
    <row r="2445" spans="2:4" x14ac:dyDescent="0.25">
      <c r="B2445" s="90">
        <v>2441</v>
      </c>
      <c r="C2445" s="39">
        <f t="shared" si="76"/>
        <v>8255768.9028310385</v>
      </c>
      <c r="D2445" s="39">
        <f t="shared" si="77"/>
        <v>7735200.9943689359</v>
      </c>
    </row>
    <row r="2446" spans="2:4" x14ac:dyDescent="0.25">
      <c r="B2446" s="90">
        <v>2442</v>
      </c>
      <c r="C2446" s="39">
        <f t="shared" si="76"/>
        <v>8258431.815122243</v>
      </c>
      <c r="D2446" s="39">
        <f t="shared" si="77"/>
        <v>7738369.8599954695</v>
      </c>
    </row>
    <row r="2447" spans="2:4" x14ac:dyDescent="0.25">
      <c r="B2447" s="90">
        <v>2443</v>
      </c>
      <c r="C2447" s="39">
        <f t="shared" si="76"/>
        <v>8261094.7274134476</v>
      </c>
      <c r="D2447" s="39">
        <f t="shared" si="77"/>
        <v>7741538.725622003</v>
      </c>
    </row>
    <row r="2448" spans="2:4" x14ac:dyDescent="0.25">
      <c r="B2448" s="90">
        <v>2444</v>
      </c>
      <c r="C2448" s="39">
        <f t="shared" si="76"/>
        <v>8263757.6397046531</v>
      </c>
      <c r="D2448" s="39">
        <f t="shared" si="77"/>
        <v>7744707.5912485374</v>
      </c>
    </row>
    <row r="2449" spans="2:4" x14ac:dyDescent="0.25">
      <c r="B2449" s="90">
        <v>2445</v>
      </c>
      <c r="C2449" s="39">
        <f t="shared" si="76"/>
        <v>8266420.5519958576</v>
      </c>
      <c r="D2449" s="39">
        <f t="shared" si="77"/>
        <v>7747876.4568750709</v>
      </c>
    </row>
    <row r="2450" spans="2:4" x14ac:dyDescent="0.25">
      <c r="B2450" s="90">
        <v>2446</v>
      </c>
      <c r="C2450" s="39">
        <f t="shared" si="76"/>
        <v>8269083.4642870622</v>
      </c>
      <c r="D2450" s="39">
        <f t="shared" si="77"/>
        <v>7751045.3225016044</v>
      </c>
    </row>
    <row r="2451" spans="2:4" x14ac:dyDescent="0.25">
      <c r="B2451" s="90">
        <v>2447</v>
      </c>
      <c r="C2451" s="39">
        <f t="shared" si="76"/>
        <v>8271746.3765782667</v>
      </c>
      <c r="D2451" s="39">
        <f t="shared" si="77"/>
        <v>7754214.188128138</v>
      </c>
    </row>
    <row r="2452" spans="2:4" x14ac:dyDescent="0.25">
      <c r="B2452" s="90">
        <v>2448</v>
      </c>
      <c r="C2452" s="39">
        <f t="shared" si="76"/>
        <v>8274409.2888694722</v>
      </c>
      <c r="D2452" s="39">
        <f t="shared" si="77"/>
        <v>7757383.0537546724</v>
      </c>
    </row>
    <row r="2453" spans="2:4" x14ac:dyDescent="0.25">
      <c r="B2453" s="90">
        <v>2449</v>
      </c>
      <c r="C2453" s="39">
        <f t="shared" si="76"/>
        <v>8277072.2011606768</v>
      </c>
      <c r="D2453" s="39">
        <f t="shared" si="77"/>
        <v>7760551.9193812059</v>
      </c>
    </row>
    <row r="2454" spans="2:4" x14ac:dyDescent="0.25">
      <c r="B2454" s="90">
        <v>2450</v>
      </c>
      <c r="C2454" s="39">
        <f t="shared" si="76"/>
        <v>8279735.1134518813</v>
      </c>
      <c r="D2454" s="39">
        <f t="shared" si="77"/>
        <v>7763720.7850077394</v>
      </c>
    </row>
    <row r="2455" spans="2:4" x14ac:dyDescent="0.25">
      <c r="B2455" s="90">
        <v>2451</v>
      </c>
      <c r="C2455" s="39">
        <f t="shared" si="76"/>
        <v>8282398.0257430868</v>
      </c>
      <c r="D2455" s="39">
        <f t="shared" si="77"/>
        <v>7766889.6506342739</v>
      </c>
    </row>
    <row r="2456" spans="2:4" x14ac:dyDescent="0.25">
      <c r="B2456" s="90">
        <v>2452</v>
      </c>
      <c r="C2456" s="39">
        <f t="shared" si="76"/>
        <v>8285060.9380342914</v>
      </c>
      <c r="D2456" s="39">
        <f t="shared" si="77"/>
        <v>7770058.5162608074</v>
      </c>
    </row>
    <row r="2457" spans="2:4" x14ac:dyDescent="0.25">
      <c r="B2457" s="90">
        <v>2453</v>
      </c>
      <c r="C2457" s="39">
        <f t="shared" si="76"/>
        <v>8287723.8503254959</v>
      </c>
      <c r="D2457" s="39">
        <f t="shared" si="77"/>
        <v>7773227.3818873409</v>
      </c>
    </row>
    <row r="2458" spans="2:4" x14ac:dyDescent="0.25">
      <c r="B2458" s="90">
        <v>2454</v>
      </c>
      <c r="C2458" s="39">
        <f t="shared" si="76"/>
        <v>8290386.7626167014</v>
      </c>
      <c r="D2458" s="39">
        <f t="shared" si="77"/>
        <v>7776396.2475138744</v>
      </c>
    </row>
    <row r="2459" spans="2:4" x14ac:dyDescent="0.25">
      <c r="B2459" s="90">
        <v>2455</v>
      </c>
      <c r="C2459" s="39">
        <f t="shared" si="76"/>
        <v>8293049.674907906</v>
      </c>
      <c r="D2459" s="39">
        <f t="shared" si="77"/>
        <v>7779565.1131404089</v>
      </c>
    </row>
    <row r="2460" spans="2:4" x14ac:dyDescent="0.25">
      <c r="B2460" s="90">
        <v>2456</v>
      </c>
      <c r="C2460" s="39">
        <f t="shared" si="76"/>
        <v>8295712.5871991105</v>
      </c>
      <c r="D2460" s="39">
        <f t="shared" si="77"/>
        <v>7782733.9787669424</v>
      </c>
    </row>
    <row r="2461" spans="2:4" x14ac:dyDescent="0.25">
      <c r="B2461" s="90">
        <v>2457</v>
      </c>
      <c r="C2461" s="39">
        <f t="shared" si="76"/>
        <v>8298375.499490316</v>
      </c>
      <c r="D2461" s="39">
        <f t="shared" si="77"/>
        <v>7785902.8443934759</v>
      </c>
    </row>
    <row r="2462" spans="2:4" x14ac:dyDescent="0.25">
      <c r="B2462" s="90">
        <v>2458</v>
      </c>
      <c r="C2462" s="39">
        <f t="shared" si="76"/>
        <v>8301038.4117815206</v>
      </c>
      <c r="D2462" s="39">
        <f t="shared" si="77"/>
        <v>7789071.7100200104</v>
      </c>
    </row>
    <row r="2463" spans="2:4" x14ac:dyDescent="0.25">
      <c r="B2463" s="90">
        <v>2459</v>
      </c>
      <c r="C2463" s="39">
        <f t="shared" si="76"/>
        <v>8303701.3240727251</v>
      </c>
      <c r="D2463" s="39">
        <f t="shared" si="77"/>
        <v>7792240.5756465439</v>
      </c>
    </row>
    <row r="2464" spans="2:4" x14ac:dyDescent="0.25">
      <c r="B2464" s="90">
        <v>2460</v>
      </c>
      <c r="C2464" s="39">
        <f t="shared" si="76"/>
        <v>8306364.2363639306</v>
      </c>
      <c r="D2464" s="39">
        <f t="shared" si="77"/>
        <v>7795409.4412730774</v>
      </c>
    </row>
    <row r="2465" spans="2:4" x14ac:dyDescent="0.25">
      <c r="B2465" s="90">
        <v>2461</v>
      </c>
      <c r="C2465" s="39">
        <f t="shared" si="76"/>
        <v>8309027.1486551352</v>
      </c>
      <c r="D2465" s="39">
        <f t="shared" si="77"/>
        <v>7798578.3068996109</v>
      </c>
    </row>
    <row r="2466" spans="2:4" x14ac:dyDescent="0.25">
      <c r="B2466" s="90">
        <v>2462</v>
      </c>
      <c r="C2466" s="39">
        <f t="shared" si="76"/>
        <v>8311690.0609463397</v>
      </c>
      <c r="D2466" s="39">
        <f t="shared" si="77"/>
        <v>7801747.1725261454</v>
      </c>
    </row>
    <row r="2467" spans="2:4" x14ac:dyDescent="0.25">
      <c r="B2467" s="90">
        <v>2463</v>
      </c>
      <c r="C2467" s="39">
        <f t="shared" si="76"/>
        <v>8314352.9732375443</v>
      </c>
      <c r="D2467" s="39">
        <f t="shared" si="77"/>
        <v>7804916.0381526789</v>
      </c>
    </row>
    <row r="2468" spans="2:4" x14ac:dyDescent="0.25">
      <c r="B2468" s="90">
        <v>2464</v>
      </c>
      <c r="C2468" s="39">
        <f t="shared" si="76"/>
        <v>8317015.8855287498</v>
      </c>
      <c r="D2468" s="39">
        <f t="shared" si="77"/>
        <v>7808084.9037792124</v>
      </c>
    </row>
    <row r="2469" spans="2:4" x14ac:dyDescent="0.25">
      <c r="B2469" s="90">
        <v>2465</v>
      </c>
      <c r="C2469" s="39">
        <f t="shared" si="76"/>
        <v>8319678.7978199543</v>
      </c>
      <c r="D2469" s="39">
        <f t="shared" si="77"/>
        <v>7811253.7694057459</v>
      </c>
    </row>
    <row r="2470" spans="2:4" x14ac:dyDescent="0.25">
      <c r="B2470" s="90">
        <v>2466</v>
      </c>
      <c r="C2470" s="39">
        <f t="shared" si="76"/>
        <v>8322341.7101111589</v>
      </c>
      <c r="D2470" s="39">
        <f t="shared" si="77"/>
        <v>7814422.6350322803</v>
      </c>
    </row>
    <row r="2471" spans="2:4" x14ac:dyDescent="0.25">
      <c r="B2471" s="90">
        <v>2467</v>
      </c>
      <c r="C2471" s="39">
        <f t="shared" si="76"/>
        <v>8325004.6224023644</v>
      </c>
      <c r="D2471" s="39">
        <f t="shared" si="77"/>
        <v>7817591.5006588139</v>
      </c>
    </row>
    <row r="2472" spans="2:4" x14ac:dyDescent="0.25">
      <c r="B2472" s="90">
        <v>2468</v>
      </c>
      <c r="C2472" s="39">
        <f t="shared" si="76"/>
        <v>8327667.5346935689</v>
      </c>
      <c r="D2472" s="39">
        <f t="shared" si="77"/>
        <v>7820760.3662853474</v>
      </c>
    </row>
    <row r="2473" spans="2:4" x14ac:dyDescent="0.25">
      <c r="B2473" s="90">
        <v>2469</v>
      </c>
      <c r="C2473" s="39">
        <f t="shared" si="76"/>
        <v>8330330.4469847735</v>
      </c>
      <c r="D2473" s="39">
        <f t="shared" si="77"/>
        <v>7823929.2319118818</v>
      </c>
    </row>
    <row r="2474" spans="2:4" x14ac:dyDescent="0.25">
      <c r="B2474" s="90">
        <v>2470</v>
      </c>
      <c r="C2474" s="39">
        <f t="shared" si="76"/>
        <v>8332993.359275979</v>
      </c>
      <c r="D2474" s="39">
        <f t="shared" si="77"/>
        <v>7827098.0975384153</v>
      </c>
    </row>
    <row r="2475" spans="2:4" x14ac:dyDescent="0.25">
      <c r="B2475" s="90">
        <v>2471</v>
      </c>
      <c r="C2475" s="39">
        <f t="shared" si="76"/>
        <v>8335656.2715671835</v>
      </c>
      <c r="D2475" s="39">
        <f t="shared" si="77"/>
        <v>7830266.9631649489</v>
      </c>
    </row>
    <row r="2476" spans="2:4" x14ac:dyDescent="0.25">
      <c r="B2476" s="90">
        <v>2472</v>
      </c>
      <c r="C2476" s="39">
        <f t="shared" si="76"/>
        <v>8338319.1838583881</v>
      </c>
      <c r="D2476" s="39">
        <f t="shared" si="77"/>
        <v>7833435.8287914824</v>
      </c>
    </row>
    <row r="2477" spans="2:4" x14ac:dyDescent="0.25">
      <c r="B2477" s="90">
        <v>2473</v>
      </c>
      <c r="C2477" s="39">
        <f t="shared" si="76"/>
        <v>8340982.0961495936</v>
      </c>
      <c r="D2477" s="39">
        <f t="shared" si="77"/>
        <v>7836604.6944180168</v>
      </c>
    </row>
    <row r="2478" spans="2:4" x14ac:dyDescent="0.25">
      <c r="B2478" s="90">
        <v>2474</v>
      </c>
      <c r="C2478" s="39">
        <f t="shared" si="76"/>
        <v>8343645.0084407981</v>
      </c>
      <c r="D2478" s="39">
        <f t="shared" si="77"/>
        <v>7839773.5600445503</v>
      </c>
    </row>
    <row r="2479" spans="2:4" x14ac:dyDescent="0.25">
      <c r="B2479" s="90">
        <v>2475</v>
      </c>
      <c r="C2479" s="39">
        <f t="shared" si="76"/>
        <v>8346307.9207320027</v>
      </c>
      <c r="D2479" s="39">
        <f t="shared" si="77"/>
        <v>7842942.4256710839</v>
      </c>
    </row>
    <row r="2480" spans="2:4" x14ac:dyDescent="0.25">
      <c r="B2480" s="90">
        <v>2476</v>
      </c>
      <c r="C2480" s="39">
        <f t="shared" si="76"/>
        <v>8348970.8330232082</v>
      </c>
      <c r="D2480" s="39">
        <f t="shared" si="77"/>
        <v>7846111.2912976174</v>
      </c>
    </row>
    <row r="2481" spans="2:4" x14ac:dyDescent="0.25">
      <c r="B2481" s="90">
        <v>2477</v>
      </c>
      <c r="C2481" s="39">
        <f t="shared" ref="C2481:C2544" si="78">($C$2*B2481)+$C$1</f>
        <v>8351633.7453144128</v>
      </c>
      <c r="D2481" s="39">
        <f t="shared" ref="D2481:D2544" si="79">$D$2*B2481</f>
        <v>7849280.1569241518</v>
      </c>
    </row>
    <row r="2482" spans="2:4" x14ac:dyDescent="0.25">
      <c r="B2482" s="90">
        <v>2478</v>
      </c>
      <c r="C2482" s="39">
        <f t="shared" si="78"/>
        <v>8354296.6576056173</v>
      </c>
      <c r="D2482" s="39">
        <f t="shared" si="79"/>
        <v>7852449.0225506853</v>
      </c>
    </row>
    <row r="2483" spans="2:4" x14ac:dyDescent="0.25">
      <c r="B2483" s="90">
        <v>2479</v>
      </c>
      <c r="C2483" s="39">
        <f t="shared" si="78"/>
        <v>8356959.5698968228</v>
      </c>
      <c r="D2483" s="39">
        <f t="shared" si="79"/>
        <v>7855617.8881772188</v>
      </c>
    </row>
    <row r="2484" spans="2:4" x14ac:dyDescent="0.25">
      <c r="B2484" s="90">
        <v>2480</v>
      </c>
      <c r="C2484" s="39">
        <f t="shared" si="78"/>
        <v>8359622.4821880274</v>
      </c>
      <c r="D2484" s="39">
        <f t="shared" si="79"/>
        <v>7858786.7538037533</v>
      </c>
    </row>
    <row r="2485" spans="2:4" x14ac:dyDescent="0.25">
      <c r="B2485" s="90">
        <v>2481</v>
      </c>
      <c r="C2485" s="39">
        <f t="shared" si="78"/>
        <v>8362285.3944792319</v>
      </c>
      <c r="D2485" s="39">
        <f t="shared" si="79"/>
        <v>7861955.6194302868</v>
      </c>
    </row>
    <row r="2486" spans="2:4" x14ac:dyDescent="0.25">
      <c r="B2486" s="90">
        <v>2482</v>
      </c>
      <c r="C2486" s="39">
        <f t="shared" si="78"/>
        <v>8364948.3067704365</v>
      </c>
      <c r="D2486" s="39">
        <f t="shared" si="79"/>
        <v>7865124.4850568203</v>
      </c>
    </row>
    <row r="2487" spans="2:4" x14ac:dyDescent="0.25">
      <c r="B2487" s="90">
        <v>2483</v>
      </c>
      <c r="C2487" s="39">
        <f t="shared" si="78"/>
        <v>8367611.219061642</v>
      </c>
      <c r="D2487" s="39">
        <f t="shared" si="79"/>
        <v>7868293.3506833538</v>
      </c>
    </row>
    <row r="2488" spans="2:4" x14ac:dyDescent="0.25">
      <c r="B2488" s="90">
        <v>2484</v>
      </c>
      <c r="C2488" s="39">
        <f t="shared" si="78"/>
        <v>8370274.1313528465</v>
      </c>
      <c r="D2488" s="39">
        <f t="shared" si="79"/>
        <v>7871462.2163098883</v>
      </c>
    </row>
    <row r="2489" spans="2:4" x14ac:dyDescent="0.25">
      <c r="B2489" s="90">
        <v>2485</v>
      </c>
      <c r="C2489" s="39">
        <f t="shared" si="78"/>
        <v>8372937.0436440511</v>
      </c>
      <c r="D2489" s="39">
        <f t="shared" si="79"/>
        <v>7874631.0819364218</v>
      </c>
    </row>
    <row r="2490" spans="2:4" x14ac:dyDescent="0.25">
      <c r="B2490" s="90">
        <v>2486</v>
      </c>
      <c r="C2490" s="39">
        <f t="shared" si="78"/>
        <v>8375599.9559352566</v>
      </c>
      <c r="D2490" s="39">
        <f t="shared" si="79"/>
        <v>7877799.9475629553</v>
      </c>
    </row>
    <row r="2491" spans="2:4" x14ac:dyDescent="0.25">
      <c r="B2491" s="90">
        <v>2487</v>
      </c>
      <c r="C2491" s="39">
        <f t="shared" si="78"/>
        <v>8378262.8682264611</v>
      </c>
      <c r="D2491" s="39">
        <f t="shared" si="79"/>
        <v>7880968.8131894888</v>
      </c>
    </row>
    <row r="2492" spans="2:4" x14ac:dyDescent="0.25">
      <c r="B2492" s="90">
        <v>2488</v>
      </c>
      <c r="C2492" s="39">
        <f t="shared" si="78"/>
        <v>8380925.7805176657</v>
      </c>
      <c r="D2492" s="39">
        <f t="shared" si="79"/>
        <v>7884137.6788160233</v>
      </c>
    </row>
    <row r="2493" spans="2:4" x14ac:dyDescent="0.25">
      <c r="B2493" s="90">
        <v>2489</v>
      </c>
      <c r="C2493" s="39">
        <f t="shared" si="78"/>
        <v>8383588.6928088712</v>
      </c>
      <c r="D2493" s="39">
        <f t="shared" si="79"/>
        <v>7887306.5444425568</v>
      </c>
    </row>
    <row r="2494" spans="2:4" x14ac:dyDescent="0.25">
      <c r="B2494" s="90">
        <v>2490</v>
      </c>
      <c r="C2494" s="39">
        <f t="shared" si="78"/>
        <v>8386251.6051000757</v>
      </c>
      <c r="D2494" s="39">
        <f t="shared" si="79"/>
        <v>7890475.4100690903</v>
      </c>
    </row>
    <row r="2495" spans="2:4" x14ac:dyDescent="0.25">
      <c r="B2495" s="90">
        <v>2491</v>
      </c>
      <c r="C2495" s="39">
        <f t="shared" si="78"/>
        <v>8388914.5173912793</v>
      </c>
      <c r="D2495" s="39">
        <f t="shared" si="79"/>
        <v>7893644.2756956248</v>
      </c>
    </row>
    <row r="2496" spans="2:4" x14ac:dyDescent="0.25">
      <c r="B2496" s="90">
        <v>2492</v>
      </c>
      <c r="C2496" s="39">
        <f t="shared" si="78"/>
        <v>8391577.4296824858</v>
      </c>
      <c r="D2496" s="39">
        <f t="shared" si="79"/>
        <v>7896813.1413221583</v>
      </c>
    </row>
    <row r="2497" spans="2:4" x14ac:dyDescent="0.25">
      <c r="B2497" s="90">
        <v>2493</v>
      </c>
      <c r="C2497" s="39">
        <f t="shared" si="78"/>
        <v>8394240.3419736903</v>
      </c>
      <c r="D2497" s="39">
        <f t="shared" si="79"/>
        <v>7899982.0069486918</v>
      </c>
    </row>
    <row r="2498" spans="2:4" x14ac:dyDescent="0.25">
      <c r="B2498" s="90">
        <v>2494</v>
      </c>
      <c r="C2498" s="39">
        <f t="shared" si="78"/>
        <v>8396903.2542648949</v>
      </c>
      <c r="D2498" s="39">
        <f t="shared" si="79"/>
        <v>7903150.8725752253</v>
      </c>
    </row>
    <row r="2499" spans="2:4" x14ac:dyDescent="0.25">
      <c r="B2499" s="90">
        <v>2495</v>
      </c>
      <c r="C2499" s="39">
        <f t="shared" si="78"/>
        <v>8399566.1665561013</v>
      </c>
      <c r="D2499" s="39">
        <f t="shared" si="79"/>
        <v>7906319.7382017598</v>
      </c>
    </row>
    <row r="2500" spans="2:4" x14ac:dyDescent="0.25">
      <c r="B2500" s="90">
        <v>2496</v>
      </c>
      <c r="C2500" s="39">
        <f t="shared" si="78"/>
        <v>8402229.078847304</v>
      </c>
      <c r="D2500" s="39">
        <f t="shared" si="79"/>
        <v>7909488.6038282933</v>
      </c>
    </row>
    <row r="2501" spans="2:4" x14ac:dyDescent="0.25">
      <c r="B2501" s="90">
        <v>2497</v>
      </c>
      <c r="C2501" s="39">
        <f t="shared" si="78"/>
        <v>8404891.9911385104</v>
      </c>
      <c r="D2501" s="39">
        <f t="shared" si="79"/>
        <v>7912657.4694548268</v>
      </c>
    </row>
    <row r="2502" spans="2:4" x14ac:dyDescent="0.25">
      <c r="B2502" s="90">
        <v>2498</v>
      </c>
      <c r="C2502" s="39">
        <f t="shared" si="78"/>
        <v>8407554.903429715</v>
      </c>
      <c r="D2502" s="39">
        <f t="shared" si="79"/>
        <v>7915826.3350813603</v>
      </c>
    </row>
    <row r="2503" spans="2:4" x14ac:dyDescent="0.25">
      <c r="B2503" s="90">
        <v>2499</v>
      </c>
      <c r="C2503" s="39">
        <f t="shared" si="78"/>
        <v>8410217.8157209195</v>
      </c>
      <c r="D2503" s="39">
        <f t="shared" si="79"/>
        <v>7918995.2007078947</v>
      </c>
    </row>
    <row r="2504" spans="2:4" x14ac:dyDescent="0.25">
      <c r="B2504" s="90">
        <v>2500</v>
      </c>
      <c r="C2504" s="39">
        <f t="shared" si="78"/>
        <v>8412880.7280121241</v>
      </c>
      <c r="D2504" s="39">
        <f t="shared" si="79"/>
        <v>7922164.0663344283</v>
      </c>
    </row>
    <row r="2505" spans="2:4" x14ac:dyDescent="0.25">
      <c r="B2505" s="90">
        <v>2501</v>
      </c>
      <c r="C2505" s="39">
        <f t="shared" si="78"/>
        <v>8415543.6403033286</v>
      </c>
      <c r="D2505" s="39">
        <f t="shared" si="79"/>
        <v>7925332.9319609618</v>
      </c>
    </row>
    <row r="2506" spans="2:4" x14ac:dyDescent="0.25">
      <c r="B2506" s="90">
        <v>2502</v>
      </c>
      <c r="C2506" s="39">
        <f t="shared" si="78"/>
        <v>8418206.5525945351</v>
      </c>
      <c r="D2506" s="39">
        <f t="shared" si="79"/>
        <v>7928501.7975874962</v>
      </c>
    </row>
    <row r="2507" spans="2:4" x14ac:dyDescent="0.25">
      <c r="B2507" s="90">
        <v>2503</v>
      </c>
      <c r="C2507" s="39">
        <f t="shared" si="78"/>
        <v>8420869.4648857377</v>
      </c>
      <c r="D2507" s="39">
        <f t="shared" si="79"/>
        <v>7931670.6632140297</v>
      </c>
    </row>
    <row r="2508" spans="2:4" x14ac:dyDescent="0.25">
      <c r="B2508" s="90">
        <v>2504</v>
      </c>
      <c r="C2508" s="39">
        <f t="shared" si="78"/>
        <v>8423532.3771769442</v>
      </c>
      <c r="D2508" s="39">
        <f t="shared" si="79"/>
        <v>7934839.5288405633</v>
      </c>
    </row>
    <row r="2509" spans="2:4" x14ac:dyDescent="0.25">
      <c r="B2509" s="90">
        <v>2505</v>
      </c>
      <c r="C2509" s="39">
        <f t="shared" si="78"/>
        <v>8426195.2894681487</v>
      </c>
      <c r="D2509" s="39">
        <f t="shared" si="79"/>
        <v>7938008.3944670968</v>
      </c>
    </row>
    <row r="2510" spans="2:4" x14ac:dyDescent="0.25">
      <c r="B2510" s="90">
        <v>2506</v>
      </c>
      <c r="C2510" s="39">
        <f t="shared" si="78"/>
        <v>8428858.2017593533</v>
      </c>
      <c r="D2510" s="39">
        <f t="shared" si="79"/>
        <v>7941177.2600936312</v>
      </c>
    </row>
    <row r="2511" spans="2:4" x14ac:dyDescent="0.25">
      <c r="B2511" s="90">
        <v>2507</v>
      </c>
      <c r="C2511" s="39">
        <f t="shared" si="78"/>
        <v>8431521.1140505578</v>
      </c>
      <c r="D2511" s="39">
        <f t="shared" si="79"/>
        <v>7944346.1257201647</v>
      </c>
    </row>
    <row r="2512" spans="2:4" x14ac:dyDescent="0.25">
      <c r="B2512" s="90">
        <v>2508</v>
      </c>
      <c r="C2512" s="39">
        <f t="shared" si="78"/>
        <v>8434184.0263417624</v>
      </c>
      <c r="D2512" s="39">
        <f t="shared" si="79"/>
        <v>7947514.9913466983</v>
      </c>
    </row>
    <row r="2513" spans="2:4" x14ac:dyDescent="0.25">
      <c r="B2513" s="90">
        <v>2509</v>
      </c>
      <c r="C2513" s="39">
        <f t="shared" si="78"/>
        <v>8436846.9386329688</v>
      </c>
      <c r="D2513" s="39">
        <f t="shared" si="79"/>
        <v>7950683.8569732327</v>
      </c>
    </row>
    <row r="2514" spans="2:4" x14ac:dyDescent="0.25">
      <c r="B2514" s="90">
        <v>2510</v>
      </c>
      <c r="C2514" s="39">
        <f t="shared" si="78"/>
        <v>8439509.8509241715</v>
      </c>
      <c r="D2514" s="39">
        <f t="shared" si="79"/>
        <v>7953852.7225997662</v>
      </c>
    </row>
    <row r="2515" spans="2:4" x14ac:dyDescent="0.25">
      <c r="B2515" s="90">
        <v>2511</v>
      </c>
      <c r="C2515" s="39">
        <f t="shared" si="78"/>
        <v>8442172.7632153779</v>
      </c>
      <c r="D2515" s="39">
        <f t="shared" si="79"/>
        <v>7957021.5882262997</v>
      </c>
    </row>
    <row r="2516" spans="2:4" x14ac:dyDescent="0.25">
      <c r="B2516" s="90">
        <v>2512</v>
      </c>
      <c r="C2516" s="39">
        <f t="shared" si="78"/>
        <v>8444835.6755065825</v>
      </c>
      <c r="D2516" s="39">
        <f t="shared" si="79"/>
        <v>7960190.4538528332</v>
      </c>
    </row>
    <row r="2517" spans="2:4" x14ac:dyDescent="0.25">
      <c r="B2517" s="90">
        <v>2513</v>
      </c>
      <c r="C2517" s="39">
        <f t="shared" si="78"/>
        <v>8447498.587797787</v>
      </c>
      <c r="D2517" s="39">
        <f t="shared" si="79"/>
        <v>7963359.3194793677</v>
      </c>
    </row>
    <row r="2518" spans="2:4" x14ac:dyDescent="0.25">
      <c r="B2518" s="90">
        <v>2514</v>
      </c>
      <c r="C2518" s="39">
        <f t="shared" si="78"/>
        <v>8450161.5000889935</v>
      </c>
      <c r="D2518" s="39">
        <f t="shared" si="79"/>
        <v>7966528.1851059012</v>
      </c>
    </row>
    <row r="2519" spans="2:4" x14ac:dyDescent="0.25">
      <c r="B2519" s="90">
        <v>2515</v>
      </c>
      <c r="C2519" s="39">
        <f t="shared" si="78"/>
        <v>8452824.4123801962</v>
      </c>
      <c r="D2519" s="39">
        <f t="shared" si="79"/>
        <v>7969697.0507324347</v>
      </c>
    </row>
    <row r="2520" spans="2:4" x14ac:dyDescent="0.25">
      <c r="B2520" s="90">
        <v>2516</v>
      </c>
      <c r="C2520" s="39">
        <f t="shared" si="78"/>
        <v>8455487.3246714026</v>
      </c>
      <c r="D2520" s="39">
        <f t="shared" si="79"/>
        <v>7972865.9163589682</v>
      </c>
    </row>
    <row r="2521" spans="2:4" x14ac:dyDescent="0.25">
      <c r="B2521" s="90">
        <v>2517</v>
      </c>
      <c r="C2521" s="39">
        <f t="shared" si="78"/>
        <v>8458150.2369626053</v>
      </c>
      <c r="D2521" s="39">
        <f t="shared" si="79"/>
        <v>7976034.7819855027</v>
      </c>
    </row>
    <row r="2522" spans="2:4" x14ac:dyDescent="0.25">
      <c r="B2522" s="90">
        <v>2518</v>
      </c>
      <c r="C2522" s="39">
        <f t="shared" si="78"/>
        <v>8460813.1492538117</v>
      </c>
      <c r="D2522" s="39">
        <f t="shared" si="79"/>
        <v>7979203.6476120362</v>
      </c>
    </row>
    <row r="2523" spans="2:4" x14ac:dyDescent="0.25">
      <c r="B2523" s="90">
        <v>2519</v>
      </c>
      <c r="C2523" s="39">
        <f t="shared" si="78"/>
        <v>8463476.0615450162</v>
      </c>
      <c r="D2523" s="39">
        <f t="shared" si="79"/>
        <v>7982372.5132385697</v>
      </c>
    </row>
    <row r="2524" spans="2:4" x14ac:dyDescent="0.25">
      <c r="B2524" s="90">
        <v>2520</v>
      </c>
      <c r="C2524" s="39">
        <f t="shared" si="78"/>
        <v>8466138.9738362208</v>
      </c>
      <c r="D2524" s="39">
        <f t="shared" si="79"/>
        <v>7985541.3788651042</v>
      </c>
    </row>
    <row r="2525" spans="2:4" x14ac:dyDescent="0.25">
      <c r="B2525" s="90">
        <v>2521</v>
      </c>
      <c r="C2525" s="39">
        <f t="shared" si="78"/>
        <v>8468801.8861274272</v>
      </c>
      <c r="D2525" s="39">
        <f t="shared" si="79"/>
        <v>7988710.2444916377</v>
      </c>
    </row>
    <row r="2526" spans="2:4" x14ac:dyDescent="0.25">
      <c r="B2526" s="90">
        <v>2522</v>
      </c>
      <c r="C2526" s="39">
        <f t="shared" si="78"/>
        <v>8471464.7984186299</v>
      </c>
      <c r="D2526" s="39">
        <f t="shared" si="79"/>
        <v>7991879.1101181712</v>
      </c>
    </row>
    <row r="2527" spans="2:4" x14ac:dyDescent="0.25">
      <c r="B2527" s="90">
        <v>2523</v>
      </c>
      <c r="C2527" s="39">
        <f t="shared" si="78"/>
        <v>8474127.7107098363</v>
      </c>
      <c r="D2527" s="39">
        <f t="shared" si="79"/>
        <v>7995047.9757447047</v>
      </c>
    </row>
    <row r="2528" spans="2:4" x14ac:dyDescent="0.25">
      <c r="B2528" s="90">
        <v>2524</v>
      </c>
      <c r="C2528" s="39">
        <f t="shared" si="78"/>
        <v>8476790.6230010409</v>
      </c>
      <c r="D2528" s="39">
        <f t="shared" si="79"/>
        <v>7998216.8413712392</v>
      </c>
    </row>
    <row r="2529" spans="2:4" x14ac:dyDescent="0.25">
      <c r="B2529" s="90">
        <v>2525</v>
      </c>
      <c r="C2529" s="39">
        <f t="shared" si="78"/>
        <v>8479453.5352922454</v>
      </c>
      <c r="D2529" s="39">
        <f t="shared" si="79"/>
        <v>8001385.7069977727</v>
      </c>
    </row>
    <row r="2530" spans="2:4" x14ac:dyDescent="0.25">
      <c r="B2530" s="90">
        <v>2526</v>
      </c>
      <c r="C2530" s="39">
        <f t="shared" si="78"/>
        <v>8482116.44758345</v>
      </c>
      <c r="D2530" s="39">
        <f t="shared" si="79"/>
        <v>8004554.5726243062</v>
      </c>
    </row>
    <row r="2531" spans="2:4" x14ac:dyDescent="0.25">
      <c r="B2531" s="90">
        <v>2527</v>
      </c>
      <c r="C2531" s="39">
        <f t="shared" si="78"/>
        <v>8484779.3598746546</v>
      </c>
      <c r="D2531" s="39">
        <f t="shared" si="79"/>
        <v>8007723.4382508397</v>
      </c>
    </row>
    <row r="2532" spans="2:4" x14ac:dyDescent="0.25">
      <c r="B2532" s="90">
        <v>2528</v>
      </c>
      <c r="C2532" s="39">
        <f t="shared" si="78"/>
        <v>8487442.272165861</v>
      </c>
      <c r="D2532" s="39">
        <f t="shared" si="79"/>
        <v>8010892.3038773742</v>
      </c>
    </row>
    <row r="2533" spans="2:4" x14ac:dyDescent="0.25">
      <c r="B2533" s="90">
        <v>2529</v>
      </c>
      <c r="C2533" s="39">
        <f t="shared" si="78"/>
        <v>8490105.1844570637</v>
      </c>
      <c r="D2533" s="39">
        <f t="shared" si="79"/>
        <v>8014061.1695039077</v>
      </c>
    </row>
    <row r="2534" spans="2:4" x14ac:dyDescent="0.25">
      <c r="B2534" s="90">
        <v>2530</v>
      </c>
      <c r="C2534" s="39">
        <f t="shared" si="78"/>
        <v>8492768.0967482701</v>
      </c>
      <c r="D2534" s="39">
        <f t="shared" si="79"/>
        <v>8017230.0351304412</v>
      </c>
    </row>
    <row r="2535" spans="2:4" x14ac:dyDescent="0.25">
      <c r="B2535" s="90">
        <v>2531</v>
      </c>
      <c r="C2535" s="39">
        <f t="shared" si="78"/>
        <v>8495431.0090394747</v>
      </c>
      <c r="D2535" s="39">
        <f t="shared" si="79"/>
        <v>8020398.9007569756</v>
      </c>
    </row>
    <row r="2536" spans="2:4" x14ac:dyDescent="0.25">
      <c r="B2536" s="90">
        <v>2532</v>
      </c>
      <c r="C2536" s="39">
        <f t="shared" si="78"/>
        <v>8498093.9213306792</v>
      </c>
      <c r="D2536" s="39">
        <f t="shared" si="79"/>
        <v>8023567.7663835092</v>
      </c>
    </row>
    <row r="2537" spans="2:4" x14ac:dyDescent="0.25">
      <c r="B2537" s="90">
        <v>2533</v>
      </c>
      <c r="C2537" s="39">
        <f t="shared" si="78"/>
        <v>8500756.8336218856</v>
      </c>
      <c r="D2537" s="39">
        <f t="shared" si="79"/>
        <v>8026736.6320100427</v>
      </c>
    </row>
    <row r="2538" spans="2:4" x14ac:dyDescent="0.25">
      <c r="B2538" s="90">
        <v>2534</v>
      </c>
      <c r="C2538" s="39">
        <f t="shared" si="78"/>
        <v>8503419.7459130883</v>
      </c>
      <c r="D2538" s="39">
        <f t="shared" si="79"/>
        <v>8029905.4976365762</v>
      </c>
    </row>
    <row r="2539" spans="2:4" x14ac:dyDescent="0.25">
      <c r="B2539" s="90">
        <v>2535</v>
      </c>
      <c r="C2539" s="39">
        <f t="shared" si="78"/>
        <v>8506082.6582042947</v>
      </c>
      <c r="D2539" s="39">
        <f t="shared" si="79"/>
        <v>8033074.3632631106</v>
      </c>
    </row>
    <row r="2540" spans="2:4" x14ac:dyDescent="0.25">
      <c r="B2540" s="90">
        <v>2536</v>
      </c>
      <c r="C2540" s="39">
        <f t="shared" si="78"/>
        <v>8508745.5704954974</v>
      </c>
      <c r="D2540" s="39">
        <f t="shared" si="79"/>
        <v>8036243.2288896441</v>
      </c>
    </row>
    <row r="2541" spans="2:4" x14ac:dyDescent="0.25">
      <c r="B2541" s="90">
        <v>2537</v>
      </c>
      <c r="C2541" s="39">
        <f t="shared" si="78"/>
        <v>8511408.4827867039</v>
      </c>
      <c r="D2541" s="39">
        <f t="shared" si="79"/>
        <v>8039412.0945161777</v>
      </c>
    </row>
    <row r="2542" spans="2:4" x14ac:dyDescent="0.25">
      <c r="B2542" s="90">
        <v>2538</v>
      </c>
      <c r="C2542" s="39">
        <f t="shared" si="78"/>
        <v>8514071.3950779084</v>
      </c>
      <c r="D2542" s="39">
        <f t="shared" si="79"/>
        <v>8042580.9601427112</v>
      </c>
    </row>
    <row r="2543" spans="2:4" x14ac:dyDescent="0.25">
      <c r="B2543" s="90">
        <v>2539</v>
      </c>
      <c r="C2543" s="39">
        <f t="shared" si="78"/>
        <v>8516734.307369113</v>
      </c>
      <c r="D2543" s="39">
        <f t="shared" si="79"/>
        <v>8045749.8257692456</v>
      </c>
    </row>
    <row r="2544" spans="2:4" x14ac:dyDescent="0.25">
      <c r="B2544" s="90">
        <v>2540</v>
      </c>
      <c r="C2544" s="39">
        <f t="shared" si="78"/>
        <v>8519397.2196603194</v>
      </c>
      <c r="D2544" s="39">
        <f t="shared" si="79"/>
        <v>8048918.6913957791</v>
      </c>
    </row>
    <row r="2545" spans="2:4" x14ac:dyDescent="0.25">
      <c r="B2545" s="90">
        <v>2541</v>
      </c>
      <c r="C2545" s="39">
        <f t="shared" ref="C2545:C2608" si="80">($C$2*B2545)+$C$1</f>
        <v>8522060.1319515221</v>
      </c>
      <c r="D2545" s="39">
        <f t="shared" ref="D2545:D2608" si="81">$D$2*B2545</f>
        <v>8052087.5570223127</v>
      </c>
    </row>
    <row r="2546" spans="2:4" x14ac:dyDescent="0.25">
      <c r="B2546" s="90">
        <v>2542</v>
      </c>
      <c r="C2546" s="39">
        <f t="shared" si="80"/>
        <v>8524723.0442427285</v>
      </c>
      <c r="D2546" s="39">
        <f t="shared" si="81"/>
        <v>8055256.4226488471</v>
      </c>
    </row>
    <row r="2547" spans="2:4" x14ac:dyDescent="0.25">
      <c r="B2547" s="90">
        <v>2543</v>
      </c>
      <c r="C2547" s="39">
        <f t="shared" si="80"/>
        <v>8527385.9565339331</v>
      </c>
      <c r="D2547" s="39">
        <f t="shared" si="81"/>
        <v>8058425.2882753806</v>
      </c>
    </row>
    <row r="2548" spans="2:4" x14ac:dyDescent="0.25">
      <c r="B2548" s="90">
        <v>2544</v>
      </c>
      <c r="C2548" s="39">
        <f t="shared" si="80"/>
        <v>8530048.8688251376</v>
      </c>
      <c r="D2548" s="39">
        <f t="shared" si="81"/>
        <v>8061594.1539019141</v>
      </c>
    </row>
    <row r="2549" spans="2:4" x14ac:dyDescent="0.25">
      <c r="B2549" s="90">
        <v>2545</v>
      </c>
      <c r="C2549" s="39">
        <f t="shared" si="80"/>
        <v>8532711.7811163422</v>
      </c>
      <c r="D2549" s="39">
        <f t="shared" si="81"/>
        <v>8064763.0195284477</v>
      </c>
    </row>
    <row r="2550" spans="2:4" x14ac:dyDescent="0.25">
      <c r="B2550" s="90">
        <v>2546</v>
      </c>
      <c r="C2550" s="39">
        <f t="shared" si="80"/>
        <v>8535374.6934075467</v>
      </c>
      <c r="D2550" s="39">
        <f t="shared" si="81"/>
        <v>8067931.8851549821</v>
      </c>
    </row>
    <row r="2551" spans="2:4" x14ac:dyDescent="0.25">
      <c r="B2551" s="90">
        <v>2547</v>
      </c>
      <c r="C2551" s="39">
        <f t="shared" si="80"/>
        <v>8538037.6056987531</v>
      </c>
      <c r="D2551" s="39">
        <f t="shared" si="81"/>
        <v>8071100.7507815156</v>
      </c>
    </row>
    <row r="2552" spans="2:4" x14ac:dyDescent="0.25">
      <c r="B2552" s="90">
        <v>2548</v>
      </c>
      <c r="C2552" s="39">
        <f t="shared" si="80"/>
        <v>8540700.5179899558</v>
      </c>
      <c r="D2552" s="39">
        <f t="shared" si="81"/>
        <v>8074269.6164080491</v>
      </c>
    </row>
    <row r="2553" spans="2:4" x14ac:dyDescent="0.25">
      <c r="B2553" s="90">
        <v>2549</v>
      </c>
      <c r="C2553" s="39">
        <f t="shared" si="80"/>
        <v>8543363.4302811623</v>
      </c>
      <c r="D2553" s="39">
        <f t="shared" si="81"/>
        <v>8077438.4820345826</v>
      </c>
    </row>
    <row r="2554" spans="2:4" x14ac:dyDescent="0.25">
      <c r="B2554" s="90">
        <v>2550</v>
      </c>
      <c r="C2554" s="39">
        <f t="shared" si="80"/>
        <v>8546026.3425723668</v>
      </c>
      <c r="D2554" s="39">
        <f t="shared" si="81"/>
        <v>8080607.3476611171</v>
      </c>
    </row>
    <row r="2555" spans="2:4" x14ac:dyDescent="0.25">
      <c r="B2555" s="90">
        <v>2551</v>
      </c>
      <c r="C2555" s="39">
        <f t="shared" si="80"/>
        <v>8548689.2548635714</v>
      </c>
      <c r="D2555" s="39">
        <f t="shared" si="81"/>
        <v>8083776.2132876506</v>
      </c>
    </row>
    <row r="2556" spans="2:4" x14ac:dyDescent="0.25">
      <c r="B2556" s="90">
        <v>2552</v>
      </c>
      <c r="C2556" s="39">
        <f t="shared" si="80"/>
        <v>8551352.1671547759</v>
      </c>
      <c r="D2556" s="39">
        <f t="shared" si="81"/>
        <v>8086945.0789141841</v>
      </c>
    </row>
    <row r="2557" spans="2:4" x14ac:dyDescent="0.25">
      <c r="B2557" s="90">
        <v>2553</v>
      </c>
      <c r="C2557" s="39">
        <f t="shared" si="80"/>
        <v>8554015.0794459805</v>
      </c>
      <c r="D2557" s="39">
        <f t="shared" si="81"/>
        <v>8090113.9445407186</v>
      </c>
    </row>
    <row r="2558" spans="2:4" x14ac:dyDescent="0.25">
      <c r="B2558" s="90">
        <v>2554</v>
      </c>
      <c r="C2558" s="39">
        <f t="shared" si="80"/>
        <v>8556677.9917371869</v>
      </c>
      <c r="D2558" s="39">
        <f t="shared" si="81"/>
        <v>8093282.8101672521</v>
      </c>
    </row>
    <row r="2559" spans="2:4" x14ac:dyDescent="0.25">
      <c r="B2559" s="90">
        <v>2555</v>
      </c>
      <c r="C2559" s="39">
        <f t="shared" si="80"/>
        <v>8559340.9040283896</v>
      </c>
      <c r="D2559" s="39">
        <f t="shared" si="81"/>
        <v>8096451.6757937856</v>
      </c>
    </row>
    <row r="2560" spans="2:4" x14ac:dyDescent="0.25">
      <c r="B2560" s="90">
        <v>2556</v>
      </c>
      <c r="C2560" s="39">
        <f t="shared" si="80"/>
        <v>8562003.816319596</v>
      </c>
      <c r="D2560" s="39">
        <f t="shared" si="81"/>
        <v>8099620.5414203191</v>
      </c>
    </row>
    <row r="2561" spans="2:4" x14ac:dyDescent="0.25">
      <c r="B2561" s="90">
        <v>2557</v>
      </c>
      <c r="C2561" s="39">
        <f t="shared" si="80"/>
        <v>8564666.7286108006</v>
      </c>
      <c r="D2561" s="39">
        <f t="shared" si="81"/>
        <v>8102789.4070468536</v>
      </c>
    </row>
    <row r="2562" spans="2:4" x14ac:dyDescent="0.25">
      <c r="B2562" s="90">
        <v>2558</v>
      </c>
      <c r="C2562" s="39">
        <f t="shared" si="80"/>
        <v>8567329.6409020051</v>
      </c>
      <c r="D2562" s="39">
        <f t="shared" si="81"/>
        <v>8105958.2726733871</v>
      </c>
    </row>
    <row r="2563" spans="2:4" x14ac:dyDescent="0.25">
      <c r="B2563" s="90">
        <v>2559</v>
      </c>
      <c r="C2563" s="39">
        <f t="shared" si="80"/>
        <v>8569992.5531932116</v>
      </c>
      <c r="D2563" s="39">
        <f t="shared" si="81"/>
        <v>8109127.1382999206</v>
      </c>
    </row>
    <row r="2564" spans="2:4" x14ac:dyDescent="0.25">
      <c r="B2564" s="90">
        <v>2560</v>
      </c>
      <c r="C2564" s="39">
        <f t="shared" si="80"/>
        <v>8572655.4654844142</v>
      </c>
      <c r="D2564" s="39">
        <f t="shared" si="81"/>
        <v>8112296.0039264541</v>
      </c>
    </row>
    <row r="2565" spans="2:4" x14ac:dyDescent="0.25">
      <c r="B2565" s="90">
        <v>2561</v>
      </c>
      <c r="C2565" s="39">
        <f t="shared" si="80"/>
        <v>8575318.3777756207</v>
      </c>
      <c r="D2565" s="39">
        <f t="shared" si="81"/>
        <v>8115464.8695529886</v>
      </c>
    </row>
    <row r="2566" spans="2:4" x14ac:dyDescent="0.25">
      <c r="B2566" s="90">
        <v>2562</v>
      </c>
      <c r="C2566" s="39">
        <f t="shared" si="80"/>
        <v>8577981.2900668252</v>
      </c>
      <c r="D2566" s="39">
        <f t="shared" si="81"/>
        <v>8118633.7351795221</v>
      </c>
    </row>
    <row r="2567" spans="2:4" x14ac:dyDescent="0.25">
      <c r="B2567" s="90">
        <v>2563</v>
      </c>
      <c r="C2567" s="39">
        <f t="shared" si="80"/>
        <v>8580644.2023580298</v>
      </c>
      <c r="D2567" s="39">
        <f t="shared" si="81"/>
        <v>8121802.6008060556</v>
      </c>
    </row>
    <row r="2568" spans="2:4" x14ac:dyDescent="0.25">
      <c r="B2568" s="90">
        <v>2564</v>
      </c>
      <c r="C2568" s="39">
        <f t="shared" si="80"/>
        <v>8583307.1146492343</v>
      </c>
      <c r="D2568" s="39">
        <f t="shared" si="81"/>
        <v>8124971.46643259</v>
      </c>
    </row>
    <row r="2569" spans="2:4" x14ac:dyDescent="0.25">
      <c r="B2569" s="90">
        <v>2565</v>
      </c>
      <c r="C2569" s="39">
        <f t="shared" si="80"/>
        <v>8585970.0269404389</v>
      </c>
      <c r="D2569" s="39">
        <f t="shared" si="81"/>
        <v>8128140.3320591236</v>
      </c>
    </row>
    <row r="2570" spans="2:4" x14ac:dyDescent="0.25">
      <c r="B2570" s="90">
        <v>2566</v>
      </c>
      <c r="C2570" s="39">
        <f t="shared" si="80"/>
        <v>8588632.9392316453</v>
      </c>
      <c r="D2570" s="39">
        <f t="shared" si="81"/>
        <v>8131309.1976856571</v>
      </c>
    </row>
    <row r="2571" spans="2:4" x14ac:dyDescent="0.25">
      <c r="B2571" s="90">
        <v>2567</v>
      </c>
      <c r="C2571" s="39">
        <f t="shared" si="80"/>
        <v>8591295.851522848</v>
      </c>
      <c r="D2571" s="39">
        <f t="shared" si="81"/>
        <v>8134478.0633121906</v>
      </c>
    </row>
    <row r="2572" spans="2:4" x14ac:dyDescent="0.25">
      <c r="B2572" s="90">
        <v>2568</v>
      </c>
      <c r="C2572" s="39">
        <f t="shared" si="80"/>
        <v>8593958.7638140544</v>
      </c>
      <c r="D2572" s="39">
        <f t="shared" si="81"/>
        <v>8137646.928938725</v>
      </c>
    </row>
    <row r="2573" spans="2:4" x14ac:dyDescent="0.25">
      <c r="B2573" s="90">
        <v>2569</v>
      </c>
      <c r="C2573" s="39">
        <f t="shared" si="80"/>
        <v>8596621.676105259</v>
      </c>
      <c r="D2573" s="39">
        <f t="shared" si="81"/>
        <v>8140815.7945652585</v>
      </c>
    </row>
    <row r="2574" spans="2:4" x14ac:dyDescent="0.25">
      <c r="B2574" s="90">
        <v>2570</v>
      </c>
      <c r="C2574" s="39">
        <f t="shared" si="80"/>
        <v>8599284.5883964635</v>
      </c>
      <c r="D2574" s="39">
        <f t="shared" si="81"/>
        <v>8143984.6601917921</v>
      </c>
    </row>
    <row r="2575" spans="2:4" x14ac:dyDescent="0.25">
      <c r="B2575" s="90">
        <v>2571</v>
      </c>
      <c r="C2575" s="39">
        <f t="shared" si="80"/>
        <v>8601947.5006876681</v>
      </c>
      <c r="D2575" s="39">
        <f t="shared" si="81"/>
        <v>8147153.5258183265</v>
      </c>
    </row>
    <row r="2576" spans="2:4" x14ac:dyDescent="0.25">
      <c r="B2576" s="90">
        <v>2572</v>
      </c>
      <c r="C2576" s="39">
        <f t="shared" si="80"/>
        <v>8604610.4129788727</v>
      </c>
      <c r="D2576" s="39">
        <f t="shared" si="81"/>
        <v>8150322.39144486</v>
      </c>
    </row>
    <row r="2577" spans="2:4" x14ac:dyDescent="0.25">
      <c r="B2577" s="90">
        <v>2573</v>
      </c>
      <c r="C2577" s="39">
        <f t="shared" si="80"/>
        <v>8607273.3252700791</v>
      </c>
      <c r="D2577" s="39">
        <f t="shared" si="81"/>
        <v>8153491.2570713935</v>
      </c>
    </row>
    <row r="2578" spans="2:4" x14ac:dyDescent="0.25">
      <c r="B2578" s="90">
        <v>2574</v>
      </c>
      <c r="C2578" s="39">
        <f t="shared" si="80"/>
        <v>8609936.2375612818</v>
      </c>
      <c r="D2578" s="39">
        <f t="shared" si="81"/>
        <v>8156660.1226979271</v>
      </c>
    </row>
    <row r="2579" spans="2:4" x14ac:dyDescent="0.25">
      <c r="B2579" s="90">
        <v>2575</v>
      </c>
      <c r="C2579" s="39">
        <f t="shared" si="80"/>
        <v>8612599.1498524882</v>
      </c>
      <c r="D2579" s="39">
        <f t="shared" si="81"/>
        <v>8159828.9883244615</v>
      </c>
    </row>
    <row r="2580" spans="2:4" x14ac:dyDescent="0.25">
      <c r="B2580" s="90">
        <v>2576</v>
      </c>
      <c r="C2580" s="39">
        <f t="shared" si="80"/>
        <v>8615262.0621436927</v>
      </c>
      <c r="D2580" s="39">
        <f t="shared" si="81"/>
        <v>8162997.853950995</v>
      </c>
    </row>
    <row r="2581" spans="2:4" x14ac:dyDescent="0.25">
      <c r="B2581" s="90">
        <v>2577</v>
      </c>
      <c r="C2581" s="39">
        <f t="shared" si="80"/>
        <v>8617924.9744348973</v>
      </c>
      <c r="D2581" s="39">
        <f t="shared" si="81"/>
        <v>8166166.7195775285</v>
      </c>
    </row>
    <row r="2582" spans="2:4" x14ac:dyDescent="0.25">
      <c r="B2582" s="90">
        <v>2578</v>
      </c>
      <c r="C2582" s="39">
        <f t="shared" si="80"/>
        <v>8620587.8867261037</v>
      </c>
      <c r="D2582" s="39">
        <f t="shared" si="81"/>
        <v>8169335.5852040621</v>
      </c>
    </row>
    <row r="2583" spans="2:4" x14ac:dyDescent="0.25">
      <c r="B2583" s="90">
        <v>2579</v>
      </c>
      <c r="C2583" s="39">
        <f t="shared" si="80"/>
        <v>8623250.7990173064</v>
      </c>
      <c r="D2583" s="39">
        <f t="shared" si="81"/>
        <v>8172504.4508305965</v>
      </c>
    </row>
    <row r="2584" spans="2:4" x14ac:dyDescent="0.25">
      <c r="B2584" s="90">
        <v>2580</v>
      </c>
      <c r="C2584" s="39">
        <f t="shared" si="80"/>
        <v>8625913.7113085128</v>
      </c>
      <c r="D2584" s="39">
        <f t="shared" si="81"/>
        <v>8175673.31645713</v>
      </c>
    </row>
    <row r="2585" spans="2:4" x14ac:dyDescent="0.25">
      <c r="B2585" s="90">
        <v>2581</v>
      </c>
      <c r="C2585" s="39">
        <f t="shared" si="80"/>
        <v>8628576.6235997174</v>
      </c>
      <c r="D2585" s="39">
        <f t="shared" si="81"/>
        <v>8178842.1820836635</v>
      </c>
    </row>
    <row r="2586" spans="2:4" x14ac:dyDescent="0.25">
      <c r="B2586" s="90">
        <v>2582</v>
      </c>
      <c r="C2586" s="39">
        <f t="shared" si="80"/>
        <v>8631239.535890922</v>
      </c>
      <c r="D2586" s="39">
        <f t="shared" si="81"/>
        <v>8182011.047710198</v>
      </c>
    </row>
    <row r="2587" spans="2:4" x14ac:dyDescent="0.25">
      <c r="B2587" s="90">
        <v>2583</v>
      </c>
      <c r="C2587" s="39">
        <f t="shared" si="80"/>
        <v>8633902.4481821265</v>
      </c>
      <c r="D2587" s="39">
        <f t="shared" si="81"/>
        <v>8185179.9133367315</v>
      </c>
    </row>
    <row r="2588" spans="2:4" x14ac:dyDescent="0.25">
      <c r="B2588" s="90">
        <v>2584</v>
      </c>
      <c r="C2588" s="39">
        <f t="shared" si="80"/>
        <v>8636565.3604733311</v>
      </c>
      <c r="D2588" s="39">
        <f t="shared" si="81"/>
        <v>8188348.778963265</v>
      </c>
    </row>
    <row r="2589" spans="2:4" x14ac:dyDescent="0.25">
      <c r="B2589" s="90">
        <v>2585</v>
      </c>
      <c r="C2589" s="39">
        <f t="shared" si="80"/>
        <v>8639228.2727645375</v>
      </c>
      <c r="D2589" s="39">
        <f t="shared" si="81"/>
        <v>8191517.6445897985</v>
      </c>
    </row>
    <row r="2590" spans="2:4" x14ac:dyDescent="0.25">
      <c r="B2590" s="90">
        <v>2586</v>
      </c>
      <c r="C2590" s="39">
        <f t="shared" si="80"/>
        <v>8641891.1850557402</v>
      </c>
      <c r="D2590" s="39">
        <f t="shared" si="81"/>
        <v>8194686.510216333</v>
      </c>
    </row>
    <row r="2591" spans="2:4" x14ac:dyDescent="0.25">
      <c r="B2591" s="90">
        <v>2587</v>
      </c>
      <c r="C2591" s="39">
        <f t="shared" si="80"/>
        <v>8644554.0973469466</v>
      </c>
      <c r="D2591" s="39">
        <f t="shared" si="81"/>
        <v>8197855.3758428665</v>
      </c>
    </row>
    <row r="2592" spans="2:4" x14ac:dyDescent="0.25">
      <c r="B2592" s="90">
        <v>2588</v>
      </c>
      <c r="C2592" s="39">
        <f t="shared" si="80"/>
        <v>8647217.0096381512</v>
      </c>
      <c r="D2592" s="39">
        <f t="shared" si="81"/>
        <v>8201024.2414694</v>
      </c>
    </row>
    <row r="2593" spans="2:4" x14ac:dyDescent="0.25">
      <c r="B2593" s="90">
        <v>2589</v>
      </c>
      <c r="C2593" s="39">
        <f t="shared" si="80"/>
        <v>8649879.9219293557</v>
      </c>
      <c r="D2593" s="39">
        <f t="shared" si="81"/>
        <v>8204193.1070959335</v>
      </c>
    </row>
    <row r="2594" spans="2:4" x14ac:dyDescent="0.25">
      <c r="B2594" s="90">
        <v>2590</v>
      </c>
      <c r="C2594" s="39">
        <f t="shared" si="80"/>
        <v>8652542.8342205603</v>
      </c>
      <c r="D2594" s="39">
        <f t="shared" si="81"/>
        <v>8207361.972722468</v>
      </c>
    </row>
    <row r="2595" spans="2:4" x14ac:dyDescent="0.25">
      <c r="B2595" s="90">
        <v>2591</v>
      </c>
      <c r="C2595" s="39">
        <f t="shared" si="80"/>
        <v>8655205.7465117648</v>
      </c>
      <c r="D2595" s="39">
        <f t="shared" si="81"/>
        <v>8210530.8383490015</v>
      </c>
    </row>
    <row r="2596" spans="2:4" x14ac:dyDescent="0.25">
      <c r="B2596" s="90">
        <v>2592</v>
      </c>
      <c r="C2596" s="39">
        <f t="shared" si="80"/>
        <v>8657868.6588029712</v>
      </c>
      <c r="D2596" s="39">
        <f t="shared" si="81"/>
        <v>8213699.703975535</v>
      </c>
    </row>
    <row r="2597" spans="2:4" x14ac:dyDescent="0.25">
      <c r="B2597" s="90">
        <v>2593</v>
      </c>
      <c r="C2597" s="39">
        <f t="shared" si="80"/>
        <v>8660531.5710941739</v>
      </c>
      <c r="D2597" s="39">
        <f t="shared" si="81"/>
        <v>8216868.5696020694</v>
      </c>
    </row>
    <row r="2598" spans="2:4" x14ac:dyDescent="0.25">
      <c r="B2598" s="90">
        <v>2594</v>
      </c>
      <c r="C2598" s="39">
        <f t="shared" si="80"/>
        <v>8663194.4833853804</v>
      </c>
      <c r="D2598" s="39">
        <f t="shared" si="81"/>
        <v>8220037.435228603</v>
      </c>
    </row>
    <row r="2599" spans="2:4" x14ac:dyDescent="0.25">
      <c r="B2599" s="90">
        <v>2595</v>
      </c>
      <c r="C2599" s="39">
        <f t="shared" si="80"/>
        <v>8665857.3956765849</v>
      </c>
      <c r="D2599" s="39">
        <f t="shared" si="81"/>
        <v>8223206.3008551365</v>
      </c>
    </row>
    <row r="2600" spans="2:4" x14ac:dyDescent="0.25">
      <c r="B2600" s="90">
        <v>2596</v>
      </c>
      <c r="C2600" s="39">
        <f t="shared" si="80"/>
        <v>8668520.3079677895</v>
      </c>
      <c r="D2600" s="39">
        <f t="shared" si="81"/>
        <v>8226375.16648167</v>
      </c>
    </row>
    <row r="2601" spans="2:4" x14ac:dyDescent="0.25">
      <c r="B2601" s="90">
        <v>2597</v>
      </c>
      <c r="C2601" s="39">
        <f t="shared" si="80"/>
        <v>8671183.2202589959</v>
      </c>
      <c r="D2601" s="39">
        <f t="shared" si="81"/>
        <v>8229544.0321082044</v>
      </c>
    </row>
    <row r="2602" spans="2:4" x14ac:dyDescent="0.25">
      <c r="B2602" s="90">
        <v>2598</v>
      </c>
      <c r="C2602" s="39">
        <f t="shared" si="80"/>
        <v>8673846.1325501986</v>
      </c>
      <c r="D2602" s="39">
        <f t="shared" si="81"/>
        <v>8232712.897734738</v>
      </c>
    </row>
    <row r="2603" spans="2:4" x14ac:dyDescent="0.25">
      <c r="B2603" s="90">
        <v>2599</v>
      </c>
      <c r="C2603" s="39">
        <f t="shared" si="80"/>
        <v>8676509.044841405</v>
      </c>
      <c r="D2603" s="39">
        <f t="shared" si="81"/>
        <v>8235881.7633612715</v>
      </c>
    </row>
    <row r="2604" spans="2:4" x14ac:dyDescent="0.25">
      <c r="B2604" s="90">
        <v>2600</v>
      </c>
      <c r="C2604" s="39">
        <f t="shared" si="80"/>
        <v>8679171.9571326096</v>
      </c>
      <c r="D2604" s="39">
        <f t="shared" si="81"/>
        <v>8239050.628987805</v>
      </c>
    </row>
    <row r="2605" spans="2:4" x14ac:dyDescent="0.25">
      <c r="B2605" s="90">
        <v>2601</v>
      </c>
      <c r="C2605" s="39">
        <f t="shared" si="80"/>
        <v>8681834.8694238141</v>
      </c>
      <c r="D2605" s="39">
        <f t="shared" si="81"/>
        <v>8242219.4946143394</v>
      </c>
    </row>
    <row r="2606" spans="2:4" x14ac:dyDescent="0.25">
      <c r="B2606" s="90">
        <v>2602</v>
      </c>
      <c r="C2606" s="39">
        <f t="shared" si="80"/>
        <v>8684497.7817150187</v>
      </c>
      <c r="D2606" s="39">
        <f t="shared" si="81"/>
        <v>8245388.3602408729</v>
      </c>
    </row>
    <row r="2607" spans="2:4" x14ac:dyDescent="0.25">
      <c r="B2607" s="90">
        <v>2603</v>
      </c>
      <c r="C2607" s="39">
        <f t="shared" si="80"/>
        <v>8687160.6940062232</v>
      </c>
      <c r="D2607" s="39">
        <f t="shared" si="81"/>
        <v>8248557.2258674065</v>
      </c>
    </row>
    <row r="2608" spans="2:4" x14ac:dyDescent="0.25">
      <c r="B2608" s="90">
        <v>2604</v>
      </c>
      <c r="C2608" s="39">
        <f t="shared" si="80"/>
        <v>8689823.6062974297</v>
      </c>
      <c r="D2608" s="39">
        <f t="shared" si="81"/>
        <v>8251726.0914939409</v>
      </c>
    </row>
    <row r="2609" spans="2:4" x14ac:dyDescent="0.25">
      <c r="B2609" s="90">
        <v>2605</v>
      </c>
      <c r="C2609" s="39">
        <f t="shared" ref="C2609:C2672" si="82">($C$2*B2609)+$C$1</f>
        <v>8692486.5185886323</v>
      </c>
      <c r="D2609" s="39">
        <f t="shared" ref="D2609:D2672" si="83">$D$2*B2609</f>
        <v>8254894.9571204744</v>
      </c>
    </row>
    <row r="2610" spans="2:4" x14ac:dyDescent="0.25">
      <c r="B2610" s="90">
        <v>2606</v>
      </c>
      <c r="C2610" s="39">
        <f t="shared" si="82"/>
        <v>8695149.4308798388</v>
      </c>
      <c r="D2610" s="39">
        <f t="shared" si="83"/>
        <v>8258063.8227470079</v>
      </c>
    </row>
    <row r="2611" spans="2:4" x14ac:dyDescent="0.25">
      <c r="B2611" s="90">
        <v>2607</v>
      </c>
      <c r="C2611" s="39">
        <f t="shared" si="82"/>
        <v>8697812.3431710433</v>
      </c>
      <c r="D2611" s="39">
        <f t="shared" si="83"/>
        <v>8261232.6883735415</v>
      </c>
    </row>
    <row r="2612" spans="2:4" x14ac:dyDescent="0.25">
      <c r="B2612" s="90">
        <v>2608</v>
      </c>
      <c r="C2612" s="39">
        <f t="shared" si="82"/>
        <v>8700475.2554622479</v>
      </c>
      <c r="D2612" s="39">
        <f t="shared" si="83"/>
        <v>8264401.5540000759</v>
      </c>
    </row>
    <row r="2613" spans="2:4" x14ac:dyDescent="0.25">
      <c r="B2613" s="90">
        <v>2609</v>
      </c>
      <c r="C2613" s="39">
        <f t="shared" si="82"/>
        <v>8703138.1677534524</v>
      </c>
      <c r="D2613" s="39">
        <f t="shared" si="83"/>
        <v>8267570.4196266094</v>
      </c>
    </row>
    <row r="2614" spans="2:4" x14ac:dyDescent="0.25">
      <c r="B2614" s="90">
        <v>2610</v>
      </c>
      <c r="C2614" s="39">
        <f t="shared" si="82"/>
        <v>8705801.080044657</v>
      </c>
      <c r="D2614" s="39">
        <f t="shared" si="83"/>
        <v>8270739.2852531429</v>
      </c>
    </row>
    <row r="2615" spans="2:4" x14ac:dyDescent="0.25">
      <c r="B2615" s="90">
        <v>2611</v>
      </c>
      <c r="C2615" s="39">
        <f t="shared" si="82"/>
        <v>8708463.9923358634</v>
      </c>
      <c r="D2615" s="39">
        <f t="shared" si="83"/>
        <v>8273908.1508796765</v>
      </c>
    </row>
    <row r="2616" spans="2:4" x14ac:dyDescent="0.25">
      <c r="B2616" s="90">
        <v>2612</v>
      </c>
      <c r="C2616" s="39">
        <f t="shared" si="82"/>
        <v>8711126.9046270661</v>
      </c>
      <c r="D2616" s="39">
        <f t="shared" si="83"/>
        <v>8277077.0165062109</v>
      </c>
    </row>
    <row r="2617" spans="2:4" x14ac:dyDescent="0.25">
      <c r="B2617" s="90">
        <v>2613</v>
      </c>
      <c r="C2617" s="39">
        <f t="shared" si="82"/>
        <v>8713789.8169182725</v>
      </c>
      <c r="D2617" s="39">
        <f t="shared" si="83"/>
        <v>8280245.8821327444</v>
      </c>
    </row>
    <row r="2618" spans="2:4" x14ac:dyDescent="0.25">
      <c r="B2618" s="90">
        <v>2614</v>
      </c>
      <c r="C2618" s="39">
        <f t="shared" si="82"/>
        <v>8716452.7292094771</v>
      </c>
      <c r="D2618" s="39">
        <f t="shared" si="83"/>
        <v>8283414.7477592779</v>
      </c>
    </row>
    <row r="2619" spans="2:4" x14ac:dyDescent="0.25">
      <c r="B2619" s="90">
        <v>2615</v>
      </c>
      <c r="C2619" s="39">
        <f t="shared" si="82"/>
        <v>8719115.6415006816</v>
      </c>
      <c r="D2619" s="39">
        <f t="shared" si="83"/>
        <v>8286583.6133858124</v>
      </c>
    </row>
    <row r="2620" spans="2:4" x14ac:dyDescent="0.25">
      <c r="B2620" s="90">
        <v>2616</v>
      </c>
      <c r="C2620" s="39">
        <f t="shared" si="82"/>
        <v>8721778.5537918881</v>
      </c>
      <c r="D2620" s="39">
        <f t="shared" si="83"/>
        <v>8289752.4790123459</v>
      </c>
    </row>
    <row r="2621" spans="2:4" x14ac:dyDescent="0.25">
      <c r="B2621" s="90">
        <v>2617</v>
      </c>
      <c r="C2621" s="39">
        <f t="shared" si="82"/>
        <v>8724441.4660830908</v>
      </c>
      <c r="D2621" s="39">
        <f t="shared" si="83"/>
        <v>8292921.3446388794</v>
      </c>
    </row>
    <row r="2622" spans="2:4" x14ac:dyDescent="0.25">
      <c r="B2622" s="90">
        <v>2618</v>
      </c>
      <c r="C2622" s="39">
        <f t="shared" si="82"/>
        <v>8727104.3783742972</v>
      </c>
      <c r="D2622" s="39">
        <f t="shared" si="83"/>
        <v>8296090.2102654129</v>
      </c>
    </row>
    <row r="2623" spans="2:4" x14ac:dyDescent="0.25">
      <c r="B2623" s="90">
        <v>2619</v>
      </c>
      <c r="C2623" s="39">
        <f t="shared" si="82"/>
        <v>8729767.2906655017</v>
      </c>
      <c r="D2623" s="39">
        <f t="shared" si="83"/>
        <v>8299259.0758919474</v>
      </c>
    </row>
    <row r="2624" spans="2:4" x14ac:dyDescent="0.25">
      <c r="B2624" s="90">
        <v>2620</v>
      </c>
      <c r="C2624" s="39">
        <f t="shared" si="82"/>
        <v>8732430.2029567063</v>
      </c>
      <c r="D2624" s="39">
        <f t="shared" si="83"/>
        <v>8302427.9415184809</v>
      </c>
    </row>
    <row r="2625" spans="2:4" x14ac:dyDescent="0.25">
      <c r="B2625" s="90">
        <v>2621</v>
      </c>
      <c r="C2625" s="39">
        <f t="shared" si="82"/>
        <v>8735093.1152479108</v>
      </c>
      <c r="D2625" s="39">
        <f t="shared" si="83"/>
        <v>8305596.8071450144</v>
      </c>
    </row>
    <row r="2626" spans="2:4" x14ac:dyDescent="0.25">
      <c r="B2626" s="90">
        <v>2622</v>
      </c>
      <c r="C2626" s="39">
        <f t="shared" si="82"/>
        <v>8737756.0275391154</v>
      </c>
      <c r="D2626" s="39">
        <f t="shared" si="83"/>
        <v>8308765.6727715489</v>
      </c>
    </row>
    <row r="2627" spans="2:4" x14ac:dyDescent="0.25">
      <c r="B2627" s="90">
        <v>2623</v>
      </c>
      <c r="C2627" s="39">
        <f t="shared" si="82"/>
        <v>8740418.9398303218</v>
      </c>
      <c r="D2627" s="39">
        <f t="shared" si="83"/>
        <v>8311934.5383980824</v>
      </c>
    </row>
    <row r="2628" spans="2:4" x14ac:dyDescent="0.25">
      <c r="B2628" s="90">
        <v>2624</v>
      </c>
      <c r="C2628" s="39">
        <f t="shared" si="82"/>
        <v>8743081.8521215245</v>
      </c>
      <c r="D2628" s="39">
        <f t="shared" si="83"/>
        <v>8315103.4040246159</v>
      </c>
    </row>
    <row r="2629" spans="2:4" x14ac:dyDescent="0.25">
      <c r="B2629" s="90">
        <v>2625</v>
      </c>
      <c r="C2629" s="39">
        <f t="shared" si="82"/>
        <v>8745744.7644127309</v>
      </c>
      <c r="D2629" s="39">
        <f t="shared" si="83"/>
        <v>8318272.2696511494</v>
      </c>
    </row>
    <row r="2630" spans="2:4" x14ac:dyDescent="0.25">
      <c r="B2630" s="90">
        <v>2626</v>
      </c>
      <c r="C2630" s="39">
        <f t="shared" si="82"/>
        <v>8748407.6767039355</v>
      </c>
      <c r="D2630" s="39">
        <f t="shared" si="83"/>
        <v>8321441.1352776838</v>
      </c>
    </row>
    <row r="2631" spans="2:4" x14ac:dyDescent="0.25">
      <c r="B2631" s="90">
        <v>2627</v>
      </c>
      <c r="C2631" s="39">
        <f t="shared" si="82"/>
        <v>8751070.58899514</v>
      </c>
      <c r="D2631" s="39">
        <f t="shared" si="83"/>
        <v>8324610.0009042174</v>
      </c>
    </row>
    <row r="2632" spans="2:4" x14ac:dyDescent="0.25">
      <c r="B2632" s="90">
        <v>2628</v>
      </c>
      <c r="C2632" s="39">
        <f t="shared" si="82"/>
        <v>8753733.5012863446</v>
      </c>
      <c r="D2632" s="39">
        <f t="shared" si="83"/>
        <v>8327778.8665307509</v>
      </c>
    </row>
    <row r="2633" spans="2:4" x14ac:dyDescent="0.25">
      <c r="B2633" s="90">
        <v>2629</v>
      </c>
      <c r="C2633" s="39">
        <f t="shared" si="82"/>
        <v>8756396.4135775492</v>
      </c>
      <c r="D2633" s="39">
        <f t="shared" si="83"/>
        <v>8330947.7321572844</v>
      </c>
    </row>
    <row r="2634" spans="2:4" x14ac:dyDescent="0.25">
      <c r="B2634" s="90">
        <v>2630</v>
      </c>
      <c r="C2634" s="39">
        <f t="shared" si="82"/>
        <v>8759059.3258687556</v>
      </c>
      <c r="D2634" s="39">
        <f t="shared" si="83"/>
        <v>8334116.5977838188</v>
      </c>
    </row>
    <row r="2635" spans="2:4" x14ac:dyDescent="0.25">
      <c r="B2635" s="90">
        <v>2631</v>
      </c>
      <c r="C2635" s="39">
        <f t="shared" si="82"/>
        <v>8761722.2381599583</v>
      </c>
      <c r="D2635" s="39">
        <f t="shared" si="83"/>
        <v>8337285.4634103524</v>
      </c>
    </row>
    <row r="2636" spans="2:4" x14ac:dyDescent="0.25">
      <c r="B2636" s="90">
        <v>2632</v>
      </c>
      <c r="C2636" s="39">
        <f t="shared" si="82"/>
        <v>8764385.1504511647</v>
      </c>
      <c r="D2636" s="39">
        <f t="shared" si="83"/>
        <v>8340454.3290368859</v>
      </c>
    </row>
    <row r="2637" spans="2:4" x14ac:dyDescent="0.25">
      <c r="B2637" s="90">
        <v>2633</v>
      </c>
      <c r="C2637" s="39">
        <f t="shared" si="82"/>
        <v>8767048.0627423692</v>
      </c>
      <c r="D2637" s="39">
        <f t="shared" si="83"/>
        <v>8343623.1946634203</v>
      </c>
    </row>
    <row r="2638" spans="2:4" x14ac:dyDescent="0.25">
      <c r="B2638" s="90">
        <v>2634</v>
      </c>
      <c r="C2638" s="39">
        <f t="shared" si="82"/>
        <v>8769710.9750335738</v>
      </c>
      <c r="D2638" s="39">
        <f t="shared" si="83"/>
        <v>8346792.0602899538</v>
      </c>
    </row>
    <row r="2639" spans="2:4" x14ac:dyDescent="0.25">
      <c r="B2639" s="90">
        <v>2635</v>
      </c>
      <c r="C2639" s="39">
        <f t="shared" si="82"/>
        <v>8772373.8873247802</v>
      </c>
      <c r="D2639" s="39">
        <f t="shared" si="83"/>
        <v>8349960.9259164874</v>
      </c>
    </row>
    <row r="2640" spans="2:4" x14ac:dyDescent="0.25">
      <c r="B2640" s="90">
        <v>2636</v>
      </c>
      <c r="C2640" s="39">
        <f t="shared" si="82"/>
        <v>8775036.7996159829</v>
      </c>
      <c r="D2640" s="39">
        <f t="shared" si="83"/>
        <v>8353129.7915430209</v>
      </c>
    </row>
    <row r="2641" spans="2:4" x14ac:dyDescent="0.25">
      <c r="B2641" s="90">
        <v>2637</v>
      </c>
      <c r="C2641" s="39">
        <f t="shared" si="82"/>
        <v>8777699.7119071893</v>
      </c>
      <c r="D2641" s="39">
        <f t="shared" si="83"/>
        <v>8356298.6571695553</v>
      </c>
    </row>
    <row r="2642" spans="2:4" x14ac:dyDescent="0.25">
      <c r="B2642" s="90">
        <v>2638</v>
      </c>
      <c r="C2642" s="39">
        <f t="shared" si="82"/>
        <v>8780362.6241983939</v>
      </c>
      <c r="D2642" s="39">
        <f t="shared" si="83"/>
        <v>8359467.5227960888</v>
      </c>
    </row>
    <row r="2643" spans="2:4" x14ac:dyDescent="0.25">
      <c r="B2643" s="90">
        <v>2639</v>
      </c>
      <c r="C2643" s="39">
        <f t="shared" si="82"/>
        <v>8783025.5364895985</v>
      </c>
      <c r="D2643" s="39">
        <f t="shared" si="83"/>
        <v>8362636.3884226223</v>
      </c>
    </row>
    <row r="2644" spans="2:4" x14ac:dyDescent="0.25">
      <c r="B2644" s="90">
        <v>2640</v>
      </c>
      <c r="C2644" s="39">
        <f t="shared" si="82"/>
        <v>8785688.448780803</v>
      </c>
      <c r="D2644" s="39">
        <f t="shared" si="83"/>
        <v>8365805.2540491559</v>
      </c>
    </row>
    <row r="2645" spans="2:4" x14ac:dyDescent="0.25">
      <c r="B2645" s="90">
        <v>2641</v>
      </c>
      <c r="C2645" s="39">
        <f t="shared" si="82"/>
        <v>8788351.3610720076</v>
      </c>
      <c r="D2645" s="39">
        <f t="shared" si="83"/>
        <v>8368974.1196756903</v>
      </c>
    </row>
    <row r="2646" spans="2:4" x14ac:dyDescent="0.25">
      <c r="B2646" s="90">
        <v>2642</v>
      </c>
      <c r="C2646" s="39">
        <f t="shared" si="82"/>
        <v>8791014.273363214</v>
      </c>
      <c r="D2646" s="39">
        <f t="shared" si="83"/>
        <v>8372142.9853022238</v>
      </c>
    </row>
    <row r="2647" spans="2:4" x14ac:dyDescent="0.25">
      <c r="B2647" s="90">
        <v>2643</v>
      </c>
      <c r="C2647" s="39">
        <f t="shared" si="82"/>
        <v>8793677.1856544167</v>
      </c>
      <c r="D2647" s="39">
        <f t="shared" si="83"/>
        <v>8375311.8509287573</v>
      </c>
    </row>
    <row r="2648" spans="2:4" x14ac:dyDescent="0.25">
      <c r="B2648" s="90">
        <v>2644</v>
      </c>
      <c r="C2648" s="39">
        <f t="shared" si="82"/>
        <v>8796340.0979456231</v>
      </c>
      <c r="D2648" s="39">
        <f t="shared" si="83"/>
        <v>8378480.7165552918</v>
      </c>
    </row>
    <row r="2649" spans="2:4" x14ac:dyDescent="0.25">
      <c r="B2649" s="90">
        <v>2645</v>
      </c>
      <c r="C2649" s="39">
        <f t="shared" si="82"/>
        <v>8799003.0102368277</v>
      </c>
      <c r="D2649" s="39">
        <f t="shared" si="83"/>
        <v>8381649.5821818253</v>
      </c>
    </row>
    <row r="2650" spans="2:4" x14ac:dyDescent="0.25">
      <c r="B2650" s="90">
        <v>2646</v>
      </c>
      <c r="C2650" s="39">
        <f t="shared" si="82"/>
        <v>8801665.9225280322</v>
      </c>
      <c r="D2650" s="39">
        <f t="shared" si="83"/>
        <v>8384818.4478083588</v>
      </c>
    </row>
    <row r="2651" spans="2:4" x14ac:dyDescent="0.25">
      <c r="B2651" s="90">
        <v>2647</v>
      </c>
      <c r="C2651" s="39">
        <f t="shared" si="82"/>
        <v>8804328.8348192368</v>
      </c>
      <c r="D2651" s="39">
        <f t="shared" si="83"/>
        <v>8387987.3134348923</v>
      </c>
    </row>
    <row r="2652" spans="2:4" x14ac:dyDescent="0.25">
      <c r="B2652" s="90">
        <v>2648</v>
      </c>
      <c r="C2652" s="39">
        <f t="shared" si="82"/>
        <v>8806991.7471104413</v>
      </c>
      <c r="D2652" s="39">
        <f t="shared" si="83"/>
        <v>8391156.1790614258</v>
      </c>
    </row>
    <row r="2653" spans="2:4" x14ac:dyDescent="0.25">
      <c r="B2653" s="90">
        <v>2649</v>
      </c>
      <c r="C2653" s="39">
        <f t="shared" si="82"/>
        <v>8809654.6594016477</v>
      </c>
      <c r="D2653" s="39">
        <f t="shared" si="83"/>
        <v>8394325.0446879603</v>
      </c>
    </row>
    <row r="2654" spans="2:4" x14ac:dyDescent="0.25">
      <c r="B2654" s="90">
        <v>2650</v>
      </c>
      <c r="C2654" s="39">
        <f t="shared" si="82"/>
        <v>8812317.5716928504</v>
      </c>
      <c r="D2654" s="39">
        <f t="shared" si="83"/>
        <v>8397493.9103144947</v>
      </c>
    </row>
    <row r="2655" spans="2:4" x14ac:dyDescent="0.25">
      <c r="B2655" s="90">
        <v>2651</v>
      </c>
      <c r="C2655" s="39">
        <f t="shared" si="82"/>
        <v>8814980.4839840569</v>
      </c>
      <c r="D2655" s="39">
        <f t="shared" si="83"/>
        <v>8400662.7759410273</v>
      </c>
    </row>
    <row r="2656" spans="2:4" x14ac:dyDescent="0.25">
      <c r="B2656" s="90">
        <v>2652</v>
      </c>
      <c r="C2656" s="39">
        <f t="shared" si="82"/>
        <v>8817643.3962752614</v>
      </c>
      <c r="D2656" s="39">
        <f t="shared" si="83"/>
        <v>8403831.6415675618</v>
      </c>
    </row>
    <row r="2657" spans="2:4" x14ac:dyDescent="0.25">
      <c r="B2657" s="90">
        <v>2653</v>
      </c>
      <c r="C2657" s="39">
        <f t="shared" si="82"/>
        <v>8820306.308566466</v>
      </c>
      <c r="D2657" s="39">
        <f t="shared" si="83"/>
        <v>8407000.5071940962</v>
      </c>
    </row>
    <row r="2658" spans="2:4" x14ac:dyDescent="0.25">
      <c r="B2658" s="90">
        <v>2654</v>
      </c>
      <c r="C2658" s="39">
        <f t="shared" si="82"/>
        <v>8822969.2208576724</v>
      </c>
      <c r="D2658" s="39">
        <f t="shared" si="83"/>
        <v>8410169.3728206288</v>
      </c>
    </row>
    <row r="2659" spans="2:4" x14ac:dyDescent="0.25">
      <c r="B2659" s="90">
        <v>2655</v>
      </c>
      <c r="C2659" s="39">
        <f t="shared" si="82"/>
        <v>8825632.1331488751</v>
      </c>
      <c r="D2659" s="39">
        <f t="shared" si="83"/>
        <v>8413338.2384471633</v>
      </c>
    </row>
    <row r="2660" spans="2:4" x14ac:dyDescent="0.25">
      <c r="B2660" s="90">
        <v>2656</v>
      </c>
      <c r="C2660" s="39">
        <f t="shared" si="82"/>
        <v>8828295.0454400815</v>
      </c>
      <c r="D2660" s="39">
        <f t="shared" si="83"/>
        <v>8416507.1040736958</v>
      </c>
    </row>
    <row r="2661" spans="2:4" x14ac:dyDescent="0.25">
      <c r="B2661" s="90">
        <v>2657</v>
      </c>
      <c r="C2661" s="39">
        <f t="shared" si="82"/>
        <v>8830957.9577312861</v>
      </c>
      <c r="D2661" s="39">
        <f t="shared" si="83"/>
        <v>8419675.9697002303</v>
      </c>
    </row>
    <row r="2662" spans="2:4" x14ac:dyDescent="0.25">
      <c r="B2662" s="90">
        <v>2658</v>
      </c>
      <c r="C2662" s="39">
        <f t="shared" si="82"/>
        <v>8833620.8700224906</v>
      </c>
      <c r="D2662" s="39">
        <f t="shared" si="83"/>
        <v>8422844.8353267647</v>
      </c>
    </row>
    <row r="2663" spans="2:4" x14ac:dyDescent="0.25">
      <c r="B2663" s="90">
        <v>2659</v>
      </c>
      <c r="C2663" s="39">
        <f t="shared" si="82"/>
        <v>8836283.7823136952</v>
      </c>
      <c r="D2663" s="39">
        <f t="shared" si="83"/>
        <v>8426013.7009532973</v>
      </c>
    </row>
    <row r="2664" spans="2:4" x14ac:dyDescent="0.25">
      <c r="B2664" s="90">
        <v>2660</v>
      </c>
      <c r="C2664" s="39">
        <f t="shared" si="82"/>
        <v>8838946.6946048997</v>
      </c>
      <c r="D2664" s="39">
        <f t="shared" si="83"/>
        <v>8429182.5665798318</v>
      </c>
    </row>
    <row r="2665" spans="2:4" x14ac:dyDescent="0.25">
      <c r="B2665" s="90">
        <v>2661</v>
      </c>
      <c r="C2665" s="39">
        <f t="shared" si="82"/>
        <v>8841609.6068961062</v>
      </c>
      <c r="D2665" s="39">
        <f t="shared" si="83"/>
        <v>8432351.4322063662</v>
      </c>
    </row>
    <row r="2666" spans="2:4" x14ac:dyDescent="0.25">
      <c r="B2666" s="90">
        <v>2662</v>
      </c>
      <c r="C2666" s="39">
        <f t="shared" si="82"/>
        <v>8844272.5191873088</v>
      </c>
      <c r="D2666" s="39">
        <f t="shared" si="83"/>
        <v>8435520.2978328988</v>
      </c>
    </row>
    <row r="2667" spans="2:4" x14ac:dyDescent="0.25">
      <c r="B2667" s="90">
        <v>2663</v>
      </c>
      <c r="C2667" s="39">
        <f t="shared" si="82"/>
        <v>8846935.4314785153</v>
      </c>
      <c r="D2667" s="39">
        <f t="shared" si="83"/>
        <v>8438689.1634594332</v>
      </c>
    </row>
    <row r="2668" spans="2:4" x14ac:dyDescent="0.25">
      <c r="B2668" s="90">
        <v>2664</v>
      </c>
      <c r="C2668" s="39">
        <f t="shared" si="82"/>
        <v>8849598.3437697198</v>
      </c>
      <c r="D2668" s="39">
        <f t="shared" si="83"/>
        <v>8441858.0290859677</v>
      </c>
    </row>
    <row r="2669" spans="2:4" x14ac:dyDescent="0.25">
      <c r="B2669" s="90">
        <v>2665</v>
      </c>
      <c r="C2669" s="39">
        <f t="shared" si="82"/>
        <v>8852261.2560609244</v>
      </c>
      <c r="D2669" s="39">
        <f t="shared" si="83"/>
        <v>8445026.8947125003</v>
      </c>
    </row>
    <row r="2670" spans="2:4" x14ac:dyDescent="0.25">
      <c r="B2670" s="90">
        <v>2666</v>
      </c>
      <c r="C2670" s="39">
        <f t="shared" si="82"/>
        <v>8854924.1683521289</v>
      </c>
      <c r="D2670" s="39">
        <f t="shared" si="83"/>
        <v>8448195.7603390347</v>
      </c>
    </row>
    <row r="2671" spans="2:4" x14ac:dyDescent="0.25">
      <c r="B2671" s="90">
        <v>2667</v>
      </c>
      <c r="C2671" s="39">
        <f t="shared" si="82"/>
        <v>8857587.0806433335</v>
      </c>
      <c r="D2671" s="39">
        <f t="shared" si="83"/>
        <v>8451364.6259655673</v>
      </c>
    </row>
    <row r="2672" spans="2:4" x14ac:dyDescent="0.25">
      <c r="B2672" s="90">
        <v>2668</v>
      </c>
      <c r="C2672" s="39">
        <f t="shared" si="82"/>
        <v>8860249.9929345399</v>
      </c>
      <c r="D2672" s="39">
        <f t="shared" si="83"/>
        <v>8454533.4915921018</v>
      </c>
    </row>
    <row r="2673" spans="2:4" x14ac:dyDescent="0.25">
      <c r="B2673" s="90">
        <v>2669</v>
      </c>
      <c r="C2673" s="39">
        <f t="shared" ref="C2673:C2736" si="84">($C$2*B2673)+$C$1</f>
        <v>8862912.9052257426</v>
      </c>
      <c r="D2673" s="39">
        <f t="shared" ref="D2673:D2736" si="85">$D$2*B2673</f>
        <v>8457702.3572186362</v>
      </c>
    </row>
    <row r="2674" spans="2:4" x14ac:dyDescent="0.25">
      <c r="B2674" s="90">
        <v>2670</v>
      </c>
      <c r="C2674" s="39">
        <f t="shared" si="84"/>
        <v>8865575.817516949</v>
      </c>
      <c r="D2674" s="39">
        <f t="shared" si="85"/>
        <v>8460871.2228451688</v>
      </c>
    </row>
    <row r="2675" spans="2:4" x14ac:dyDescent="0.25">
      <c r="B2675" s="90">
        <v>2671</v>
      </c>
      <c r="C2675" s="39">
        <f t="shared" si="84"/>
        <v>8868238.7298081536</v>
      </c>
      <c r="D2675" s="39">
        <f t="shared" si="85"/>
        <v>8464040.0884717032</v>
      </c>
    </row>
    <row r="2676" spans="2:4" x14ac:dyDescent="0.25">
      <c r="B2676" s="90">
        <v>2672</v>
      </c>
      <c r="C2676" s="39">
        <f t="shared" si="84"/>
        <v>8870901.6420993581</v>
      </c>
      <c r="D2676" s="39">
        <f t="shared" si="85"/>
        <v>8467208.9540982377</v>
      </c>
    </row>
    <row r="2677" spans="2:4" x14ac:dyDescent="0.25">
      <c r="B2677" s="90">
        <v>2673</v>
      </c>
      <c r="C2677" s="39">
        <f t="shared" si="84"/>
        <v>8873564.5543905646</v>
      </c>
      <c r="D2677" s="39">
        <f t="shared" si="85"/>
        <v>8470377.8197247703</v>
      </c>
    </row>
    <row r="2678" spans="2:4" x14ac:dyDescent="0.25">
      <c r="B2678" s="90">
        <v>2674</v>
      </c>
      <c r="C2678" s="39">
        <f t="shared" si="84"/>
        <v>8876227.4666817673</v>
      </c>
      <c r="D2678" s="39">
        <f t="shared" si="85"/>
        <v>8473546.6853513047</v>
      </c>
    </row>
    <row r="2679" spans="2:4" x14ac:dyDescent="0.25">
      <c r="B2679" s="90">
        <v>2675</v>
      </c>
      <c r="C2679" s="39">
        <f t="shared" si="84"/>
        <v>8878890.3789729737</v>
      </c>
      <c r="D2679" s="39">
        <f t="shared" si="85"/>
        <v>8476715.5509778392</v>
      </c>
    </row>
    <row r="2680" spans="2:4" x14ac:dyDescent="0.25">
      <c r="B2680" s="90">
        <v>2676</v>
      </c>
      <c r="C2680" s="39">
        <f t="shared" si="84"/>
        <v>8881553.2912641764</v>
      </c>
      <c r="D2680" s="39">
        <f t="shared" si="85"/>
        <v>8479884.4166043717</v>
      </c>
    </row>
    <row r="2681" spans="2:4" x14ac:dyDescent="0.25">
      <c r="B2681" s="90">
        <v>2677</v>
      </c>
      <c r="C2681" s="39">
        <f t="shared" si="84"/>
        <v>8884216.2035553828</v>
      </c>
      <c r="D2681" s="39">
        <f t="shared" si="85"/>
        <v>8483053.2822309062</v>
      </c>
    </row>
    <row r="2682" spans="2:4" x14ac:dyDescent="0.25">
      <c r="B2682" s="90">
        <v>2678</v>
      </c>
      <c r="C2682" s="39">
        <f t="shared" si="84"/>
        <v>8886879.1158465873</v>
      </c>
      <c r="D2682" s="39">
        <f t="shared" si="85"/>
        <v>8486222.1478574388</v>
      </c>
    </row>
    <row r="2683" spans="2:4" x14ac:dyDescent="0.25">
      <c r="B2683" s="90">
        <v>2679</v>
      </c>
      <c r="C2683" s="39">
        <f t="shared" si="84"/>
        <v>8889542.0281377919</v>
      </c>
      <c r="D2683" s="39">
        <f t="shared" si="85"/>
        <v>8489391.0134839732</v>
      </c>
    </row>
    <row r="2684" spans="2:4" x14ac:dyDescent="0.25">
      <c r="B2684" s="90">
        <v>2680</v>
      </c>
      <c r="C2684" s="39">
        <f t="shared" si="84"/>
        <v>8892204.9404289983</v>
      </c>
      <c r="D2684" s="39">
        <f t="shared" si="85"/>
        <v>8492559.8791105077</v>
      </c>
    </row>
    <row r="2685" spans="2:4" x14ac:dyDescent="0.25">
      <c r="B2685" s="90">
        <v>2681</v>
      </c>
      <c r="C2685" s="39">
        <f t="shared" si="84"/>
        <v>8894867.852720201</v>
      </c>
      <c r="D2685" s="39">
        <f t="shared" si="85"/>
        <v>8495728.7447370403</v>
      </c>
    </row>
    <row r="2686" spans="2:4" x14ac:dyDescent="0.25">
      <c r="B2686" s="90">
        <v>2682</v>
      </c>
      <c r="C2686" s="39">
        <f t="shared" si="84"/>
        <v>8897530.7650114074</v>
      </c>
      <c r="D2686" s="39">
        <f t="shared" si="85"/>
        <v>8498897.6103635747</v>
      </c>
    </row>
    <row r="2687" spans="2:4" x14ac:dyDescent="0.25">
      <c r="B2687" s="90">
        <v>2683</v>
      </c>
      <c r="C2687" s="39">
        <f t="shared" si="84"/>
        <v>8900193.677302612</v>
      </c>
      <c r="D2687" s="39">
        <f t="shared" si="85"/>
        <v>8502066.4759901091</v>
      </c>
    </row>
    <row r="2688" spans="2:4" x14ac:dyDescent="0.25">
      <c r="B2688" s="90">
        <v>2684</v>
      </c>
      <c r="C2688" s="39">
        <f t="shared" si="84"/>
        <v>8902856.5895938165</v>
      </c>
      <c r="D2688" s="39">
        <f t="shared" si="85"/>
        <v>8505235.3416166417</v>
      </c>
    </row>
    <row r="2689" spans="2:4" x14ac:dyDescent="0.25">
      <c r="B2689" s="90">
        <v>2685</v>
      </c>
      <c r="C2689" s="39">
        <f t="shared" si="84"/>
        <v>8905519.5018850211</v>
      </c>
      <c r="D2689" s="39">
        <f t="shared" si="85"/>
        <v>8508404.2072431762</v>
      </c>
    </row>
    <row r="2690" spans="2:4" x14ac:dyDescent="0.25">
      <c r="B2690" s="90">
        <v>2686</v>
      </c>
      <c r="C2690" s="39">
        <f t="shared" si="84"/>
        <v>8908182.4141762257</v>
      </c>
      <c r="D2690" s="39">
        <f t="shared" si="85"/>
        <v>8511573.0728697106</v>
      </c>
    </row>
    <row r="2691" spans="2:4" x14ac:dyDescent="0.25">
      <c r="B2691" s="90">
        <v>2687</v>
      </c>
      <c r="C2691" s="39">
        <f t="shared" si="84"/>
        <v>8910845.3264674321</v>
      </c>
      <c r="D2691" s="39">
        <f t="shared" si="85"/>
        <v>8514741.9384962432</v>
      </c>
    </row>
    <row r="2692" spans="2:4" x14ac:dyDescent="0.25">
      <c r="B2692" s="90">
        <v>2688</v>
      </c>
      <c r="C2692" s="39">
        <f t="shared" si="84"/>
        <v>8913508.2387586348</v>
      </c>
      <c r="D2692" s="39">
        <f t="shared" si="85"/>
        <v>8517910.8041227777</v>
      </c>
    </row>
    <row r="2693" spans="2:4" x14ac:dyDescent="0.25">
      <c r="B2693" s="90">
        <v>2689</v>
      </c>
      <c r="C2693" s="39">
        <f t="shared" si="84"/>
        <v>8916171.1510498412</v>
      </c>
      <c r="D2693" s="39">
        <f t="shared" si="85"/>
        <v>8521079.6697493102</v>
      </c>
    </row>
    <row r="2694" spans="2:4" x14ac:dyDescent="0.25">
      <c r="B2694" s="90">
        <v>2690</v>
      </c>
      <c r="C2694" s="39">
        <f t="shared" si="84"/>
        <v>8918834.0633410458</v>
      </c>
      <c r="D2694" s="39">
        <f t="shared" si="85"/>
        <v>8524248.5353758447</v>
      </c>
    </row>
    <row r="2695" spans="2:4" x14ac:dyDescent="0.25">
      <c r="B2695" s="90">
        <v>2691</v>
      </c>
      <c r="C2695" s="39">
        <f t="shared" si="84"/>
        <v>8921496.9756322503</v>
      </c>
      <c r="D2695" s="39">
        <f t="shared" si="85"/>
        <v>8527417.4010023791</v>
      </c>
    </row>
    <row r="2696" spans="2:4" x14ac:dyDescent="0.25">
      <c r="B2696" s="90">
        <v>2692</v>
      </c>
      <c r="C2696" s="39">
        <f t="shared" si="84"/>
        <v>8924159.8879234567</v>
      </c>
      <c r="D2696" s="39">
        <f t="shared" si="85"/>
        <v>8530586.2666289117</v>
      </c>
    </row>
    <row r="2697" spans="2:4" x14ac:dyDescent="0.25">
      <c r="B2697" s="90">
        <v>2693</v>
      </c>
      <c r="C2697" s="39">
        <f t="shared" si="84"/>
        <v>8926822.8002146594</v>
      </c>
      <c r="D2697" s="39">
        <f t="shared" si="85"/>
        <v>8533755.1322554462</v>
      </c>
    </row>
    <row r="2698" spans="2:4" x14ac:dyDescent="0.25">
      <c r="B2698" s="90">
        <v>2694</v>
      </c>
      <c r="C2698" s="39">
        <f t="shared" si="84"/>
        <v>8929485.7125058658</v>
      </c>
      <c r="D2698" s="39">
        <f t="shared" si="85"/>
        <v>8536923.9978819806</v>
      </c>
    </row>
    <row r="2699" spans="2:4" x14ac:dyDescent="0.25">
      <c r="B2699" s="90">
        <v>2695</v>
      </c>
      <c r="C2699" s="39">
        <f t="shared" si="84"/>
        <v>8932148.6247970685</v>
      </c>
      <c r="D2699" s="39">
        <f t="shared" si="85"/>
        <v>8540092.8635085132</v>
      </c>
    </row>
    <row r="2700" spans="2:4" x14ac:dyDescent="0.25">
      <c r="B2700" s="90">
        <v>2696</v>
      </c>
      <c r="C2700" s="39">
        <f t="shared" si="84"/>
        <v>8934811.537088275</v>
      </c>
      <c r="D2700" s="39">
        <f t="shared" si="85"/>
        <v>8543261.7291350476</v>
      </c>
    </row>
    <row r="2701" spans="2:4" x14ac:dyDescent="0.25">
      <c r="B2701" s="90">
        <v>2697</v>
      </c>
      <c r="C2701" s="39">
        <f t="shared" si="84"/>
        <v>8937474.4493794795</v>
      </c>
      <c r="D2701" s="39">
        <f t="shared" si="85"/>
        <v>8546430.5947615821</v>
      </c>
    </row>
    <row r="2702" spans="2:4" x14ac:dyDescent="0.25">
      <c r="B2702" s="90">
        <v>2698</v>
      </c>
      <c r="C2702" s="39">
        <f t="shared" si="84"/>
        <v>8940137.3616706841</v>
      </c>
      <c r="D2702" s="39">
        <f t="shared" si="85"/>
        <v>8549599.4603881147</v>
      </c>
    </row>
    <row r="2703" spans="2:4" x14ac:dyDescent="0.25">
      <c r="B2703" s="90">
        <v>2699</v>
      </c>
      <c r="C2703" s="39">
        <f t="shared" si="84"/>
        <v>8942800.2739618905</v>
      </c>
      <c r="D2703" s="39">
        <f t="shared" si="85"/>
        <v>8552768.3260146491</v>
      </c>
    </row>
    <row r="2704" spans="2:4" x14ac:dyDescent="0.25">
      <c r="B2704" s="90">
        <v>2700</v>
      </c>
      <c r="C2704" s="39">
        <f t="shared" si="84"/>
        <v>8945463.1862530932</v>
      </c>
      <c r="D2704" s="39">
        <f t="shared" si="85"/>
        <v>8555937.1916411817</v>
      </c>
    </row>
    <row r="2705" spans="2:4" x14ac:dyDescent="0.25">
      <c r="B2705" s="90">
        <v>2701</v>
      </c>
      <c r="C2705" s="39">
        <f t="shared" si="84"/>
        <v>8948126.0985442996</v>
      </c>
      <c r="D2705" s="39">
        <f t="shared" si="85"/>
        <v>8559106.0572677162</v>
      </c>
    </row>
    <row r="2706" spans="2:4" x14ac:dyDescent="0.25">
      <c r="B2706" s="90">
        <v>2702</v>
      </c>
      <c r="C2706" s="39">
        <f t="shared" si="84"/>
        <v>8950789.0108355042</v>
      </c>
      <c r="D2706" s="39">
        <f t="shared" si="85"/>
        <v>8562274.9228942506</v>
      </c>
    </row>
    <row r="2707" spans="2:4" x14ac:dyDescent="0.25">
      <c r="B2707" s="90">
        <v>2703</v>
      </c>
      <c r="C2707" s="39">
        <f t="shared" si="84"/>
        <v>8953451.9231267087</v>
      </c>
      <c r="D2707" s="39">
        <f t="shared" si="85"/>
        <v>8565443.7885207832</v>
      </c>
    </row>
    <row r="2708" spans="2:4" x14ac:dyDescent="0.25">
      <c r="B2708" s="90">
        <v>2704</v>
      </c>
      <c r="C2708" s="39">
        <f t="shared" si="84"/>
        <v>8956114.8354179133</v>
      </c>
      <c r="D2708" s="39">
        <f t="shared" si="85"/>
        <v>8568612.6541473176</v>
      </c>
    </row>
    <row r="2709" spans="2:4" x14ac:dyDescent="0.25">
      <c r="B2709" s="90">
        <v>2705</v>
      </c>
      <c r="C2709" s="39">
        <f t="shared" si="84"/>
        <v>8958777.7477091178</v>
      </c>
      <c r="D2709" s="39">
        <f t="shared" si="85"/>
        <v>8571781.5197738521</v>
      </c>
    </row>
    <row r="2710" spans="2:4" x14ac:dyDescent="0.25">
      <c r="B2710" s="90">
        <v>2706</v>
      </c>
      <c r="C2710" s="39">
        <f t="shared" si="84"/>
        <v>8961440.6600003242</v>
      </c>
      <c r="D2710" s="39">
        <f t="shared" si="85"/>
        <v>8574950.3854003847</v>
      </c>
    </row>
    <row r="2711" spans="2:4" x14ac:dyDescent="0.25">
      <c r="B2711" s="90">
        <v>2707</v>
      </c>
      <c r="C2711" s="39">
        <f t="shared" si="84"/>
        <v>8964103.5722915269</v>
      </c>
      <c r="D2711" s="39">
        <f t="shared" si="85"/>
        <v>8578119.2510269191</v>
      </c>
    </row>
    <row r="2712" spans="2:4" x14ac:dyDescent="0.25">
      <c r="B2712" s="90">
        <v>2708</v>
      </c>
      <c r="C2712" s="39">
        <f t="shared" si="84"/>
        <v>8966766.4845827334</v>
      </c>
      <c r="D2712" s="39">
        <f t="shared" si="85"/>
        <v>8581288.1166534536</v>
      </c>
    </row>
    <row r="2713" spans="2:4" x14ac:dyDescent="0.25">
      <c r="B2713" s="90">
        <v>2709</v>
      </c>
      <c r="C2713" s="39">
        <f t="shared" si="84"/>
        <v>8969429.3968739379</v>
      </c>
      <c r="D2713" s="39">
        <f t="shared" si="85"/>
        <v>8584456.9822799861</v>
      </c>
    </row>
    <row r="2714" spans="2:4" x14ac:dyDescent="0.25">
      <c r="B2714" s="90">
        <v>2710</v>
      </c>
      <c r="C2714" s="39">
        <f t="shared" si="84"/>
        <v>8972092.3091651425</v>
      </c>
      <c r="D2714" s="39">
        <f t="shared" si="85"/>
        <v>8587625.8479065206</v>
      </c>
    </row>
    <row r="2715" spans="2:4" x14ac:dyDescent="0.25">
      <c r="B2715" s="90">
        <v>2711</v>
      </c>
      <c r="C2715" s="39">
        <f t="shared" si="84"/>
        <v>8974755.221456347</v>
      </c>
      <c r="D2715" s="39">
        <f t="shared" si="85"/>
        <v>8590794.7135330532</v>
      </c>
    </row>
    <row r="2716" spans="2:4" x14ac:dyDescent="0.25">
      <c r="B2716" s="90">
        <v>2712</v>
      </c>
      <c r="C2716" s="39">
        <f t="shared" si="84"/>
        <v>8977418.1337475516</v>
      </c>
      <c r="D2716" s="39">
        <f t="shared" si="85"/>
        <v>8593963.5791595876</v>
      </c>
    </row>
    <row r="2717" spans="2:4" x14ac:dyDescent="0.25">
      <c r="B2717" s="90">
        <v>2713</v>
      </c>
      <c r="C2717" s="39">
        <f t="shared" si="84"/>
        <v>8980081.046038758</v>
      </c>
      <c r="D2717" s="39">
        <f t="shared" si="85"/>
        <v>8597132.4447861221</v>
      </c>
    </row>
    <row r="2718" spans="2:4" x14ac:dyDescent="0.25">
      <c r="B2718" s="90">
        <v>2714</v>
      </c>
      <c r="C2718" s="39">
        <f t="shared" si="84"/>
        <v>8982743.9583299607</v>
      </c>
      <c r="D2718" s="39">
        <f t="shared" si="85"/>
        <v>8600301.3104126547</v>
      </c>
    </row>
    <row r="2719" spans="2:4" x14ac:dyDescent="0.25">
      <c r="B2719" s="90">
        <v>2715</v>
      </c>
      <c r="C2719" s="39">
        <f t="shared" si="84"/>
        <v>8985406.8706211671</v>
      </c>
      <c r="D2719" s="39">
        <f t="shared" si="85"/>
        <v>8603470.1760391891</v>
      </c>
    </row>
    <row r="2720" spans="2:4" x14ac:dyDescent="0.25">
      <c r="B2720" s="90">
        <v>2716</v>
      </c>
      <c r="C2720" s="39">
        <f t="shared" si="84"/>
        <v>8988069.7829123717</v>
      </c>
      <c r="D2720" s="39">
        <f t="shared" si="85"/>
        <v>8606639.0416657235</v>
      </c>
    </row>
    <row r="2721" spans="2:4" x14ac:dyDescent="0.25">
      <c r="B2721" s="90">
        <v>2717</v>
      </c>
      <c r="C2721" s="39">
        <f t="shared" si="84"/>
        <v>8990732.6952035762</v>
      </c>
      <c r="D2721" s="39">
        <f t="shared" si="85"/>
        <v>8609807.9072922561</v>
      </c>
    </row>
    <row r="2722" spans="2:4" x14ac:dyDescent="0.25">
      <c r="B2722" s="90">
        <v>2718</v>
      </c>
      <c r="C2722" s="39">
        <f t="shared" si="84"/>
        <v>8993395.6074947827</v>
      </c>
      <c r="D2722" s="39">
        <f t="shared" si="85"/>
        <v>8612976.7729187906</v>
      </c>
    </row>
    <row r="2723" spans="2:4" x14ac:dyDescent="0.25">
      <c r="B2723" s="90">
        <v>2719</v>
      </c>
      <c r="C2723" s="39">
        <f t="shared" si="84"/>
        <v>8996058.5197859854</v>
      </c>
      <c r="D2723" s="39">
        <f t="shared" si="85"/>
        <v>8616145.638545325</v>
      </c>
    </row>
    <row r="2724" spans="2:4" x14ac:dyDescent="0.25">
      <c r="B2724" s="90">
        <v>2720</v>
      </c>
      <c r="C2724" s="39">
        <f t="shared" si="84"/>
        <v>8998721.4320771918</v>
      </c>
      <c r="D2724" s="39">
        <f t="shared" si="85"/>
        <v>8619314.5041718576</v>
      </c>
    </row>
    <row r="2725" spans="2:4" x14ac:dyDescent="0.25">
      <c r="B2725" s="90">
        <v>2721</v>
      </c>
      <c r="C2725" s="39">
        <f t="shared" si="84"/>
        <v>9001384.3443683963</v>
      </c>
      <c r="D2725" s="39">
        <f t="shared" si="85"/>
        <v>8622483.3697983921</v>
      </c>
    </row>
    <row r="2726" spans="2:4" x14ac:dyDescent="0.25">
      <c r="B2726" s="90">
        <v>2722</v>
      </c>
      <c r="C2726" s="39">
        <f t="shared" si="84"/>
        <v>9004047.2566596009</v>
      </c>
      <c r="D2726" s="39">
        <f t="shared" si="85"/>
        <v>8625652.2354249246</v>
      </c>
    </row>
    <row r="2727" spans="2:4" x14ac:dyDescent="0.25">
      <c r="B2727" s="90">
        <v>2723</v>
      </c>
      <c r="C2727" s="39">
        <f t="shared" si="84"/>
        <v>9006710.1689508054</v>
      </c>
      <c r="D2727" s="39">
        <f t="shared" si="85"/>
        <v>8628821.1010514591</v>
      </c>
    </row>
    <row r="2728" spans="2:4" x14ac:dyDescent="0.25">
      <c r="B2728" s="90">
        <v>2724</v>
      </c>
      <c r="C2728" s="39">
        <f t="shared" si="84"/>
        <v>9009373.08124201</v>
      </c>
      <c r="D2728" s="39">
        <f t="shared" si="85"/>
        <v>8631989.9666779935</v>
      </c>
    </row>
    <row r="2729" spans="2:4" x14ac:dyDescent="0.25">
      <c r="B2729" s="90">
        <v>2725</v>
      </c>
      <c r="C2729" s="39">
        <f t="shared" si="84"/>
        <v>9012035.9935332164</v>
      </c>
      <c r="D2729" s="39">
        <f t="shared" si="85"/>
        <v>8635158.8323045261</v>
      </c>
    </row>
    <row r="2730" spans="2:4" x14ac:dyDescent="0.25">
      <c r="B2730" s="90">
        <v>2726</v>
      </c>
      <c r="C2730" s="39">
        <f t="shared" si="84"/>
        <v>9014698.9058244191</v>
      </c>
      <c r="D2730" s="39">
        <f t="shared" si="85"/>
        <v>8638327.6979310606</v>
      </c>
    </row>
    <row r="2731" spans="2:4" x14ac:dyDescent="0.25">
      <c r="B2731" s="90">
        <v>2727</v>
      </c>
      <c r="C2731" s="39">
        <f t="shared" si="84"/>
        <v>9017361.8181156255</v>
      </c>
      <c r="D2731" s="39">
        <f t="shared" si="85"/>
        <v>8641496.563557595</v>
      </c>
    </row>
    <row r="2732" spans="2:4" x14ac:dyDescent="0.25">
      <c r="B2732" s="90">
        <v>2728</v>
      </c>
      <c r="C2732" s="39">
        <f t="shared" si="84"/>
        <v>9020024.7304068301</v>
      </c>
      <c r="D2732" s="39">
        <f t="shared" si="85"/>
        <v>8644665.4291841276</v>
      </c>
    </row>
    <row r="2733" spans="2:4" x14ac:dyDescent="0.25">
      <c r="B2733" s="90">
        <v>2729</v>
      </c>
      <c r="C2733" s="39">
        <f t="shared" si="84"/>
        <v>9022687.6426980346</v>
      </c>
      <c r="D2733" s="39">
        <f t="shared" si="85"/>
        <v>8647834.294810662</v>
      </c>
    </row>
    <row r="2734" spans="2:4" x14ac:dyDescent="0.25">
      <c r="B2734" s="90">
        <v>2730</v>
      </c>
      <c r="C2734" s="39">
        <f t="shared" si="84"/>
        <v>9025350.5549892392</v>
      </c>
      <c r="D2734" s="39">
        <f t="shared" si="85"/>
        <v>8651003.1604371965</v>
      </c>
    </row>
    <row r="2735" spans="2:4" x14ac:dyDescent="0.25">
      <c r="B2735" s="90">
        <v>2731</v>
      </c>
      <c r="C2735" s="39">
        <f t="shared" si="84"/>
        <v>9028013.4672804438</v>
      </c>
      <c r="D2735" s="39">
        <f t="shared" si="85"/>
        <v>8654172.0260637291</v>
      </c>
    </row>
    <row r="2736" spans="2:4" x14ac:dyDescent="0.25">
      <c r="B2736" s="90">
        <v>2732</v>
      </c>
      <c r="C2736" s="39">
        <f t="shared" si="84"/>
        <v>9030676.3795716502</v>
      </c>
      <c r="D2736" s="39">
        <f t="shared" si="85"/>
        <v>8657340.8916902635</v>
      </c>
    </row>
    <row r="2737" spans="2:4" x14ac:dyDescent="0.25">
      <c r="B2737" s="90">
        <v>2733</v>
      </c>
      <c r="C2737" s="39">
        <f t="shared" ref="C2737:C2800" si="86">($C$2*B2737)+$C$1</f>
        <v>9033339.2918628529</v>
      </c>
      <c r="D2737" s="39">
        <f t="shared" ref="D2737:D2800" si="87">$D$2*B2737</f>
        <v>8660509.7573167961</v>
      </c>
    </row>
    <row r="2738" spans="2:4" x14ac:dyDescent="0.25">
      <c r="B2738" s="90">
        <v>2734</v>
      </c>
      <c r="C2738" s="39">
        <f t="shared" si="86"/>
        <v>9036002.2041540593</v>
      </c>
      <c r="D2738" s="39">
        <f t="shared" si="87"/>
        <v>8663678.6229433306</v>
      </c>
    </row>
    <row r="2739" spans="2:4" x14ac:dyDescent="0.25">
      <c r="B2739" s="90">
        <v>2735</v>
      </c>
      <c r="C2739" s="39">
        <f t="shared" si="86"/>
        <v>9038665.1164452638</v>
      </c>
      <c r="D2739" s="39">
        <f t="shared" si="87"/>
        <v>8666847.488569865</v>
      </c>
    </row>
    <row r="2740" spans="2:4" x14ac:dyDescent="0.25">
      <c r="B2740" s="90">
        <v>2736</v>
      </c>
      <c r="C2740" s="39">
        <f t="shared" si="86"/>
        <v>9041328.0287364684</v>
      </c>
      <c r="D2740" s="39">
        <f t="shared" si="87"/>
        <v>8670016.3541963976</v>
      </c>
    </row>
    <row r="2741" spans="2:4" x14ac:dyDescent="0.25">
      <c r="B2741" s="90">
        <v>2737</v>
      </c>
      <c r="C2741" s="39">
        <f t="shared" si="86"/>
        <v>9043990.9410276748</v>
      </c>
      <c r="D2741" s="39">
        <f t="shared" si="87"/>
        <v>8673185.219822932</v>
      </c>
    </row>
    <row r="2742" spans="2:4" x14ac:dyDescent="0.25">
      <c r="B2742" s="90">
        <v>2738</v>
      </c>
      <c r="C2742" s="39">
        <f t="shared" si="86"/>
        <v>9046653.8533188775</v>
      </c>
      <c r="D2742" s="39">
        <f t="shared" si="87"/>
        <v>8676354.0854494665</v>
      </c>
    </row>
    <row r="2743" spans="2:4" x14ac:dyDescent="0.25">
      <c r="B2743" s="90">
        <v>2739</v>
      </c>
      <c r="C2743" s="39">
        <f t="shared" si="86"/>
        <v>9049316.7656100839</v>
      </c>
      <c r="D2743" s="39">
        <f t="shared" si="87"/>
        <v>8679522.9510759991</v>
      </c>
    </row>
    <row r="2744" spans="2:4" x14ac:dyDescent="0.25">
      <c r="B2744" s="90">
        <v>2740</v>
      </c>
      <c r="C2744" s="39">
        <f t="shared" si="86"/>
        <v>9051979.6779012885</v>
      </c>
      <c r="D2744" s="39">
        <f t="shared" si="87"/>
        <v>8682691.8167025335</v>
      </c>
    </row>
    <row r="2745" spans="2:4" x14ac:dyDescent="0.25">
      <c r="B2745" s="90">
        <v>2741</v>
      </c>
      <c r="C2745" s="39">
        <f t="shared" si="86"/>
        <v>9054642.5901924931</v>
      </c>
      <c r="D2745" s="39">
        <f t="shared" si="87"/>
        <v>8685860.682329068</v>
      </c>
    </row>
    <row r="2746" spans="2:4" x14ac:dyDescent="0.25">
      <c r="B2746" s="90">
        <v>2742</v>
      </c>
      <c r="C2746" s="39">
        <f t="shared" si="86"/>
        <v>9057305.5024836976</v>
      </c>
      <c r="D2746" s="39">
        <f t="shared" si="87"/>
        <v>8689029.5479556005</v>
      </c>
    </row>
    <row r="2747" spans="2:4" x14ac:dyDescent="0.25">
      <c r="B2747" s="90">
        <v>2743</v>
      </c>
      <c r="C2747" s="39">
        <f t="shared" si="86"/>
        <v>9059968.4147749022</v>
      </c>
      <c r="D2747" s="39">
        <f t="shared" si="87"/>
        <v>8692198.413582135</v>
      </c>
    </row>
    <row r="2748" spans="2:4" x14ac:dyDescent="0.25">
      <c r="B2748" s="90">
        <v>2744</v>
      </c>
      <c r="C2748" s="39">
        <f t="shared" si="86"/>
        <v>9062631.3270661086</v>
      </c>
      <c r="D2748" s="39">
        <f t="shared" si="87"/>
        <v>8695367.2792086676</v>
      </c>
    </row>
    <row r="2749" spans="2:4" x14ac:dyDescent="0.25">
      <c r="B2749" s="90">
        <v>2745</v>
      </c>
      <c r="C2749" s="39">
        <f t="shared" si="86"/>
        <v>9065294.2393573113</v>
      </c>
      <c r="D2749" s="39">
        <f t="shared" si="87"/>
        <v>8698536.144835202</v>
      </c>
    </row>
    <row r="2750" spans="2:4" x14ac:dyDescent="0.25">
      <c r="B2750" s="90">
        <v>2746</v>
      </c>
      <c r="C2750" s="39">
        <f t="shared" si="86"/>
        <v>9067957.1516485177</v>
      </c>
      <c r="D2750" s="39">
        <f t="shared" si="87"/>
        <v>8701705.0104617365</v>
      </c>
    </row>
    <row r="2751" spans="2:4" x14ac:dyDescent="0.25">
      <c r="B2751" s="90">
        <v>2747</v>
      </c>
      <c r="C2751" s="39">
        <f t="shared" si="86"/>
        <v>9070620.0639397223</v>
      </c>
      <c r="D2751" s="39">
        <f t="shared" si="87"/>
        <v>8704873.8760882691</v>
      </c>
    </row>
    <row r="2752" spans="2:4" x14ac:dyDescent="0.25">
      <c r="B2752" s="90">
        <v>2748</v>
      </c>
      <c r="C2752" s="39">
        <f t="shared" si="86"/>
        <v>9073282.9762309268</v>
      </c>
      <c r="D2752" s="39">
        <f t="shared" si="87"/>
        <v>8708042.7417148035</v>
      </c>
    </row>
    <row r="2753" spans="2:4" x14ac:dyDescent="0.25">
      <c r="B2753" s="90">
        <v>2749</v>
      </c>
      <c r="C2753" s="39">
        <f t="shared" si="86"/>
        <v>9075945.8885221314</v>
      </c>
      <c r="D2753" s="39">
        <f t="shared" si="87"/>
        <v>8711211.6073413379</v>
      </c>
    </row>
    <row r="2754" spans="2:4" x14ac:dyDescent="0.25">
      <c r="B2754" s="90">
        <v>2750</v>
      </c>
      <c r="C2754" s="39">
        <f t="shared" si="86"/>
        <v>9078608.8008133359</v>
      </c>
      <c r="D2754" s="39">
        <f t="shared" si="87"/>
        <v>8714380.4729678705</v>
      </c>
    </row>
    <row r="2755" spans="2:4" x14ac:dyDescent="0.25">
      <c r="B2755" s="90">
        <v>2751</v>
      </c>
      <c r="C2755" s="39">
        <f t="shared" si="86"/>
        <v>9081271.7131045423</v>
      </c>
      <c r="D2755" s="39">
        <f t="shared" si="87"/>
        <v>8717549.338594405</v>
      </c>
    </row>
    <row r="2756" spans="2:4" x14ac:dyDescent="0.25">
      <c r="B2756" s="90">
        <v>2752</v>
      </c>
      <c r="C2756" s="39">
        <f t="shared" si="86"/>
        <v>9083934.625395745</v>
      </c>
      <c r="D2756" s="39">
        <f t="shared" si="87"/>
        <v>8720718.2042209394</v>
      </c>
    </row>
    <row r="2757" spans="2:4" x14ac:dyDescent="0.25">
      <c r="B2757" s="90">
        <v>2753</v>
      </c>
      <c r="C2757" s="39">
        <f t="shared" si="86"/>
        <v>9086597.5376869515</v>
      </c>
      <c r="D2757" s="39">
        <f t="shared" si="87"/>
        <v>8723887.069847472</v>
      </c>
    </row>
    <row r="2758" spans="2:4" x14ac:dyDescent="0.25">
      <c r="B2758" s="90">
        <v>2754</v>
      </c>
      <c r="C2758" s="39">
        <f t="shared" si="86"/>
        <v>9089260.449978156</v>
      </c>
      <c r="D2758" s="39">
        <f t="shared" si="87"/>
        <v>8727055.9354740065</v>
      </c>
    </row>
    <row r="2759" spans="2:4" x14ac:dyDescent="0.25">
      <c r="B2759" s="90">
        <v>2755</v>
      </c>
      <c r="C2759" s="39">
        <f t="shared" si="86"/>
        <v>9091923.3622693606</v>
      </c>
      <c r="D2759" s="39">
        <f t="shared" si="87"/>
        <v>8730224.8011005409</v>
      </c>
    </row>
    <row r="2760" spans="2:4" x14ac:dyDescent="0.25">
      <c r="B2760" s="90">
        <v>2756</v>
      </c>
      <c r="C2760" s="39">
        <f t="shared" si="86"/>
        <v>9094586.274560567</v>
      </c>
      <c r="D2760" s="39">
        <f t="shared" si="87"/>
        <v>8733393.6667270735</v>
      </c>
    </row>
    <row r="2761" spans="2:4" x14ac:dyDescent="0.25">
      <c r="B2761" s="90">
        <v>2757</v>
      </c>
      <c r="C2761" s="39">
        <f t="shared" si="86"/>
        <v>9097249.1868517697</v>
      </c>
      <c r="D2761" s="39">
        <f t="shared" si="87"/>
        <v>8736562.5323536079</v>
      </c>
    </row>
    <row r="2762" spans="2:4" x14ac:dyDescent="0.25">
      <c r="B2762" s="90">
        <v>2758</v>
      </c>
      <c r="C2762" s="39">
        <f t="shared" si="86"/>
        <v>9099912.0991429761</v>
      </c>
      <c r="D2762" s="39">
        <f t="shared" si="87"/>
        <v>8739731.3979801405</v>
      </c>
    </row>
    <row r="2763" spans="2:4" x14ac:dyDescent="0.25">
      <c r="B2763" s="90">
        <v>2759</v>
      </c>
      <c r="C2763" s="39">
        <f t="shared" si="86"/>
        <v>9102575.0114341807</v>
      </c>
      <c r="D2763" s="39">
        <f t="shared" si="87"/>
        <v>8742900.263606675</v>
      </c>
    </row>
    <row r="2764" spans="2:4" x14ac:dyDescent="0.25">
      <c r="B2764" s="90">
        <v>2760</v>
      </c>
      <c r="C2764" s="39">
        <f t="shared" si="86"/>
        <v>9105237.9237253852</v>
      </c>
      <c r="D2764" s="39">
        <f t="shared" si="87"/>
        <v>8746069.1292332094</v>
      </c>
    </row>
    <row r="2765" spans="2:4" x14ac:dyDescent="0.25">
      <c r="B2765" s="90">
        <v>2761</v>
      </c>
      <c r="C2765" s="39">
        <f t="shared" si="86"/>
        <v>9107900.8360165898</v>
      </c>
      <c r="D2765" s="39">
        <f t="shared" si="87"/>
        <v>8749237.994859742</v>
      </c>
    </row>
    <row r="2766" spans="2:4" x14ac:dyDescent="0.25">
      <c r="B2766" s="90">
        <v>2762</v>
      </c>
      <c r="C2766" s="39">
        <f t="shared" si="86"/>
        <v>9110563.7483077943</v>
      </c>
      <c r="D2766" s="39">
        <f t="shared" si="87"/>
        <v>8752406.8604862764</v>
      </c>
    </row>
    <row r="2767" spans="2:4" x14ac:dyDescent="0.25">
      <c r="B2767" s="90">
        <v>2763</v>
      </c>
      <c r="C2767" s="39">
        <f t="shared" si="86"/>
        <v>9113226.6605990008</v>
      </c>
      <c r="D2767" s="39">
        <f t="shared" si="87"/>
        <v>8755575.7261128109</v>
      </c>
    </row>
    <row r="2768" spans="2:4" x14ac:dyDescent="0.25">
      <c r="B2768" s="90">
        <v>2764</v>
      </c>
      <c r="C2768" s="39">
        <f t="shared" si="86"/>
        <v>9115889.5728902034</v>
      </c>
      <c r="D2768" s="39">
        <f t="shared" si="87"/>
        <v>8758744.5917393435</v>
      </c>
    </row>
    <row r="2769" spans="2:4" x14ac:dyDescent="0.25">
      <c r="B2769" s="90">
        <v>2765</v>
      </c>
      <c r="C2769" s="39">
        <f t="shared" si="86"/>
        <v>9118552.4851814099</v>
      </c>
      <c r="D2769" s="39">
        <f t="shared" si="87"/>
        <v>8761913.4573658779</v>
      </c>
    </row>
    <row r="2770" spans="2:4" x14ac:dyDescent="0.25">
      <c r="B2770" s="90">
        <v>2766</v>
      </c>
      <c r="C2770" s="39">
        <f t="shared" si="86"/>
        <v>9121215.3974726144</v>
      </c>
      <c r="D2770" s="39">
        <f t="shared" si="87"/>
        <v>8765082.3229924124</v>
      </c>
    </row>
    <row r="2771" spans="2:4" x14ac:dyDescent="0.25">
      <c r="B2771" s="90">
        <v>2767</v>
      </c>
      <c r="C2771" s="39">
        <f t="shared" si="86"/>
        <v>9123878.309763819</v>
      </c>
      <c r="D2771" s="39">
        <f t="shared" si="87"/>
        <v>8768251.188618945</v>
      </c>
    </row>
    <row r="2772" spans="2:4" x14ac:dyDescent="0.25">
      <c r="B2772" s="90">
        <v>2768</v>
      </c>
      <c r="C2772" s="39">
        <f t="shared" si="86"/>
        <v>9126541.2220550235</v>
      </c>
      <c r="D2772" s="39">
        <f t="shared" si="87"/>
        <v>8771420.0542454794</v>
      </c>
    </row>
    <row r="2773" spans="2:4" x14ac:dyDescent="0.25">
      <c r="B2773" s="90">
        <v>2769</v>
      </c>
      <c r="C2773" s="39">
        <f t="shared" si="86"/>
        <v>9129204.1343462281</v>
      </c>
      <c r="D2773" s="39">
        <f t="shared" si="87"/>
        <v>8774588.919872012</v>
      </c>
    </row>
    <row r="2774" spans="2:4" x14ac:dyDescent="0.25">
      <c r="B2774" s="90">
        <v>2770</v>
      </c>
      <c r="C2774" s="39">
        <f t="shared" si="86"/>
        <v>9131867.0466374345</v>
      </c>
      <c r="D2774" s="39">
        <f t="shared" si="87"/>
        <v>8777757.7854985464</v>
      </c>
    </row>
    <row r="2775" spans="2:4" x14ac:dyDescent="0.25">
      <c r="B2775" s="90">
        <v>2771</v>
      </c>
      <c r="C2775" s="39">
        <f t="shared" si="86"/>
        <v>9134529.9589286372</v>
      </c>
      <c r="D2775" s="39">
        <f t="shared" si="87"/>
        <v>8780926.6511250809</v>
      </c>
    </row>
    <row r="2776" spans="2:4" x14ac:dyDescent="0.25">
      <c r="B2776" s="90">
        <v>2772</v>
      </c>
      <c r="C2776" s="39">
        <f t="shared" si="86"/>
        <v>9137192.8712198436</v>
      </c>
      <c r="D2776" s="39">
        <f t="shared" si="87"/>
        <v>8784095.5167516135</v>
      </c>
    </row>
    <row r="2777" spans="2:4" x14ac:dyDescent="0.25">
      <c r="B2777" s="90">
        <v>2773</v>
      </c>
      <c r="C2777" s="39">
        <f t="shared" si="86"/>
        <v>9139855.7835110482</v>
      </c>
      <c r="D2777" s="39">
        <f t="shared" si="87"/>
        <v>8787264.3823781479</v>
      </c>
    </row>
    <row r="2778" spans="2:4" x14ac:dyDescent="0.25">
      <c r="B2778" s="90">
        <v>2774</v>
      </c>
      <c r="C2778" s="39">
        <f t="shared" si="86"/>
        <v>9142518.6958022527</v>
      </c>
      <c r="D2778" s="39">
        <f t="shared" si="87"/>
        <v>8790433.2480046824</v>
      </c>
    </row>
    <row r="2779" spans="2:4" x14ac:dyDescent="0.25">
      <c r="B2779" s="90">
        <v>2775</v>
      </c>
      <c r="C2779" s="39">
        <f t="shared" si="86"/>
        <v>9145181.6080934592</v>
      </c>
      <c r="D2779" s="39">
        <f t="shared" si="87"/>
        <v>8793602.1136312149</v>
      </c>
    </row>
    <row r="2780" spans="2:4" x14ac:dyDescent="0.25">
      <c r="B2780" s="90">
        <v>2776</v>
      </c>
      <c r="C2780" s="39">
        <f t="shared" si="86"/>
        <v>9147844.5203846619</v>
      </c>
      <c r="D2780" s="39">
        <f t="shared" si="87"/>
        <v>8796770.9792577494</v>
      </c>
    </row>
    <row r="2781" spans="2:4" x14ac:dyDescent="0.25">
      <c r="B2781" s="90">
        <v>2777</v>
      </c>
      <c r="C2781" s="39">
        <f t="shared" si="86"/>
        <v>9150507.4326758683</v>
      </c>
      <c r="D2781" s="39">
        <f t="shared" si="87"/>
        <v>8799939.8448842838</v>
      </c>
    </row>
    <row r="2782" spans="2:4" x14ac:dyDescent="0.25">
      <c r="B2782" s="90">
        <v>2778</v>
      </c>
      <c r="C2782" s="39">
        <f t="shared" si="86"/>
        <v>9153170.3449670728</v>
      </c>
      <c r="D2782" s="39">
        <f t="shared" si="87"/>
        <v>8803108.7105108164</v>
      </c>
    </row>
    <row r="2783" spans="2:4" x14ac:dyDescent="0.25">
      <c r="B2783" s="90">
        <v>2779</v>
      </c>
      <c r="C2783" s="39">
        <f t="shared" si="86"/>
        <v>9155833.2572582774</v>
      </c>
      <c r="D2783" s="39">
        <f t="shared" si="87"/>
        <v>8806277.5761373509</v>
      </c>
    </row>
    <row r="2784" spans="2:4" x14ac:dyDescent="0.25">
      <c r="B2784" s="90">
        <v>2780</v>
      </c>
      <c r="C2784" s="39">
        <f t="shared" si="86"/>
        <v>9158496.1695494819</v>
      </c>
      <c r="D2784" s="39">
        <f t="shared" si="87"/>
        <v>8809446.4417638835</v>
      </c>
    </row>
    <row r="2785" spans="2:4" x14ac:dyDescent="0.25">
      <c r="B2785" s="90">
        <v>2781</v>
      </c>
      <c r="C2785" s="39">
        <f t="shared" si="86"/>
        <v>9161159.0818406865</v>
      </c>
      <c r="D2785" s="39">
        <f t="shared" si="87"/>
        <v>8812615.3073904179</v>
      </c>
    </row>
    <row r="2786" spans="2:4" x14ac:dyDescent="0.25">
      <c r="B2786" s="90">
        <v>2782</v>
      </c>
      <c r="C2786" s="39">
        <f t="shared" si="86"/>
        <v>9163821.9941318929</v>
      </c>
      <c r="D2786" s="39">
        <f t="shared" si="87"/>
        <v>8815784.1730169524</v>
      </c>
    </row>
    <row r="2787" spans="2:4" x14ac:dyDescent="0.25">
      <c r="B2787" s="90">
        <v>2783</v>
      </c>
      <c r="C2787" s="39">
        <f t="shared" si="86"/>
        <v>9166484.9064230956</v>
      </c>
      <c r="D2787" s="39">
        <f t="shared" si="87"/>
        <v>8818953.0386434849</v>
      </c>
    </row>
    <row r="2788" spans="2:4" x14ac:dyDescent="0.25">
      <c r="B2788" s="90">
        <v>2784</v>
      </c>
      <c r="C2788" s="39">
        <f t="shared" si="86"/>
        <v>9169147.818714302</v>
      </c>
      <c r="D2788" s="39">
        <f t="shared" si="87"/>
        <v>8822121.9042700194</v>
      </c>
    </row>
    <row r="2789" spans="2:4" x14ac:dyDescent="0.25">
      <c r="B2789" s="90">
        <v>2785</v>
      </c>
      <c r="C2789" s="39">
        <f t="shared" si="86"/>
        <v>9171810.7310055066</v>
      </c>
      <c r="D2789" s="39">
        <f t="shared" si="87"/>
        <v>8825290.7698965538</v>
      </c>
    </row>
    <row r="2790" spans="2:4" x14ac:dyDescent="0.25">
      <c r="B2790" s="90">
        <v>2786</v>
      </c>
      <c r="C2790" s="39">
        <f t="shared" si="86"/>
        <v>9174473.6432967111</v>
      </c>
      <c r="D2790" s="39">
        <f t="shared" si="87"/>
        <v>8828459.6355230864</v>
      </c>
    </row>
    <row r="2791" spans="2:4" x14ac:dyDescent="0.25">
      <c r="B2791" s="90">
        <v>2787</v>
      </c>
      <c r="C2791" s="39">
        <f t="shared" si="86"/>
        <v>9177136.5555879157</v>
      </c>
      <c r="D2791" s="39">
        <f t="shared" si="87"/>
        <v>8831628.5011496209</v>
      </c>
    </row>
    <row r="2792" spans="2:4" x14ac:dyDescent="0.25">
      <c r="B2792" s="90">
        <v>2788</v>
      </c>
      <c r="C2792" s="39">
        <f t="shared" si="86"/>
        <v>9179799.4678791203</v>
      </c>
      <c r="D2792" s="39">
        <f t="shared" si="87"/>
        <v>8834797.3667761553</v>
      </c>
    </row>
    <row r="2793" spans="2:4" x14ac:dyDescent="0.25">
      <c r="B2793" s="90">
        <v>2789</v>
      </c>
      <c r="C2793" s="39">
        <f t="shared" si="86"/>
        <v>9182462.3801703267</v>
      </c>
      <c r="D2793" s="39">
        <f t="shared" si="87"/>
        <v>8837966.2324026879</v>
      </c>
    </row>
    <row r="2794" spans="2:4" x14ac:dyDescent="0.25">
      <c r="B2794" s="90">
        <v>2790</v>
      </c>
      <c r="C2794" s="39">
        <f t="shared" si="86"/>
        <v>9185125.2924615294</v>
      </c>
      <c r="D2794" s="39">
        <f t="shared" si="87"/>
        <v>8841135.0980292223</v>
      </c>
    </row>
    <row r="2795" spans="2:4" x14ac:dyDescent="0.25">
      <c r="B2795" s="90">
        <v>2791</v>
      </c>
      <c r="C2795" s="39">
        <f t="shared" si="86"/>
        <v>9187788.2047527358</v>
      </c>
      <c r="D2795" s="39">
        <f t="shared" si="87"/>
        <v>8844303.9636557549</v>
      </c>
    </row>
    <row r="2796" spans="2:4" x14ac:dyDescent="0.25">
      <c r="B2796" s="90">
        <v>2792</v>
      </c>
      <c r="C2796" s="39">
        <f t="shared" si="86"/>
        <v>9190451.1170439404</v>
      </c>
      <c r="D2796" s="39">
        <f t="shared" si="87"/>
        <v>8847472.8292822894</v>
      </c>
    </row>
    <row r="2797" spans="2:4" x14ac:dyDescent="0.25">
      <c r="B2797" s="90">
        <v>2793</v>
      </c>
      <c r="C2797" s="39">
        <f t="shared" si="86"/>
        <v>9193114.0293351449</v>
      </c>
      <c r="D2797" s="39">
        <f t="shared" si="87"/>
        <v>8850641.6949088238</v>
      </c>
    </row>
    <row r="2798" spans="2:4" x14ac:dyDescent="0.25">
      <c r="B2798" s="90">
        <v>2794</v>
      </c>
      <c r="C2798" s="39">
        <f t="shared" si="86"/>
        <v>9195776.9416263513</v>
      </c>
      <c r="D2798" s="39">
        <f t="shared" si="87"/>
        <v>8853810.5605353564</v>
      </c>
    </row>
    <row r="2799" spans="2:4" x14ac:dyDescent="0.25">
      <c r="B2799" s="90">
        <v>2795</v>
      </c>
      <c r="C2799" s="39">
        <f t="shared" si="86"/>
        <v>9198439.853917554</v>
      </c>
      <c r="D2799" s="39">
        <f t="shared" si="87"/>
        <v>8856979.4261618908</v>
      </c>
    </row>
    <row r="2800" spans="2:4" x14ac:dyDescent="0.25">
      <c r="B2800" s="90">
        <v>2796</v>
      </c>
      <c r="C2800" s="39">
        <f t="shared" si="86"/>
        <v>9201102.7662087604</v>
      </c>
      <c r="D2800" s="39">
        <f t="shared" si="87"/>
        <v>8860148.2917884253</v>
      </c>
    </row>
    <row r="2801" spans="2:4" x14ac:dyDescent="0.25">
      <c r="B2801" s="90">
        <v>2797</v>
      </c>
      <c r="C2801" s="39">
        <f t="shared" ref="C2801:C2864" si="88">($C$2*B2801)+$C$1</f>
        <v>9203765.678499965</v>
      </c>
      <c r="D2801" s="39">
        <f t="shared" ref="D2801:D2864" si="89">$D$2*B2801</f>
        <v>8863317.1574149579</v>
      </c>
    </row>
    <row r="2802" spans="2:4" x14ac:dyDescent="0.25">
      <c r="B2802" s="90">
        <v>2798</v>
      </c>
      <c r="C2802" s="39">
        <f t="shared" si="88"/>
        <v>9206428.5907911696</v>
      </c>
      <c r="D2802" s="39">
        <f t="shared" si="89"/>
        <v>8866486.0230414923</v>
      </c>
    </row>
    <row r="2803" spans="2:4" x14ac:dyDescent="0.25">
      <c r="B2803" s="90">
        <v>2799</v>
      </c>
      <c r="C2803" s="39">
        <f t="shared" si="88"/>
        <v>9209091.5030823741</v>
      </c>
      <c r="D2803" s="39">
        <f t="shared" si="89"/>
        <v>8869654.8886680268</v>
      </c>
    </row>
    <row r="2804" spans="2:4" x14ac:dyDescent="0.25">
      <c r="B2804" s="90">
        <v>2800</v>
      </c>
      <c r="C2804" s="39">
        <f t="shared" si="88"/>
        <v>9211754.4153735787</v>
      </c>
      <c r="D2804" s="39">
        <f t="shared" si="89"/>
        <v>8872823.7542945594</v>
      </c>
    </row>
    <row r="2805" spans="2:4" x14ac:dyDescent="0.25">
      <c r="B2805" s="90">
        <v>2801</v>
      </c>
      <c r="C2805" s="39">
        <f t="shared" si="88"/>
        <v>9214417.3276647851</v>
      </c>
      <c r="D2805" s="39">
        <f t="shared" si="89"/>
        <v>8875992.6199210938</v>
      </c>
    </row>
    <row r="2806" spans="2:4" x14ac:dyDescent="0.25">
      <c r="B2806" s="90">
        <v>2802</v>
      </c>
      <c r="C2806" s="39">
        <f t="shared" si="88"/>
        <v>9217080.2399559878</v>
      </c>
      <c r="D2806" s="39">
        <f t="shared" si="89"/>
        <v>8879161.4855476264</v>
      </c>
    </row>
    <row r="2807" spans="2:4" x14ac:dyDescent="0.25">
      <c r="B2807" s="90">
        <v>2803</v>
      </c>
      <c r="C2807" s="39">
        <f t="shared" si="88"/>
        <v>9219743.1522471942</v>
      </c>
      <c r="D2807" s="39">
        <f t="shared" si="89"/>
        <v>8882330.3511741608</v>
      </c>
    </row>
    <row r="2808" spans="2:4" x14ac:dyDescent="0.25">
      <c r="B2808" s="90">
        <v>2804</v>
      </c>
      <c r="C2808" s="39">
        <f t="shared" si="88"/>
        <v>9222406.0645383988</v>
      </c>
      <c r="D2808" s="39">
        <f t="shared" si="89"/>
        <v>8885499.2168006953</v>
      </c>
    </row>
    <row r="2809" spans="2:4" x14ac:dyDescent="0.25">
      <c r="B2809" s="90">
        <v>2805</v>
      </c>
      <c r="C2809" s="39">
        <f t="shared" si="88"/>
        <v>9225068.9768296033</v>
      </c>
      <c r="D2809" s="39">
        <f t="shared" si="89"/>
        <v>8888668.0824272279</v>
      </c>
    </row>
    <row r="2810" spans="2:4" x14ac:dyDescent="0.25">
      <c r="B2810" s="90">
        <v>2806</v>
      </c>
      <c r="C2810" s="39">
        <f t="shared" si="88"/>
        <v>9227731.8891208079</v>
      </c>
      <c r="D2810" s="39">
        <f t="shared" si="89"/>
        <v>8891836.9480537623</v>
      </c>
    </row>
    <row r="2811" spans="2:4" x14ac:dyDescent="0.25">
      <c r="B2811" s="90">
        <v>2807</v>
      </c>
      <c r="C2811" s="39">
        <f t="shared" si="88"/>
        <v>9230394.8014120124</v>
      </c>
      <c r="D2811" s="39">
        <f t="shared" si="89"/>
        <v>8895005.8136802968</v>
      </c>
    </row>
    <row r="2812" spans="2:4" x14ac:dyDescent="0.25">
      <c r="B2812" s="90">
        <v>2808</v>
      </c>
      <c r="C2812" s="39">
        <f t="shared" si="88"/>
        <v>9233057.7137032188</v>
      </c>
      <c r="D2812" s="39">
        <f t="shared" si="89"/>
        <v>8898174.6793068293</v>
      </c>
    </row>
    <row r="2813" spans="2:4" x14ac:dyDescent="0.25">
      <c r="B2813" s="90">
        <v>2809</v>
      </c>
      <c r="C2813" s="39">
        <f t="shared" si="88"/>
        <v>9235720.6259944215</v>
      </c>
      <c r="D2813" s="39">
        <f t="shared" si="89"/>
        <v>8901343.5449333638</v>
      </c>
    </row>
    <row r="2814" spans="2:4" x14ac:dyDescent="0.25">
      <c r="B2814" s="90">
        <v>2810</v>
      </c>
      <c r="C2814" s="39">
        <f t="shared" si="88"/>
        <v>9238383.538285628</v>
      </c>
      <c r="D2814" s="39">
        <f t="shared" si="89"/>
        <v>8904512.4105598982</v>
      </c>
    </row>
    <row r="2815" spans="2:4" x14ac:dyDescent="0.25">
      <c r="B2815" s="90">
        <v>2811</v>
      </c>
      <c r="C2815" s="39">
        <f t="shared" si="88"/>
        <v>9241046.4505768325</v>
      </c>
      <c r="D2815" s="39">
        <f t="shared" si="89"/>
        <v>8907681.2761864308</v>
      </c>
    </row>
    <row r="2816" spans="2:4" x14ac:dyDescent="0.25">
      <c r="B2816" s="90">
        <v>2812</v>
      </c>
      <c r="C2816" s="39">
        <f t="shared" si="88"/>
        <v>9243709.3628680371</v>
      </c>
      <c r="D2816" s="39">
        <f t="shared" si="89"/>
        <v>8910850.1418129653</v>
      </c>
    </row>
    <row r="2817" spans="2:4" x14ac:dyDescent="0.25">
      <c r="B2817" s="90">
        <v>2813</v>
      </c>
      <c r="C2817" s="39">
        <f t="shared" si="88"/>
        <v>9246372.2751592435</v>
      </c>
      <c r="D2817" s="39">
        <f t="shared" si="89"/>
        <v>8914019.0074394979</v>
      </c>
    </row>
    <row r="2818" spans="2:4" x14ac:dyDescent="0.25">
      <c r="B2818" s="90">
        <v>2814</v>
      </c>
      <c r="C2818" s="39">
        <f t="shared" si="88"/>
        <v>9249035.1874504462</v>
      </c>
      <c r="D2818" s="39">
        <f t="shared" si="89"/>
        <v>8917187.8730660323</v>
      </c>
    </row>
    <row r="2819" spans="2:4" x14ac:dyDescent="0.25">
      <c r="B2819" s="90">
        <v>2815</v>
      </c>
      <c r="C2819" s="39">
        <f t="shared" si="88"/>
        <v>9251698.0997416526</v>
      </c>
      <c r="D2819" s="39">
        <f t="shared" si="89"/>
        <v>8920356.7386925668</v>
      </c>
    </row>
    <row r="2820" spans="2:4" x14ac:dyDescent="0.25">
      <c r="B2820" s="90">
        <v>2816</v>
      </c>
      <c r="C2820" s="39">
        <f t="shared" si="88"/>
        <v>9254361.0120328572</v>
      </c>
      <c r="D2820" s="39">
        <f t="shared" si="89"/>
        <v>8923525.6043190993</v>
      </c>
    </row>
    <row r="2821" spans="2:4" x14ac:dyDescent="0.25">
      <c r="B2821" s="90">
        <v>2817</v>
      </c>
      <c r="C2821" s="39">
        <f t="shared" si="88"/>
        <v>9257023.9243240617</v>
      </c>
      <c r="D2821" s="39">
        <f t="shared" si="89"/>
        <v>8926694.4699456338</v>
      </c>
    </row>
    <row r="2822" spans="2:4" x14ac:dyDescent="0.25">
      <c r="B2822" s="90">
        <v>2818</v>
      </c>
      <c r="C2822" s="39">
        <f t="shared" si="88"/>
        <v>9259686.8366152663</v>
      </c>
      <c r="D2822" s="39">
        <f t="shared" si="89"/>
        <v>8929863.3355721682</v>
      </c>
    </row>
    <row r="2823" spans="2:4" x14ac:dyDescent="0.25">
      <c r="B2823" s="90">
        <v>2819</v>
      </c>
      <c r="C2823" s="39">
        <f t="shared" si="88"/>
        <v>9262349.7489064708</v>
      </c>
      <c r="D2823" s="39">
        <f t="shared" si="89"/>
        <v>8933032.2011987008</v>
      </c>
    </row>
    <row r="2824" spans="2:4" x14ac:dyDescent="0.25">
      <c r="B2824" s="90">
        <v>2820</v>
      </c>
      <c r="C2824" s="39">
        <f t="shared" si="88"/>
        <v>9265012.6611976773</v>
      </c>
      <c r="D2824" s="39">
        <f t="shared" si="89"/>
        <v>8936201.0668252353</v>
      </c>
    </row>
    <row r="2825" spans="2:4" x14ac:dyDescent="0.25">
      <c r="B2825" s="90">
        <v>2821</v>
      </c>
      <c r="C2825" s="39">
        <f t="shared" si="88"/>
        <v>9267675.5734888799</v>
      </c>
      <c r="D2825" s="39">
        <f t="shared" si="89"/>
        <v>8939369.9324517697</v>
      </c>
    </row>
    <row r="2826" spans="2:4" x14ac:dyDescent="0.25">
      <c r="B2826" s="90">
        <v>2822</v>
      </c>
      <c r="C2826" s="39">
        <f t="shared" si="88"/>
        <v>9270338.4857800864</v>
      </c>
      <c r="D2826" s="39">
        <f t="shared" si="89"/>
        <v>8942538.7980783023</v>
      </c>
    </row>
    <row r="2827" spans="2:4" x14ac:dyDescent="0.25">
      <c r="B2827" s="90">
        <v>2823</v>
      </c>
      <c r="C2827" s="39">
        <f t="shared" si="88"/>
        <v>9273001.3980712909</v>
      </c>
      <c r="D2827" s="39">
        <f t="shared" si="89"/>
        <v>8945707.6637048367</v>
      </c>
    </row>
    <row r="2828" spans="2:4" x14ac:dyDescent="0.25">
      <c r="B2828" s="90">
        <v>2824</v>
      </c>
      <c r="C2828" s="39">
        <f t="shared" si="88"/>
        <v>9275664.3103624955</v>
      </c>
      <c r="D2828" s="39">
        <f t="shared" si="89"/>
        <v>8948876.5293313693</v>
      </c>
    </row>
    <row r="2829" spans="2:4" x14ac:dyDescent="0.25">
      <c r="B2829" s="90">
        <v>2825</v>
      </c>
      <c r="C2829" s="39">
        <f t="shared" si="88"/>
        <v>9278327.2226537</v>
      </c>
      <c r="D2829" s="39">
        <f t="shared" si="89"/>
        <v>8952045.3949579038</v>
      </c>
    </row>
    <row r="2830" spans="2:4" x14ac:dyDescent="0.25">
      <c r="B2830" s="90">
        <v>2826</v>
      </c>
      <c r="C2830" s="39">
        <f t="shared" si="88"/>
        <v>9280990.1349449046</v>
      </c>
      <c r="D2830" s="39">
        <f t="shared" si="89"/>
        <v>8955214.2605844382</v>
      </c>
    </row>
    <row r="2831" spans="2:4" x14ac:dyDescent="0.25">
      <c r="B2831" s="90">
        <v>2827</v>
      </c>
      <c r="C2831" s="39">
        <f t="shared" si="88"/>
        <v>9283653.047236111</v>
      </c>
      <c r="D2831" s="39">
        <f t="shared" si="89"/>
        <v>8958383.1262109708</v>
      </c>
    </row>
    <row r="2832" spans="2:4" x14ac:dyDescent="0.25">
      <c r="B2832" s="90">
        <v>2828</v>
      </c>
      <c r="C2832" s="39">
        <f t="shared" si="88"/>
        <v>9286315.9595273137</v>
      </c>
      <c r="D2832" s="39">
        <f t="shared" si="89"/>
        <v>8961551.9918375053</v>
      </c>
    </row>
    <row r="2833" spans="2:4" x14ac:dyDescent="0.25">
      <c r="B2833" s="90">
        <v>2829</v>
      </c>
      <c r="C2833" s="39">
        <f t="shared" si="88"/>
        <v>9288978.8718185201</v>
      </c>
      <c r="D2833" s="39">
        <f t="shared" si="89"/>
        <v>8964720.8574640397</v>
      </c>
    </row>
    <row r="2834" spans="2:4" x14ac:dyDescent="0.25">
      <c r="B2834" s="90">
        <v>2830</v>
      </c>
      <c r="C2834" s="39">
        <f t="shared" si="88"/>
        <v>9291641.7841097247</v>
      </c>
      <c r="D2834" s="39">
        <f t="shared" si="89"/>
        <v>8967889.7230905723</v>
      </c>
    </row>
    <row r="2835" spans="2:4" x14ac:dyDescent="0.25">
      <c r="B2835" s="90">
        <v>2831</v>
      </c>
      <c r="C2835" s="39">
        <f t="shared" si="88"/>
        <v>9294304.6964009292</v>
      </c>
      <c r="D2835" s="39">
        <f t="shared" si="89"/>
        <v>8971058.5887171067</v>
      </c>
    </row>
    <row r="2836" spans="2:4" x14ac:dyDescent="0.25">
      <c r="B2836" s="90">
        <v>2832</v>
      </c>
      <c r="C2836" s="39">
        <f t="shared" si="88"/>
        <v>9296967.6086921357</v>
      </c>
      <c r="D2836" s="39">
        <f t="shared" si="89"/>
        <v>8974227.4543436412</v>
      </c>
    </row>
    <row r="2837" spans="2:4" x14ac:dyDescent="0.25">
      <c r="B2837" s="90">
        <v>2833</v>
      </c>
      <c r="C2837" s="39">
        <f t="shared" si="88"/>
        <v>9299630.5209833384</v>
      </c>
      <c r="D2837" s="39">
        <f t="shared" si="89"/>
        <v>8977396.3199701738</v>
      </c>
    </row>
    <row r="2838" spans="2:4" x14ac:dyDescent="0.25">
      <c r="B2838" s="90">
        <v>2834</v>
      </c>
      <c r="C2838" s="39">
        <f t="shared" si="88"/>
        <v>9302293.4332745448</v>
      </c>
      <c r="D2838" s="39">
        <f t="shared" si="89"/>
        <v>8980565.1855967082</v>
      </c>
    </row>
    <row r="2839" spans="2:4" x14ac:dyDescent="0.25">
      <c r="B2839" s="90">
        <v>2835</v>
      </c>
      <c r="C2839" s="39">
        <f t="shared" si="88"/>
        <v>9304956.3455657475</v>
      </c>
      <c r="D2839" s="39">
        <f t="shared" si="89"/>
        <v>8983734.0512232408</v>
      </c>
    </row>
    <row r="2840" spans="2:4" x14ac:dyDescent="0.25">
      <c r="B2840" s="90">
        <v>2836</v>
      </c>
      <c r="C2840" s="39">
        <f t="shared" si="88"/>
        <v>9307619.2578569539</v>
      </c>
      <c r="D2840" s="39">
        <f t="shared" si="89"/>
        <v>8986902.9168497752</v>
      </c>
    </row>
    <row r="2841" spans="2:4" x14ac:dyDescent="0.25">
      <c r="B2841" s="90">
        <v>2837</v>
      </c>
      <c r="C2841" s="39">
        <f t="shared" si="88"/>
        <v>9310282.1701481584</v>
      </c>
      <c r="D2841" s="39">
        <f t="shared" si="89"/>
        <v>8990071.7824763097</v>
      </c>
    </row>
    <row r="2842" spans="2:4" x14ac:dyDescent="0.25">
      <c r="B2842" s="90">
        <v>2838</v>
      </c>
      <c r="C2842" s="39">
        <f t="shared" si="88"/>
        <v>9312945.082439363</v>
      </c>
      <c r="D2842" s="39">
        <f t="shared" si="89"/>
        <v>8993240.6481028423</v>
      </c>
    </row>
    <row r="2843" spans="2:4" x14ac:dyDescent="0.25">
      <c r="B2843" s="90">
        <v>2839</v>
      </c>
      <c r="C2843" s="39">
        <f t="shared" si="88"/>
        <v>9315607.9947305694</v>
      </c>
      <c r="D2843" s="39">
        <f t="shared" si="89"/>
        <v>8996409.5137293767</v>
      </c>
    </row>
    <row r="2844" spans="2:4" x14ac:dyDescent="0.25">
      <c r="B2844" s="90">
        <v>2840</v>
      </c>
      <c r="C2844" s="39">
        <f t="shared" si="88"/>
        <v>9318270.9070217721</v>
      </c>
      <c r="D2844" s="39">
        <f t="shared" si="89"/>
        <v>8999578.3793559112</v>
      </c>
    </row>
    <row r="2845" spans="2:4" x14ac:dyDescent="0.25">
      <c r="B2845" s="90">
        <v>2841</v>
      </c>
      <c r="C2845" s="39">
        <f t="shared" si="88"/>
        <v>9320933.8193129785</v>
      </c>
      <c r="D2845" s="39">
        <f t="shared" si="89"/>
        <v>9002747.2449824437</v>
      </c>
    </row>
    <row r="2846" spans="2:4" x14ac:dyDescent="0.25">
      <c r="B2846" s="90">
        <v>2842</v>
      </c>
      <c r="C2846" s="39">
        <f t="shared" si="88"/>
        <v>9323596.7316041831</v>
      </c>
      <c r="D2846" s="39">
        <f t="shared" si="89"/>
        <v>9005916.1106089782</v>
      </c>
    </row>
    <row r="2847" spans="2:4" x14ac:dyDescent="0.25">
      <c r="B2847" s="90">
        <v>2843</v>
      </c>
      <c r="C2847" s="39">
        <f t="shared" si="88"/>
        <v>9326259.6438953876</v>
      </c>
      <c r="D2847" s="39">
        <f t="shared" si="89"/>
        <v>9009084.9762355126</v>
      </c>
    </row>
    <row r="2848" spans="2:4" x14ac:dyDescent="0.25">
      <c r="B2848" s="90">
        <v>2844</v>
      </c>
      <c r="C2848" s="39">
        <f t="shared" si="88"/>
        <v>9328922.5561865922</v>
      </c>
      <c r="D2848" s="39">
        <f t="shared" si="89"/>
        <v>9012253.8418620452</v>
      </c>
    </row>
    <row r="2849" spans="2:4" x14ac:dyDescent="0.25">
      <c r="B2849" s="90">
        <v>2845</v>
      </c>
      <c r="C2849" s="39">
        <f t="shared" si="88"/>
        <v>9331585.4684777968</v>
      </c>
      <c r="D2849" s="39">
        <f t="shared" si="89"/>
        <v>9015422.7074885797</v>
      </c>
    </row>
    <row r="2850" spans="2:4" x14ac:dyDescent="0.25">
      <c r="B2850" s="90">
        <v>2846</v>
      </c>
      <c r="C2850" s="39">
        <f t="shared" si="88"/>
        <v>9334248.3807690032</v>
      </c>
      <c r="D2850" s="39">
        <f t="shared" si="89"/>
        <v>9018591.5731151123</v>
      </c>
    </row>
    <row r="2851" spans="2:4" x14ac:dyDescent="0.25">
      <c r="B2851" s="90">
        <v>2847</v>
      </c>
      <c r="C2851" s="39">
        <f t="shared" si="88"/>
        <v>9336911.2930602059</v>
      </c>
      <c r="D2851" s="39">
        <f t="shared" si="89"/>
        <v>9021760.4387416467</v>
      </c>
    </row>
    <row r="2852" spans="2:4" x14ac:dyDescent="0.25">
      <c r="B2852" s="90">
        <v>2848</v>
      </c>
      <c r="C2852" s="39">
        <f t="shared" si="88"/>
        <v>9339574.2053514123</v>
      </c>
      <c r="D2852" s="39">
        <f t="shared" si="89"/>
        <v>9024929.3043681812</v>
      </c>
    </row>
    <row r="2853" spans="2:4" x14ac:dyDescent="0.25">
      <c r="B2853" s="90">
        <v>2849</v>
      </c>
      <c r="C2853" s="39">
        <f t="shared" si="88"/>
        <v>9342237.1176426169</v>
      </c>
      <c r="D2853" s="39">
        <f t="shared" si="89"/>
        <v>9028098.1699947137</v>
      </c>
    </row>
    <row r="2854" spans="2:4" x14ac:dyDescent="0.25">
      <c r="B2854" s="90">
        <v>2850</v>
      </c>
      <c r="C2854" s="39">
        <f t="shared" si="88"/>
        <v>9344900.0299338214</v>
      </c>
      <c r="D2854" s="39">
        <f t="shared" si="89"/>
        <v>9031267.0356212482</v>
      </c>
    </row>
    <row r="2855" spans="2:4" x14ac:dyDescent="0.25">
      <c r="B2855" s="90">
        <v>2851</v>
      </c>
      <c r="C2855" s="39">
        <f t="shared" si="88"/>
        <v>9347562.9422250278</v>
      </c>
      <c r="D2855" s="39">
        <f t="shared" si="89"/>
        <v>9034435.9012477826</v>
      </c>
    </row>
    <row r="2856" spans="2:4" x14ac:dyDescent="0.25">
      <c r="B2856" s="90">
        <v>2852</v>
      </c>
      <c r="C2856" s="39">
        <f t="shared" si="88"/>
        <v>9350225.8545162305</v>
      </c>
      <c r="D2856" s="39">
        <f t="shared" si="89"/>
        <v>9037604.7668743152</v>
      </c>
    </row>
    <row r="2857" spans="2:4" x14ac:dyDescent="0.25">
      <c r="B2857" s="90">
        <v>2853</v>
      </c>
      <c r="C2857" s="39">
        <f t="shared" si="88"/>
        <v>9352888.7668074369</v>
      </c>
      <c r="D2857" s="39">
        <f t="shared" si="89"/>
        <v>9040773.6325008497</v>
      </c>
    </row>
    <row r="2858" spans="2:4" x14ac:dyDescent="0.25">
      <c r="B2858" s="90">
        <v>2854</v>
      </c>
      <c r="C2858" s="39">
        <f t="shared" si="88"/>
        <v>9355551.6790986396</v>
      </c>
      <c r="D2858" s="39">
        <f t="shared" si="89"/>
        <v>9043942.4981273841</v>
      </c>
    </row>
    <row r="2859" spans="2:4" x14ac:dyDescent="0.25">
      <c r="B2859" s="90">
        <v>2855</v>
      </c>
      <c r="C2859" s="39">
        <f t="shared" si="88"/>
        <v>9358214.5913898461</v>
      </c>
      <c r="D2859" s="39">
        <f t="shared" si="89"/>
        <v>9047111.3637539167</v>
      </c>
    </row>
    <row r="2860" spans="2:4" x14ac:dyDescent="0.25">
      <c r="B2860" s="90">
        <v>2856</v>
      </c>
      <c r="C2860" s="39">
        <f t="shared" si="88"/>
        <v>9360877.5036810506</v>
      </c>
      <c r="D2860" s="39">
        <f t="shared" si="89"/>
        <v>9050280.2293804511</v>
      </c>
    </row>
    <row r="2861" spans="2:4" x14ac:dyDescent="0.25">
      <c r="B2861" s="90">
        <v>2857</v>
      </c>
      <c r="C2861" s="39">
        <f t="shared" si="88"/>
        <v>9363540.4159722552</v>
      </c>
      <c r="D2861" s="39">
        <f t="shared" si="89"/>
        <v>9053449.0950069856</v>
      </c>
    </row>
    <row r="2862" spans="2:4" x14ac:dyDescent="0.25">
      <c r="B2862" s="90">
        <v>2858</v>
      </c>
      <c r="C2862" s="39">
        <f t="shared" si="88"/>
        <v>9366203.3282634616</v>
      </c>
      <c r="D2862" s="39">
        <f t="shared" si="89"/>
        <v>9056617.9606335182</v>
      </c>
    </row>
    <row r="2863" spans="2:4" x14ac:dyDescent="0.25">
      <c r="B2863" s="90">
        <v>2859</v>
      </c>
      <c r="C2863" s="39">
        <f t="shared" si="88"/>
        <v>9368866.2405546643</v>
      </c>
      <c r="D2863" s="39">
        <f t="shared" si="89"/>
        <v>9059786.8262600526</v>
      </c>
    </row>
    <row r="2864" spans="2:4" x14ac:dyDescent="0.25">
      <c r="B2864" s="90">
        <v>2860</v>
      </c>
      <c r="C2864" s="39">
        <f t="shared" si="88"/>
        <v>9371529.1528458707</v>
      </c>
      <c r="D2864" s="39">
        <f t="shared" si="89"/>
        <v>9062955.6918865852</v>
      </c>
    </row>
    <row r="2865" spans="2:4" x14ac:dyDescent="0.25">
      <c r="B2865" s="90">
        <v>2861</v>
      </c>
      <c r="C2865" s="39">
        <f t="shared" ref="C2865:C2928" si="90">($C$2*B2865)+$C$1</f>
        <v>9374192.0651370753</v>
      </c>
      <c r="D2865" s="39">
        <f t="shared" ref="D2865:D2928" si="91">$D$2*B2865</f>
        <v>9066124.5575131197</v>
      </c>
    </row>
    <row r="2866" spans="2:4" x14ac:dyDescent="0.25">
      <c r="B2866" s="90">
        <v>2862</v>
      </c>
      <c r="C2866" s="39">
        <f t="shared" si="90"/>
        <v>9376854.9774282798</v>
      </c>
      <c r="D2866" s="39">
        <f t="shared" si="91"/>
        <v>9069293.4231396541</v>
      </c>
    </row>
    <row r="2867" spans="2:4" x14ac:dyDescent="0.25">
      <c r="B2867" s="90">
        <v>2863</v>
      </c>
      <c r="C2867" s="39">
        <f t="shared" si="90"/>
        <v>9379517.8897194844</v>
      </c>
      <c r="D2867" s="39">
        <f t="shared" si="91"/>
        <v>9072462.2887661867</v>
      </c>
    </row>
    <row r="2868" spans="2:4" x14ac:dyDescent="0.25">
      <c r="B2868" s="90">
        <v>2864</v>
      </c>
      <c r="C2868" s="39">
        <f t="shared" si="90"/>
        <v>9382180.8020106889</v>
      </c>
      <c r="D2868" s="39">
        <f t="shared" si="91"/>
        <v>9075631.1543927211</v>
      </c>
    </row>
    <row r="2869" spans="2:4" x14ac:dyDescent="0.25">
      <c r="B2869" s="90">
        <v>2865</v>
      </c>
      <c r="C2869" s="39">
        <f t="shared" si="90"/>
        <v>9384843.7143018954</v>
      </c>
      <c r="D2869" s="39">
        <f t="shared" si="91"/>
        <v>9078800.0200192556</v>
      </c>
    </row>
    <row r="2870" spans="2:4" x14ac:dyDescent="0.25">
      <c r="B2870" s="90">
        <v>2866</v>
      </c>
      <c r="C2870" s="39">
        <f t="shared" si="90"/>
        <v>9387506.626593098</v>
      </c>
      <c r="D2870" s="39">
        <f t="shared" si="91"/>
        <v>9081968.8856457882</v>
      </c>
    </row>
    <row r="2871" spans="2:4" x14ac:dyDescent="0.25">
      <c r="B2871" s="90">
        <v>2867</v>
      </c>
      <c r="C2871" s="39">
        <f t="shared" si="90"/>
        <v>9390169.5388843045</v>
      </c>
      <c r="D2871" s="39">
        <f t="shared" si="91"/>
        <v>9085137.7512723226</v>
      </c>
    </row>
    <row r="2872" spans="2:4" x14ac:dyDescent="0.25">
      <c r="B2872" s="90">
        <v>2868</v>
      </c>
      <c r="C2872" s="39">
        <f t="shared" si="90"/>
        <v>9392832.451175509</v>
      </c>
      <c r="D2872" s="39">
        <f t="shared" si="91"/>
        <v>9088306.6168988571</v>
      </c>
    </row>
    <row r="2873" spans="2:4" x14ac:dyDescent="0.25">
      <c r="B2873" s="90">
        <v>2869</v>
      </c>
      <c r="C2873" s="39">
        <f t="shared" si="90"/>
        <v>9395495.3634667136</v>
      </c>
      <c r="D2873" s="39">
        <f t="shared" si="91"/>
        <v>9091475.4825253896</v>
      </c>
    </row>
    <row r="2874" spans="2:4" x14ac:dyDescent="0.25">
      <c r="B2874" s="90">
        <v>2870</v>
      </c>
      <c r="C2874" s="39">
        <f t="shared" si="90"/>
        <v>9398158.2757579181</v>
      </c>
      <c r="D2874" s="39">
        <f t="shared" si="91"/>
        <v>9094644.3481519241</v>
      </c>
    </row>
    <row r="2875" spans="2:4" x14ac:dyDescent="0.25">
      <c r="B2875" s="90">
        <v>2871</v>
      </c>
      <c r="C2875" s="39">
        <f t="shared" si="90"/>
        <v>9400821.1880491227</v>
      </c>
      <c r="D2875" s="39">
        <f t="shared" si="91"/>
        <v>9097813.2137784567</v>
      </c>
    </row>
    <row r="2876" spans="2:4" x14ac:dyDescent="0.25">
      <c r="B2876" s="90">
        <v>2872</v>
      </c>
      <c r="C2876" s="39">
        <f t="shared" si="90"/>
        <v>9403484.1003403291</v>
      </c>
      <c r="D2876" s="39">
        <f t="shared" si="91"/>
        <v>9100982.0794049911</v>
      </c>
    </row>
    <row r="2877" spans="2:4" x14ac:dyDescent="0.25">
      <c r="B2877" s="90">
        <v>2873</v>
      </c>
      <c r="C2877" s="39">
        <f t="shared" si="90"/>
        <v>9406147.0126315318</v>
      </c>
      <c r="D2877" s="39">
        <f t="shared" si="91"/>
        <v>9104150.9450315256</v>
      </c>
    </row>
    <row r="2878" spans="2:4" x14ac:dyDescent="0.25">
      <c r="B2878" s="90">
        <v>2874</v>
      </c>
      <c r="C2878" s="39">
        <f t="shared" si="90"/>
        <v>9408809.9249227382</v>
      </c>
      <c r="D2878" s="39">
        <f t="shared" si="91"/>
        <v>9107319.8106580582</v>
      </c>
    </row>
    <row r="2879" spans="2:4" x14ac:dyDescent="0.25">
      <c r="B2879" s="90">
        <v>2875</v>
      </c>
      <c r="C2879" s="39">
        <f t="shared" si="90"/>
        <v>9411472.8372139428</v>
      </c>
      <c r="D2879" s="39">
        <f t="shared" si="91"/>
        <v>9110488.6762845926</v>
      </c>
    </row>
    <row r="2880" spans="2:4" x14ac:dyDescent="0.25">
      <c r="B2880" s="90">
        <v>2876</v>
      </c>
      <c r="C2880" s="39">
        <f t="shared" si="90"/>
        <v>9414135.7495051473</v>
      </c>
      <c r="D2880" s="39">
        <f t="shared" si="91"/>
        <v>9113657.541911127</v>
      </c>
    </row>
    <row r="2881" spans="2:4" x14ac:dyDescent="0.25">
      <c r="B2881" s="90">
        <v>2877</v>
      </c>
      <c r="C2881" s="39">
        <f t="shared" si="90"/>
        <v>9416798.6617963538</v>
      </c>
      <c r="D2881" s="39">
        <f t="shared" si="91"/>
        <v>9116826.4075376596</v>
      </c>
    </row>
    <row r="2882" spans="2:4" x14ac:dyDescent="0.25">
      <c r="B2882" s="90">
        <v>2878</v>
      </c>
      <c r="C2882" s="39">
        <f t="shared" si="90"/>
        <v>9419461.5740875565</v>
      </c>
      <c r="D2882" s="39">
        <f t="shared" si="91"/>
        <v>9119995.2731641941</v>
      </c>
    </row>
    <row r="2883" spans="2:4" x14ac:dyDescent="0.25">
      <c r="B2883" s="90">
        <v>2879</v>
      </c>
      <c r="C2883" s="39">
        <f t="shared" si="90"/>
        <v>9422124.4863787629</v>
      </c>
      <c r="D2883" s="39">
        <f t="shared" si="91"/>
        <v>9123164.1387907285</v>
      </c>
    </row>
    <row r="2884" spans="2:4" x14ac:dyDescent="0.25">
      <c r="B2884" s="90">
        <v>2880</v>
      </c>
      <c r="C2884" s="39">
        <f t="shared" si="90"/>
        <v>9424787.3986699674</v>
      </c>
      <c r="D2884" s="39">
        <f t="shared" si="91"/>
        <v>9126333.0044172611</v>
      </c>
    </row>
    <row r="2885" spans="2:4" x14ac:dyDescent="0.25">
      <c r="B2885" s="90">
        <v>2881</v>
      </c>
      <c r="C2885" s="39">
        <f t="shared" si="90"/>
        <v>9427450.310961172</v>
      </c>
      <c r="D2885" s="39">
        <f t="shared" si="91"/>
        <v>9129501.8700437956</v>
      </c>
    </row>
    <row r="2886" spans="2:4" x14ac:dyDescent="0.25">
      <c r="B2886" s="90">
        <v>2882</v>
      </c>
      <c r="C2886" s="39">
        <f t="shared" si="90"/>
        <v>9430113.2232523765</v>
      </c>
      <c r="D2886" s="39">
        <f t="shared" si="91"/>
        <v>9132670.7356703281</v>
      </c>
    </row>
    <row r="2887" spans="2:4" x14ac:dyDescent="0.25">
      <c r="B2887" s="90">
        <v>2883</v>
      </c>
      <c r="C2887" s="39">
        <f t="shared" si="90"/>
        <v>9432776.1355435811</v>
      </c>
      <c r="D2887" s="39">
        <f t="shared" si="91"/>
        <v>9135839.6012968626</v>
      </c>
    </row>
    <row r="2888" spans="2:4" x14ac:dyDescent="0.25">
      <c r="B2888" s="90">
        <v>2884</v>
      </c>
      <c r="C2888" s="39">
        <f t="shared" si="90"/>
        <v>9435439.0478347875</v>
      </c>
      <c r="D2888" s="39">
        <f t="shared" si="91"/>
        <v>9139008.466923397</v>
      </c>
    </row>
    <row r="2889" spans="2:4" x14ac:dyDescent="0.25">
      <c r="B2889" s="90">
        <v>2885</v>
      </c>
      <c r="C2889" s="39">
        <f t="shared" si="90"/>
        <v>9438101.9601259902</v>
      </c>
      <c r="D2889" s="39">
        <f t="shared" si="91"/>
        <v>9142177.3325499296</v>
      </c>
    </row>
    <row r="2890" spans="2:4" x14ac:dyDescent="0.25">
      <c r="B2890" s="90">
        <v>2886</v>
      </c>
      <c r="C2890" s="39">
        <f t="shared" si="90"/>
        <v>9440764.8724171966</v>
      </c>
      <c r="D2890" s="39">
        <f t="shared" si="91"/>
        <v>9145346.1981764641</v>
      </c>
    </row>
    <row r="2891" spans="2:4" x14ac:dyDescent="0.25">
      <c r="B2891" s="90">
        <v>2887</v>
      </c>
      <c r="C2891" s="39">
        <f t="shared" si="90"/>
        <v>9443427.7847084012</v>
      </c>
      <c r="D2891" s="39">
        <f t="shared" si="91"/>
        <v>9148515.0638029985</v>
      </c>
    </row>
    <row r="2892" spans="2:4" x14ac:dyDescent="0.25">
      <c r="B2892" s="90">
        <v>2888</v>
      </c>
      <c r="C2892" s="39">
        <f t="shared" si="90"/>
        <v>9446090.6969996057</v>
      </c>
      <c r="D2892" s="39">
        <f t="shared" si="91"/>
        <v>9151683.9294295311</v>
      </c>
    </row>
    <row r="2893" spans="2:4" x14ac:dyDescent="0.25">
      <c r="B2893" s="90">
        <v>2889</v>
      </c>
      <c r="C2893" s="39">
        <f t="shared" si="90"/>
        <v>9448753.6092908103</v>
      </c>
      <c r="D2893" s="39">
        <f t="shared" si="91"/>
        <v>9154852.7950560655</v>
      </c>
    </row>
    <row r="2894" spans="2:4" x14ac:dyDescent="0.25">
      <c r="B2894" s="90">
        <v>2890</v>
      </c>
      <c r="C2894" s="39">
        <f t="shared" si="90"/>
        <v>9451416.5215820149</v>
      </c>
      <c r="D2894" s="39">
        <f t="shared" si="91"/>
        <v>9158021.6606826</v>
      </c>
    </row>
    <row r="2895" spans="2:4" x14ac:dyDescent="0.25">
      <c r="B2895" s="90">
        <v>2891</v>
      </c>
      <c r="C2895" s="39">
        <f t="shared" si="90"/>
        <v>9454079.4338732213</v>
      </c>
      <c r="D2895" s="39">
        <f t="shared" si="91"/>
        <v>9161190.5263091326</v>
      </c>
    </row>
    <row r="2896" spans="2:4" x14ac:dyDescent="0.25">
      <c r="B2896" s="90">
        <v>2892</v>
      </c>
      <c r="C2896" s="39">
        <f t="shared" si="90"/>
        <v>9456742.346164424</v>
      </c>
      <c r="D2896" s="39">
        <f t="shared" si="91"/>
        <v>9164359.391935667</v>
      </c>
    </row>
    <row r="2897" spans="2:4" x14ac:dyDescent="0.25">
      <c r="B2897" s="90">
        <v>2893</v>
      </c>
      <c r="C2897" s="39">
        <f t="shared" si="90"/>
        <v>9459405.2584556304</v>
      </c>
      <c r="D2897" s="39">
        <f t="shared" si="91"/>
        <v>9167528.2575621996</v>
      </c>
    </row>
    <row r="2898" spans="2:4" x14ac:dyDescent="0.25">
      <c r="B2898" s="90">
        <v>2894</v>
      </c>
      <c r="C2898" s="39">
        <f t="shared" si="90"/>
        <v>9462068.1707468349</v>
      </c>
      <c r="D2898" s="39">
        <f t="shared" si="91"/>
        <v>9170697.1231887341</v>
      </c>
    </row>
    <row r="2899" spans="2:4" x14ac:dyDescent="0.25">
      <c r="B2899" s="90">
        <v>2895</v>
      </c>
      <c r="C2899" s="39">
        <f t="shared" si="90"/>
        <v>9464731.0830380395</v>
      </c>
      <c r="D2899" s="39">
        <f t="shared" si="91"/>
        <v>9173865.9888152685</v>
      </c>
    </row>
    <row r="2900" spans="2:4" x14ac:dyDescent="0.25">
      <c r="B2900" s="90">
        <v>2896</v>
      </c>
      <c r="C2900" s="39">
        <f t="shared" si="90"/>
        <v>9467393.9953292459</v>
      </c>
      <c r="D2900" s="39">
        <f t="shared" si="91"/>
        <v>9177034.8544418011</v>
      </c>
    </row>
    <row r="2901" spans="2:4" x14ac:dyDescent="0.25">
      <c r="B2901" s="90">
        <v>2897</v>
      </c>
      <c r="C2901" s="39">
        <f t="shared" si="90"/>
        <v>9470056.9076204486</v>
      </c>
      <c r="D2901" s="39">
        <f t="shared" si="91"/>
        <v>9180203.7200683355</v>
      </c>
    </row>
    <row r="2902" spans="2:4" x14ac:dyDescent="0.25">
      <c r="B2902" s="90">
        <v>2898</v>
      </c>
      <c r="C2902" s="39">
        <f t="shared" si="90"/>
        <v>9472719.819911655</v>
      </c>
      <c r="D2902" s="39">
        <f t="shared" si="91"/>
        <v>9183372.58569487</v>
      </c>
    </row>
    <row r="2903" spans="2:4" x14ac:dyDescent="0.25">
      <c r="B2903" s="90">
        <v>2899</v>
      </c>
      <c r="C2903" s="39">
        <f t="shared" si="90"/>
        <v>9475382.7322028596</v>
      </c>
      <c r="D2903" s="39">
        <f t="shared" si="91"/>
        <v>9186541.4513214026</v>
      </c>
    </row>
    <row r="2904" spans="2:4" x14ac:dyDescent="0.25">
      <c r="B2904" s="90">
        <v>2900</v>
      </c>
      <c r="C2904" s="39">
        <f t="shared" si="90"/>
        <v>9478045.6444940642</v>
      </c>
      <c r="D2904" s="39">
        <f t="shared" si="91"/>
        <v>9189710.316947937</v>
      </c>
    </row>
    <row r="2905" spans="2:4" x14ac:dyDescent="0.25">
      <c r="B2905" s="90">
        <v>2901</v>
      </c>
      <c r="C2905" s="39">
        <f t="shared" si="90"/>
        <v>9480708.5567852687</v>
      </c>
      <c r="D2905" s="39">
        <f t="shared" si="91"/>
        <v>9192879.1825744715</v>
      </c>
    </row>
    <row r="2906" spans="2:4" x14ac:dyDescent="0.25">
      <c r="B2906" s="90">
        <v>2902</v>
      </c>
      <c r="C2906" s="39">
        <f t="shared" si="90"/>
        <v>9483371.4690764733</v>
      </c>
      <c r="D2906" s="39">
        <f t="shared" si="91"/>
        <v>9196048.048201004</v>
      </c>
    </row>
    <row r="2907" spans="2:4" x14ac:dyDescent="0.25">
      <c r="B2907" s="90">
        <v>2903</v>
      </c>
      <c r="C2907" s="39">
        <f t="shared" si="90"/>
        <v>9486034.3813676797</v>
      </c>
      <c r="D2907" s="39">
        <f t="shared" si="91"/>
        <v>9199216.9138275385</v>
      </c>
    </row>
    <row r="2908" spans="2:4" x14ac:dyDescent="0.25">
      <c r="B2908" s="90">
        <v>2904</v>
      </c>
      <c r="C2908" s="39">
        <f t="shared" si="90"/>
        <v>9488697.2936588824</v>
      </c>
      <c r="D2908" s="39">
        <f t="shared" si="91"/>
        <v>9202385.7794540711</v>
      </c>
    </row>
    <row r="2909" spans="2:4" x14ac:dyDescent="0.25">
      <c r="B2909" s="90">
        <v>2905</v>
      </c>
      <c r="C2909" s="39">
        <f t="shared" si="90"/>
        <v>9491360.2059500888</v>
      </c>
      <c r="D2909" s="39">
        <f t="shared" si="91"/>
        <v>9205554.6450806055</v>
      </c>
    </row>
    <row r="2910" spans="2:4" x14ac:dyDescent="0.25">
      <c r="B2910" s="90">
        <v>2906</v>
      </c>
      <c r="C2910" s="39">
        <f t="shared" si="90"/>
        <v>9494023.1182412934</v>
      </c>
      <c r="D2910" s="39">
        <f t="shared" si="91"/>
        <v>9208723.51070714</v>
      </c>
    </row>
    <row r="2911" spans="2:4" x14ac:dyDescent="0.25">
      <c r="B2911" s="90">
        <v>2907</v>
      </c>
      <c r="C2911" s="39">
        <f t="shared" si="90"/>
        <v>9496686.0305324979</v>
      </c>
      <c r="D2911" s="39">
        <f t="shared" si="91"/>
        <v>9211892.3763336726</v>
      </c>
    </row>
    <row r="2912" spans="2:4" x14ac:dyDescent="0.25">
      <c r="B2912" s="90">
        <v>2908</v>
      </c>
      <c r="C2912" s="39">
        <f t="shared" si="90"/>
        <v>9499348.9428237025</v>
      </c>
      <c r="D2912" s="39">
        <f t="shared" si="91"/>
        <v>9215061.241960207</v>
      </c>
    </row>
    <row r="2913" spans="2:4" x14ac:dyDescent="0.25">
      <c r="B2913" s="90">
        <v>2909</v>
      </c>
      <c r="C2913" s="39">
        <f t="shared" si="90"/>
        <v>9502011.855114907</v>
      </c>
      <c r="D2913" s="39">
        <f t="shared" si="91"/>
        <v>9218230.1075867414</v>
      </c>
    </row>
    <row r="2914" spans="2:4" x14ac:dyDescent="0.25">
      <c r="B2914" s="90">
        <v>2910</v>
      </c>
      <c r="C2914" s="39">
        <f t="shared" si="90"/>
        <v>9504674.7674061134</v>
      </c>
      <c r="D2914" s="39">
        <f t="shared" si="91"/>
        <v>9221398.973213274</v>
      </c>
    </row>
    <row r="2915" spans="2:4" x14ac:dyDescent="0.25">
      <c r="B2915" s="90">
        <v>2911</v>
      </c>
      <c r="C2915" s="39">
        <f t="shared" si="90"/>
        <v>9507337.6796973161</v>
      </c>
      <c r="D2915" s="39">
        <f t="shared" si="91"/>
        <v>9224567.8388398085</v>
      </c>
    </row>
    <row r="2916" spans="2:4" x14ac:dyDescent="0.25">
      <c r="B2916" s="90">
        <v>2912</v>
      </c>
      <c r="C2916" s="39">
        <f t="shared" si="90"/>
        <v>9510000.5919885226</v>
      </c>
      <c r="D2916" s="39">
        <f t="shared" si="91"/>
        <v>9227736.7044663429</v>
      </c>
    </row>
    <row r="2917" spans="2:4" x14ac:dyDescent="0.25">
      <c r="B2917" s="90">
        <v>2913</v>
      </c>
      <c r="C2917" s="39">
        <f t="shared" si="90"/>
        <v>9512663.5042797271</v>
      </c>
      <c r="D2917" s="39">
        <f t="shared" si="91"/>
        <v>9230905.5700928755</v>
      </c>
    </row>
    <row r="2918" spans="2:4" x14ac:dyDescent="0.25">
      <c r="B2918" s="90">
        <v>2914</v>
      </c>
      <c r="C2918" s="39">
        <f t="shared" si="90"/>
        <v>9515326.4165709317</v>
      </c>
      <c r="D2918" s="39">
        <f t="shared" si="91"/>
        <v>9234074.43571941</v>
      </c>
    </row>
    <row r="2919" spans="2:4" x14ac:dyDescent="0.25">
      <c r="B2919" s="90">
        <v>2915</v>
      </c>
      <c r="C2919" s="39">
        <f t="shared" si="90"/>
        <v>9517989.3288621381</v>
      </c>
      <c r="D2919" s="39">
        <f t="shared" si="91"/>
        <v>9237243.3013459425</v>
      </c>
    </row>
    <row r="2920" spans="2:4" x14ac:dyDescent="0.25">
      <c r="B2920" s="90">
        <v>2916</v>
      </c>
      <c r="C2920" s="39">
        <f t="shared" si="90"/>
        <v>9520652.2411533408</v>
      </c>
      <c r="D2920" s="39">
        <f t="shared" si="91"/>
        <v>9240412.166972477</v>
      </c>
    </row>
    <row r="2921" spans="2:4" x14ac:dyDescent="0.25">
      <c r="B2921" s="90">
        <v>2917</v>
      </c>
      <c r="C2921" s="39">
        <f t="shared" si="90"/>
        <v>9523315.1534445472</v>
      </c>
      <c r="D2921" s="39">
        <f t="shared" si="91"/>
        <v>9243581.0325990114</v>
      </c>
    </row>
    <row r="2922" spans="2:4" x14ac:dyDescent="0.25">
      <c r="B2922" s="90">
        <v>2918</v>
      </c>
      <c r="C2922" s="39">
        <f t="shared" si="90"/>
        <v>9525978.0657357518</v>
      </c>
      <c r="D2922" s="39">
        <f t="shared" si="91"/>
        <v>9246749.898225544</v>
      </c>
    </row>
    <row r="2923" spans="2:4" x14ac:dyDescent="0.25">
      <c r="B2923" s="90">
        <v>2919</v>
      </c>
      <c r="C2923" s="39">
        <f t="shared" si="90"/>
        <v>9528640.9780269563</v>
      </c>
      <c r="D2923" s="39">
        <f t="shared" si="91"/>
        <v>9249918.7638520785</v>
      </c>
    </row>
    <row r="2924" spans="2:4" x14ac:dyDescent="0.25">
      <c r="B2924" s="90">
        <v>2920</v>
      </c>
      <c r="C2924" s="39">
        <f t="shared" si="90"/>
        <v>9531303.8903181609</v>
      </c>
      <c r="D2924" s="39">
        <f t="shared" si="91"/>
        <v>9253087.6294786129</v>
      </c>
    </row>
    <row r="2925" spans="2:4" x14ac:dyDescent="0.25">
      <c r="B2925" s="90">
        <v>2921</v>
      </c>
      <c r="C2925" s="39">
        <f t="shared" si="90"/>
        <v>9533966.8026093654</v>
      </c>
      <c r="D2925" s="39">
        <f t="shared" si="91"/>
        <v>9256256.4951051455</v>
      </c>
    </row>
    <row r="2926" spans="2:4" x14ac:dyDescent="0.25">
      <c r="B2926" s="90">
        <v>2922</v>
      </c>
      <c r="C2926" s="39">
        <f t="shared" si="90"/>
        <v>9536629.7149005719</v>
      </c>
      <c r="D2926" s="39">
        <f t="shared" si="91"/>
        <v>9259425.3607316799</v>
      </c>
    </row>
    <row r="2927" spans="2:4" x14ac:dyDescent="0.25">
      <c r="B2927" s="90">
        <v>2923</v>
      </c>
      <c r="C2927" s="39">
        <f t="shared" si="90"/>
        <v>9539292.6271917745</v>
      </c>
      <c r="D2927" s="39">
        <f t="shared" si="91"/>
        <v>9262594.2263582144</v>
      </c>
    </row>
    <row r="2928" spans="2:4" x14ac:dyDescent="0.25">
      <c r="B2928" s="90">
        <v>2924</v>
      </c>
      <c r="C2928" s="39">
        <f t="shared" si="90"/>
        <v>9541955.539482981</v>
      </c>
      <c r="D2928" s="39">
        <f t="shared" si="91"/>
        <v>9265763.091984747</v>
      </c>
    </row>
    <row r="2929" spans="2:4" x14ac:dyDescent="0.25">
      <c r="B2929" s="90">
        <v>2925</v>
      </c>
      <c r="C2929" s="39">
        <f t="shared" ref="C2929:C2992" si="92">($C$2*B2929)+$C$1</f>
        <v>9544618.4517741855</v>
      </c>
      <c r="D2929" s="39">
        <f t="shared" ref="D2929:D2992" si="93">$D$2*B2929</f>
        <v>9268931.9576112814</v>
      </c>
    </row>
    <row r="2930" spans="2:4" x14ac:dyDescent="0.25">
      <c r="B2930" s="90">
        <v>2926</v>
      </c>
      <c r="C2930" s="39">
        <f t="shared" si="92"/>
        <v>9547281.3640653901</v>
      </c>
      <c r="D2930" s="39">
        <f t="shared" si="93"/>
        <v>9272100.823237814</v>
      </c>
    </row>
    <row r="2931" spans="2:4" x14ac:dyDescent="0.25">
      <c r="B2931" s="90">
        <v>2927</v>
      </c>
      <c r="C2931" s="39">
        <f t="shared" si="92"/>
        <v>9549944.2763565946</v>
      </c>
      <c r="D2931" s="39">
        <f t="shared" si="93"/>
        <v>9275269.6888643485</v>
      </c>
    </row>
    <row r="2932" spans="2:4" x14ac:dyDescent="0.25">
      <c r="B2932" s="90">
        <v>2928</v>
      </c>
      <c r="C2932" s="39">
        <f t="shared" si="92"/>
        <v>9552607.1886477992</v>
      </c>
      <c r="D2932" s="39">
        <f t="shared" si="93"/>
        <v>9278438.5544908829</v>
      </c>
    </row>
    <row r="2933" spans="2:4" x14ac:dyDescent="0.25">
      <c r="B2933" s="90">
        <v>2929</v>
      </c>
      <c r="C2933" s="39">
        <f t="shared" si="92"/>
        <v>9555270.1009390056</v>
      </c>
      <c r="D2933" s="39">
        <f t="shared" si="93"/>
        <v>9281607.4201174155</v>
      </c>
    </row>
    <row r="2934" spans="2:4" x14ac:dyDescent="0.25">
      <c r="B2934" s="90">
        <v>2930</v>
      </c>
      <c r="C2934" s="39">
        <f t="shared" si="92"/>
        <v>9557933.0132302083</v>
      </c>
      <c r="D2934" s="39">
        <f t="shared" si="93"/>
        <v>9284776.2857439499</v>
      </c>
    </row>
    <row r="2935" spans="2:4" x14ac:dyDescent="0.25">
      <c r="B2935" s="90">
        <v>2931</v>
      </c>
      <c r="C2935" s="39">
        <f t="shared" si="92"/>
        <v>9560595.9255214147</v>
      </c>
      <c r="D2935" s="39">
        <f t="shared" si="93"/>
        <v>9287945.1513704844</v>
      </c>
    </row>
    <row r="2936" spans="2:4" x14ac:dyDescent="0.25">
      <c r="B2936" s="90">
        <v>2932</v>
      </c>
      <c r="C2936" s="39">
        <f t="shared" si="92"/>
        <v>9563258.8378126193</v>
      </c>
      <c r="D2936" s="39">
        <f t="shared" si="93"/>
        <v>9291114.016997017</v>
      </c>
    </row>
    <row r="2937" spans="2:4" x14ac:dyDescent="0.25">
      <c r="B2937" s="90">
        <v>2933</v>
      </c>
      <c r="C2937" s="39">
        <f t="shared" si="92"/>
        <v>9565921.7501038238</v>
      </c>
      <c r="D2937" s="39">
        <f t="shared" si="93"/>
        <v>9294282.8826235514</v>
      </c>
    </row>
    <row r="2938" spans="2:4" x14ac:dyDescent="0.25">
      <c r="B2938" s="90">
        <v>2934</v>
      </c>
      <c r="C2938" s="39">
        <f t="shared" si="92"/>
        <v>9568584.6623950303</v>
      </c>
      <c r="D2938" s="39">
        <f t="shared" si="93"/>
        <v>9297451.7482500859</v>
      </c>
    </row>
    <row r="2939" spans="2:4" x14ac:dyDescent="0.25">
      <c r="B2939" s="90">
        <v>2935</v>
      </c>
      <c r="C2939" s="39">
        <f t="shared" si="92"/>
        <v>9571247.574686233</v>
      </c>
      <c r="D2939" s="39">
        <f t="shared" si="93"/>
        <v>9300620.6138766184</v>
      </c>
    </row>
    <row r="2940" spans="2:4" x14ac:dyDescent="0.25">
      <c r="B2940" s="90">
        <v>2936</v>
      </c>
      <c r="C2940" s="39">
        <f t="shared" si="92"/>
        <v>9573910.4869774394</v>
      </c>
      <c r="D2940" s="39">
        <f t="shared" si="93"/>
        <v>9303789.4795031529</v>
      </c>
    </row>
    <row r="2941" spans="2:4" x14ac:dyDescent="0.25">
      <c r="B2941" s="90">
        <v>2937</v>
      </c>
      <c r="C2941" s="39">
        <f t="shared" si="92"/>
        <v>9576573.3992686439</v>
      </c>
      <c r="D2941" s="39">
        <f t="shared" si="93"/>
        <v>9306958.3451296855</v>
      </c>
    </row>
    <row r="2942" spans="2:4" x14ac:dyDescent="0.25">
      <c r="B2942" s="90">
        <v>2938</v>
      </c>
      <c r="C2942" s="39">
        <f t="shared" si="92"/>
        <v>9579236.3115598485</v>
      </c>
      <c r="D2942" s="39">
        <f t="shared" si="93"/>
        <v>9310127.2107562199</v>
      </c>
    </row>
    <row r="2943" spans="2:4" x14ac:dyDescent="0.25">
      <c r="B2943" s="90">
        <v>2939</v>
      </c>
      <c r="C2943" s="39">
        <f t="shared" si="92"/>
        <v>9581899.223851053</v>
      </c>
      <c r="D2943" s="39">
        <f t="shared" si="93"/>
        <v>9313296.0763827544</v>
      </c>
    </row>
    <row r="2944" spans="2:4" x14ac:dyDescent="0.25">
      <c r="B2944" s="90">
        <v>2940</v>
      </c>
      <c r="C2944" s="39">
        <f t="shared" si="92"/>
        <v>9584562.1361422576</v>
      </c>
      <c r="D2944" s="39">
        <f t="shared" si="93"/>
        <v>9316464.942009287</v>
      </c>
    </row>
    <row r="2945" spans="2:4" x14ac:dyDescent="0.25">
      <c r="B2945" s="90">
        <v>2941</v>
      </c>
      <c r="C2945" s="39">
        <f t="shared" si="92"/>
        <v>9587225.048433464</v>
      </c>
      <c r="D2945" s="39">
        <f t="shared" si="93"/>
        <v>9319633.8076358214</v>
      </c>
    </row>
    <row r="2946" spans="2:4" x14ac:dyDescent="0.25">
      <c r="B2946" s="90">
        <v>2942</v>
      </c>
      <c r="C2946" s="39">
        <f t="shared" si="92"/>
        <v>9589887.9607246667</v>
      </c>
      <c r="D2946" s="39">
        <f t="shared" si="93"/>
        <v>9322802.6732623558</v>
      </c>
    </row>
    <row r="2947" spans="2:4" x14ac:dyDescent="0.25">
      <c r="B2947" s="90">
        <v>2943</v>
      </c>
      <c r="C2947" s="39">
        <f t="shared" si="92"/>
        <v>9592550.8730158731</v>
      </c>
      <c r="D2947" s="39">
        <f t="shared" si="93"/>
        <v>9325971.5388888884</v>
      </c>
    </row>
    <row r="2948" spans="2:4" x14ac:dyDescent="0.25">
      <c r="B2948" s="90">
        <v>2944</v>
      </c>
      <c r="C2948" s="39">
        <f t="shared" si="92"/>
        <v>9595213.7853070777</v>
      </c>
      <c r="D2948" s="39">
        <f t="shared" si="93"/>
        <v>9329140.4045154229</v>
      </c>
    </row>
    <row r="2949" spans="2:4" x14ac:dyDescent="0.25">
      <c r="B2949" s="90">
        <v>2945</v>
      </c>
      <c r="C2949" s="39">
        <f t="shared" si="92"/>
        <v>9597876.6975982822</v>
      </c>
      <c r="D2949" s="39">
        <f t="shared" si="93"/>
        <v>9332309.2701419573</v>
      </c>
    </row>
    <row r="2950" spans="2:4" x14ac:dyDescent="0.25">
      <c r="B2950" s="90">
        <v>2946</v>
      </c>
      <c r="C2950" s="39">
        <f t="shared" si="92"/>
        <v>9600539.6098894868</v>
      </c>
      <c r="D2950" s="39">
        <f t="shared" si="93"/>
        <v>9335478.1357684899</v>
      </c>
    </row>
    <row r="2951" spans="2:4" x14ac:dyDescent="0.25">
      <c r="B2951" s="90">
        <v>2947</v>
      </c>
      <c r="C2951" s="39">
        <f t="shared" si="92"/>
        <v>9603202.5221806914</v>
      </c>
      <c r="D2951" s="39">
        <f t="shared" si="93"/>
        <v>9338647.0013950244</v>
      </c>
    </row>
    <row r="2952" spans="2:4" x14ac:dyDescent="0.25">
      <c r="B2952" s="90">
        <v>2948</v>
      </c>
      <c r="C2952" s="39">
        <f t="shared" si="92"/>
        <v>9605865.4344718978</v>
      </c>
      <c r="D2952" s="39">
        <f t="shared" si="93"/>
        <v>9341815.8670215569</v>
      </c>
    </row>
    <row r="2953" spans="2:4" x14ac:dyDescent="0.25">
      <c r="B2953" s="90">
        <v>2949</v>
      </c>
      <c r="C2953" s="39">
        <f t="shared" si="92"/>
        <v>9608528.3467631005</v>
      </c>
      <c r="D2953" s="39">
        <f t="shared" si="93"/>
        <v>9344984.7326480914</v>
      </c>
    </row>
    <row r="2954" spans="2:4" x14ac:dyDescent="0.25">
      <c r="B2954" s="90">
        <v>2950</v>
      </c>
      <c r="C2954" s="39">
        <f t="shared" si="92"/>
        <v>9611191.2590543069</v>
      </c>
      <c r="D2954" s="39">
        <f t="shared" si="93"/>
        <v>9348153.5982746258</v>
      </c>
    </row>
    <row r="2955" spans="2:4" x14ac:dyDescent="0.25">
      <c r="B2955" s="90">
        <v>2951</v>
      </c>
      <c r="C2955" s="39">
        <f t="shared" si="92"/>
        <v>9613854.1713455115</v>
      </c>
      <c r="D2955" s="39">
        <f t="shared" si="93"/>
        <v>9351322.4639011584</v>
      </c>
    </row>
    <row r="2956" spans="2:4" x14ac:dyDescent="0.25">
      <c r="B2956" s="90">
        <v>2952</v>
      </c>
      <c r="C2956" s="39">
        <f t="shared" si="92"/>
        <v>9616517.083636716</v>
      </c>
      <c r="D2956" s="39">
        <f t="shared" si="93"/>
        <v>9354491.3295276929</v>
      </c>
    </row>
    <row r="2957" spans="2:4" x14ac:dyDescent="0.25">
      <c r="B2957" s="90">
        <v>2953</v>
      </c>
      <c r="C2957" s="39">
        <f t="shared" si="92"/>
        <v>9619179.9959279224</v>
      </c>
      <c r="D2957" s="39">
        <f t="shared" si="93"/>
        <v>9357660.1951542273</v>
      </c>
    </row>
    <row r="2958" spans="2:4" x14ac:dyDescent="0.25">
      <c r="B2958" s="90">
        <v>2954</v>
      </c>
      <c r="C2958" s="39">
        <f t="shared" si="92"/>
        <v>9621842.9082191251</v>
      </c>
      <c r="D2958" s="39">
        <f t="shared" si="93"/>
        <v>9360829.0607807599</v>
      </c>
    </row>
    <row r="2959" spans="2:4" x14ac:dyDescent="0.25">
      <c r="B2959" s="90">
        <v>2955</v>
      </c>
      <c r="C2959" s="39">
        <f t="shared" si="92"/>
        <v>9624505.8205103315</v>
      </c>
      <c r="D2959" s="39">
        <f t="shared" si="93"/>
        <v>9363997.9264072943</v>
      </c>
    </row>
    <row r="2960" spans="2:4" x14ac:dyDescent="0.25">
      <c r="B2960" s="90">
        <v>2956</v>
      </c>
      <c r="C2960" s="39">
        <f t="shared" si="92"/>
        <v>9627168.7328015361</v>
      </c>
      <c r="D2960" s="39">
        <f t="shared" si="93"/>
        <v>9367166.7920338288</v>
      </c>
    </row>
    <row r="2961" spans="2:4" x14ac:dyDescent="0.25">
      <c r="B2961" s="90">
        <v>2957</v>
      </c>
      <c r="C2961" s="39">
        <f t="shared" si="92"/>
        <v>9629831.6450927407</v>
      </c>
      <c r="D2961" s="39">
        <f t="shared" si="93"/>
        <v>9370335.6576603614</v>
      </c>
    </row>
    <row r="2962" spans="2:4" x14ac:dyDescent="0.25">
      <c r="B2962" s="90">
        <v>2958</v>
      </c>
      <c r="C2962" s="39">
        <f t="shared" si="92"/>
        <v>9632494.5573839452</v>
      </c>
      <c r="D2962" s="39">
        <f t="shared" si="93"/>
        <v>9373504.5232868958</v>
      </c>
    </row>
    <row r="2963" spans="2:4" x14ac:dyDescent="0.25">
      <c r="B2963" s="90">
        <v>2959</v>
      </c>
      <c r="C2963" s="39">
        <f t="shared" si="92"/>
        <v>9635157.4696751498</v>
      </c>
      <c r="D2963" s="39">
        <f t="shared" si="93"/>
        <v>9376673.3889134284</v>
      </c>
    </row>
    <row r="2964" spans="2:4" x14ac:dyDescent="0.25">
      <c r="B2964" s="90">
        <v>2960</v>
      </c>
      <c r="C2964" s="39">
        <f t="shared" si="92"/>
        <v>9637820.3819663562</v>
      </c>
      <c r="D2964" s="39">
        <f t="shared" si="93"/>
        <v>9379842.2545399629</v>
      </c>
    </row>
    <row r="2965" spans="2:4" x14ac:dyDescent="0.25">
      <c r="B2965" s="90">
        <v>2961</v>
      </c>
      <c r="C2965" s="39">
        <f t="shared" si="92"/>
        <v>9640483.2942575589</v>
      </c>
      <c r="D2965" s="39">
        <f t="shared" si="93"/>
        <v>9383011.1201664973</v>
      </c>
    </row>
    <row r="2966" spans="2:4" x14ac:dyDescent="0.25">
      <c r="B2966" s="90">
        <v>2962</v>
      </c>
      <c r="C2966" s="39">
        <f t="shared" si="92"/>
        <v>9643146.2065487653</v>
      </c>
      <c r="D2966" s="39">
        <f t="shared" si="93"/>
        <v>9386179.9857930299</v>
      </c>
    </row>
    <row r="2967" spans="2:4" x14ac:dyDescent="0.25">
      <c r="B2967" s="90">
        <v>2963</v>
      </c>
      <c r="C2967" s="39">
        <f t="shared" si="92"/>
        <v>9645809.1188399699</v>
      </c>
      <c r="D2967" s="39">
        <f t="shared" si="93"/>
        <v>9389348.8514195643</v>
      </c>
    </row>
    <row r="2968" spans="2:4" x14ac:dyDescent="0.25">
      <c r="B2968" s="90">
        <v>2964</v>
      </c>
      <c r="C2968" s="39">
        <f t="shared" si="92"/>
        <v>9648472.0311311744</v>
      </c>
      <c r="D2968" s="39">
        <f t="shared" si="93"/>
        <v>9392517.7170460988</v>
      </c>
    </row>
    <row r="2969" spans="2:4" x14ac:dyDescent="0.25">
      <c r="B2969" s="90">
        <v>2965</v>
      </c>
      <c r="C2969" s="39">
        <f t="shared" si="92"/>
        <v>9651134.943422379</v>
      </c>
      <c r="D2969" s="39">
        <f t="shared" si="93"/>
        <v>9395686.5826726314</v>
      </c>
    </row>
    <row r="2970" spans="2:4" x14ac:dyDescent="0.25">
      <c r="B2970" s="90">
        <v>2966</v>
      </c>
      <c r="C2970" s="39">
        <f t="shared" si="92"/>
        <v>9653797.8557135835</v>
      </c>
      <c r="D2970" s="39">
        <f t="shared" si="93"/>
        <v>9398855.4482991658</v>
      </c>
    </row>
    <row r="2971" spans="2:4" x14ac:dyDescent="0.25">
      <c r="B2971" s="90">
        <v>2967</v>
      </c>
      <c r="C2971" s="39">
        <f t="shared" si="92"/>
        <v>9656460.7680047899</v>
      </c>
      <c r="D2971" s="39">
        <f t="shared" si="93"/>
        <v>9402024.3139257003</v>
      </c>
    </row>
    <row r="2972" spans="2:4" x14ac:dyDescent="0.25">
      <c r="B2972" s="90">
        <v>2968</v>
      </c>
      <c r="C2972" s="39">
        <f t="shared" si="92"/>
        <v>9659123.6802959926</v>
      </c>
      <c r="D2972" s="39">
        <f t="shared" si="93"/>
        <v>9405193.1795522328</v>
      </c>
    </row>
    <row r="2973" spans="2:4" x14ac:dyDescent="0.25">
      <c r="B2973" s="90">
        <v>2969</v>
      </c>
      <c r="C2973" s="39">
        <f t="shared" si="92"/>
        <v>9661786.5925871991</v>
      </c>
      <c r="D2973" s="39">
        <f t="shared" si="93"/>
        <v>9408362.0451787673</v>
      </c>
    </row>
    <row r="2974" spans="2:4" x14ac:dyDescent="0.25">
      <c r="B2974" s="90">
        <v>2970</v>
      </c>
      <c r="C2974" s="39">
        <f t="shared" si="92"/>
        <v>9664449.5048784036</v>
      </c>
      <c r="D2974" s="39">
        <f t="shared" si="93"/>
        <v>9411530.9108053017</v>
      </c>
    </row>
    <row r="2975" spans="2:4" x14ac:dyDescent="0.25">
      <c r="B2975" s="90">
        <v>2971</v>
      </c>
      <c r="C2975" s="39">
        <f t="shared" si="92"/>
        <v>9667112.4171696082</v>
      </c>
      <c r="D2975" s="39">
        <f t="shared" si="93"/>
        <v>9414699.7764318343</v>
      </c>
    </row>
    <row r="2976" spans="2:4" x14ac:dyDescent="0.25">
      <c r="B2976" s="90">
        <v>2972</v>
      </c>
      <c r="C2976" s="39">
        <f t="shared" si="92"/>
        <v>9669775.3294608146</v>
      </c>
      <c r="D2976" s="39">
        <f t="shared" si="93"/>
        <v>9417868.6420583688</v>
      </c>
    </row>
    <row r="2977" spans="2:4" x14ac:dyDescent="0.25">
      <c r="B2977" s="90">
        <v>2973</v>
      </c>
      <c r="C2977" s="39">
        <f t="shared" si="92"/>
        <v>9672438.2417520173</v>
      </c>
      <c r="D2977" s="39">
        <f t="shared" si="93"/>
        <v>9421037.5076849014</v>
      </c>
    </row>
    <row r="2978" spans="2:4" x14ac:dyDescent="0.25">
      <c r="B2978" s="90">
        <v>2974</v>
      </c>
      <c r="C2978" s="39">
        <f t="shared" si="92"/>
        <v>9675101.1540432237</v>
      </c>
      <c r="D2978" s="39">
        <f t="shared" si="93"/>
        <v>9424206.3733114358</v>
      </c>
    </row>
    <row r="2979" spans="2:4" x14ac:dyDescent="0.25">
      <c r="B2979" s="90">
        <v>2975</v>
      </c>
      <c r="C2979" s="39">
        <f t="shared" si="92"/>
        <v>9677764.0663344264</v>
      </c>
      <c r="D2979" s="39">
        <f t="shared" si="93"/>
        <v>9427375.2389379703</v>
      </c>
    </row>
    <row r="2980" spans="2:4" x14ac:dyDescent="0.25">
      <c r="B2980" s="90">
        <v>2976</v>
      </c>
      <c r="C2980" s="39">
        <f t="shared" si="92"/>
        <v>9680426.9786256328</v>
      </c>
      <c r="D2980" s="39">
        <f t="shared" si="93"/>
        <v>9430544.1045645028</v>
      </c>
    </row>
    <row r="2981" spans="2:4" x14ac:dyDescent="0.25">
      <c r="B2981" s="90">
        <v>2977</v>
      </c>
      <c r="C2981" s="39">
        <f t="shared" si="92"/>
        <v>9683089.8909168374</v>
      </c>
      <c r="D2981" s="39">
        <f t="shared" si="93"/>
        <v>9433712.9701910373</v>
      </c>
    </row>
    <row r="2982" spans="2:4" x14ac:dyDescent="0.25">
      <c r="B2982" s="90">
        <v>2978</v>
      </c>
      <c r="C2982" s="39">
        <f t="shared" si="92"/>
        <v>9685752.8032080419</v>
      </c>
      <c r="D2982" s="39">
        <f t="shared" si="93"/>
        <v>9436881.8358175717</v>
      </c>
    </row>
    <row r="2983" spans="2:4" x14ac:dyDescent="0.25">
      <c r="B2983" s="90">
        <v>2979</v>
      </c>
      <c r="C2983" s="39">
        <f t="shared" si="92"/>
        <v>9688415.7154992484</v>
      </c>
      <c r="D2983" s="39">
        <f t="shared" si="93"/>
        <v>9440050.7014441043</v>
      </c>
    </row>
    <row r="2984" spans="2:4" x14ac:dyDescent="0.25">
      <c r="B2984" s="90">
        <v>2980</v>
      </c>
      <c r="C2984" s="39">
        <f t="shared" si="92"/>
        <v>9691078.627790451</v>
      </c>
      <c r="D2984" s="39">
        <f t="shared" si="93"/>
        <v>9443219.5670706388</v>
      </c>
    </row>
    <row r="2985" spans="2:4" x14ac:dyDescent="0.25">
      <c r="B2985" s="90">
        <v>2981</v>
      </c>
      <c r="C2985" s="39">
        <f t="shared" si="92"/>
        <v>9693741.5400816575</v>
      </c>
      <c r="D2985" s="39">
        <f t="shared" si="93"/>
        <v>9446388.4326971732</v>
      </c>
    </row>
    <row r="2986" spans="2:4" x14ac:dyDescent="0.25">
      <c r="B2986" s="90">
        <v>2982</v>
      </c>
      <c r="C2986" s="39">
        <f t="shared" si="92"/>
        <v>9696404.452372862</v>
      </c>
      <c r="D2986" s="39">
        <f t="shared" si="93"/>
        <v>9449557.2983237058</v>
      </c>
    </row>
    <row r="2987" spans="2:4" x14ac:dyDescent="0.25">
      <c r="B2987" s="90">
        <v>2983</v>
      </c>
      <c r="C2987" s="39">
        <f t="shared" si="92"/>
        <v>9699067.3646640666</v>
      </c>
      <c r="D2987" s="39">
        <f t="shared" si="93"/>
        <v>9452726.1639502402</v>
      </c>
    </row>
    <row r="2988" spans="2:4" x14ac:dyDescent="0.25">
      <c r="B2988" s="90">
        <v>2984</v>
      </c>
      <c r="C2988" s="39">
        <f t="shared" si="92"/>
        <v>9701730.2769552711</v>
      </c>
      <c r="D2988" s="39">
        <f t="shared" si="93"/>
        <v>9455895.0295767728</v>
      </c>
    </row>
    <row r="2989" spans="2:4" x14ac:dyDescent="0.25">
      <c r="B2989" s="90">
        <v>2985</v>
      </c>
      <c r="C2989" s="39">
        <f t="shared" si="92"/>
        <v>9704393.1892464757</v>
      </c>
      <c r="D2989" s="39">
        <f t="shared" si="93"/>
        <v>9459063.8952033073</v>
      </c>
    </row>
    <row r="2990" spans="2:4" x14ac:dyDescent="0.25">
      <c r="B2990" s="90">
        <v>2986</v>
      </c>
      <c r="C2990" s="39">
        <f t="shared" si="92"/>
        <v>9707056.1015376821</v>
      </c>
      <c r="D2990" s="39">
        <f t="shared" si="93"/>
        <v>9462232.7608298417</v>
      </c>
    </row>
    <row r="2991" spans="2:4" x14ac:dyDescent="0.25">
      <c r="B2991" s="90">
        <v>2987</v>
      </c>
      <c r="C2991" s="39">
        <f t="shared" si="92"/>
        <v>9709719.0138288848</v>
      </c>
      <c r="D2991" s="39">
        <f t="shared" si="93"/>
        <v>9465401.6264563743</v>
      </c>
    </row>
    <row r="2992" spans="2:4" x14ac:dyDescent="0.25">
      <c r="B2992" s="90">
        <v>2988</v>
      </c>
      <c r="C2992" s="39">
        <f t="shared" si="92"/>
        <v>9712381.9261200912</v>
      </c>
      <c r="D2992" s="39">
        <f t="shared" si="93"/>
        <v>9468570.4920829087</v>
      </c>
    </row>
    <row r="2993" spans="2:4" x14ac:dyDescent="0.25">
      <c r="B2993" s="90">
        <v>2989</v>
      </c>
      <c r="C2993" s="39">
        <f t="shared" ref="C2993:C3056" si="94">($C$2*B2993)+$C$1</f>
        <v>9715044.8384112958</v>
      </c>
      <c r="D2993" s="39">
        <f t="shared" ref="D2993:D3056" si="95">$D$2*B2993</f>
        <v>9471739.3577094432</v>
      </c>
    </row>
    <row r="2994" spans="2:4" x14ac:dyDescent="0.25">
      <c r="B2994" s="90">
        <v>2990</v>
      </c>
      <c r="C2994" s="39">
        <f t="shared" si="94"/>
        <v>9717707.7507025003</v>
      </c>
      <c r="D2994" s="39">
        <f t="shared" si="95"/>
        <v>9474908.2233359758</v>
      </c>
    </row>
    <row r="2995" spans="2:4" x14ac:dyDescent="0.25">
      <c r="B2995" s="90">
        <v>2991</v>
      </c>
      <c r="C2995" s="39">
        <f t="shared" si="94"/>
        <v>9720370.6629937068</v>
      </c>
      <c r="D2995" s="39">
        <f t="shared" si="95"/>
        <v>9478077.0889625102</v>
      </c>
    </row>
    <row r="2996" spans="2:4" x14ac:dyDescent="0.25">
      <c r="B2996" s="90">
        <v>2992</v>
      </c>
      <c r="C2996" s="39">
        <f t="shared" si="94"/>
        <v>9723033.5752849095</v>
      </c>
      <c r="D2996" s="39">
        <f t="shared" si="95"/>
        <v>9481245.9545890447</v>
      </c>
    </row>
    <row r="2997" spans="2:4" x14ac:dyDescent="0.25">
      <c r="B2997" s="90">
        <v>2993</v>
      </c>
      <c r="C2997" s="39">
        <f t="shared" si="94"/>
        <v>9725696.4875761159</v>
      </c>
      <c r="D2997" s="39">
        <f t="shared" si="95"/>
        <v>9484414.8202155773</v>
      </c>
    </row>
    <row r="2998" spans="2:4" x14ac:dyDescent="0.25">
      <c r="B2998" s="90">
        <v>2994</v>
      </c>
      <c r="C2998" s="39">
        <f t="shared" si="94"/>
        <v>9728359.3998673186</v>
      </c>
      <c r="D2998" s="39">
        <f t="shared" si="95"/>
        <v>9487583.6858421117</v>
      </c>
    </row>
    <row r="2999" spans="2:4" x14ac:dyDescent="0.25">
      <c r="B2999" s="90">
        <v>2995</v>
      </c>
      <c r="C2999" s="39">
        <f t="shared" si="94"/>
        <v>9731022.312158525</v>
      </c>
      <c r="D2999" s="39">
        <f t="shared" si="95"/>
        <v>9490752.5514686443</v>
      </c>
    </row>
    <row r="3000" spans="2:4" x14ac:dyDescent="0.25">
      <c r="B3000" s="90">
        <v>2996</v>
      </c>
      <c r="C3000" s="39">
        <f t="shared" si="94"/>
        <v>9733685.2244497295</v>
      </c>
      <c r="D3000" s="39">
        <f t="shared" si="95"/>
        <v>9493921.4170951787</v>
      </c>
    </row>
    <row r="3001" spans="2:4" x14ac:dyDescent="0.25">
      <c r="B3001" s="90">
        <v>2997</v>
      </c>
      <c r="C3001" s="39">
        <f t="shared" si="94"/>
        <v>9736348.1367409341</v>
      </c>
      <c r="D3001" s="39">
        <f t="shared" si="95"/>
        <v>9497090.2827217132</v>
      </c>
    </row>
    <row r="3002" spans="2:4" x14ac:dyDescent="0.25">
      <c r="B3002" s="90">
        <v>2998</v>
      </c>
      <c r="C3002" s="39">
        <f t="shared" si="94"/>
        <v>9739011.0490321405</v>
      </c>
      <c r="D3002" s="39">
        <f t="shared" si="95"/>
        <v>9500259.1483482458</v>
      </c>
    </row>
    <row r="3003" spans="2:4" x14ac:dyDescent="0.25">
      <c r="B3003" s="90">
        <v>2999</v>
      </c>
      <c r="C3003" s="39">
        <f t="shared" si="94"/>
        <v>9741673.9613233432</v>
      </c>
      <c r="D3003" s="39">
        <f t="shared" si="95"/>
        <v>9503428.0139747802</v>
      </c>
    </row>
    <row r="3004" spans="2:4" x14ac:dyDescent="0.25">
      <c r="B3004" s="90">
        <v>3000</v>
      </c>
      <c r="C3004" s="39">
        <f t="shared" si="94"/>
        <v>9744336.8736145496</v>
      </c>
      <c r="D3004" s="39">
        <f t="shared" si="95"/>
        <v>9506596.8796013147</v>
      </c>
    </row>
    <row r="3005" spans="2:4" x14ac:dyDescent="0.25">
      <c r="B3005" s="90">
        <v>3001</v>
      </c>
      <c r="C3005" s="39">
        <f t="shared" si="94"/>
        <v>9746999.7859057542</v>
      </c>
      <c r="D3005" s="39">
        <f t="shared" si="95"/>
        <v>9509765.7452278472</v>
      </c>
    </row>
    <row r="3006" spans="2:4" x14ac:dyDescent="0.25">
      <c r="B3006" s="90">
        <v>3002</v>
      </c>
      <c r="C3006" s="39">
        <f t="shared" si="94"/>
        <v>9749662.6981969588</v>
      </c>
      <c r="D3006" s="39">
        <f t="shared" si="95"/>
        <v>9512934.6108543817</v>
      </c>
    </row>
    <row r="3007" spans="2:4" x14ac:dyDescent="0.25">
      <c r="B3007" s="90">
        <v>3003</v>
      </c>
      <c r="C3007" s="39">
        <f t="shared" si="94"/>
        <v>9752325.6104881633</v>
      </c>
      <c r="D3007" s="39">
        <f t="shared" si="95"/>
        <v>9516103.4764809161</v>
      </c>
    </row>
    <row r="3008" spans="2:4" x14ac:dyDescent="0.25">
      <c r="B3008" s="90">
        <v>3004</v>
      </c>
      <c r="C3008" s="39">
        <f t="shared" si="94"/>
        <v>9754988.5227793679</v>
      </c>
      <c r="D3008" s="39">
        <f t="shared" si="95"/>
        <v>9519272.3421074487</v>
      </c>
    </row>
    <row r="3009" spans="2:4" x14ac:dyDescent="0.25">
      <c r="B3009" s="90">
        <v>3005</v>
      </c>
      <c r="C3009" s="39">
        <f t="shared" si="94"/>
        <v>9757651.4350705743</v>
      </c>
      <c r="D3009" s="39">
        <f t="shared" si="95"/>
        <v>9522441.2077339832</v>
      </c>
    </row>
    <row r="3010" spans="2:4" x14ac:dyDescent="0.25">
      <c r="B3010" s="90">
        <v>3006</v>
      </c>
      <c r="C3010" s="39">
        <f t="shared" si="94"/>
        <v>9760314.347361777</v>
      </c>
      <c r="D3010" s="39">
        <f t="shared" si="95"/>
        <v>9525610.0733605158</v>
      </c>
    </row>
    <row r="3011" spans="2:4" x14ac:dyDescent="0.25">
      <c r="B3011" s="90">
        <v>3007</v>
      </c>
      <c r="C3011" s="39">
        <f t="shared" si="94"/>
        <v>9762977.2596529834</v>
      </c>
      <c r="D3011" s="39">
        <f t="shared" si="95"/>
        <v>9528778.9389870502</v>
      </c>
    </row>
    <row r="3012" spans="2:4" x14ac:dyDescent="0.25">
      <c r="B3012" s="90">
        <v>3008</v>
      </c>
      <c r="C3012" s="39">
        <f t="shared" si="94"/>
        <v>9765640.171944188</v>
      </c>
      <c r="D3012" s="39">
        <f t="shared" si="95"/>
        <v>9531947.8046135847</v>
      </c>
    </row>
    <row r="3013" spans="2:4" x14ac:dyDescent="0.25">
      <c r="B3013" s="90">
        <v>3009</v>
      </c>
      <c r="C3013" s="39">
        <f t="shared" si="94"/>
        <v>9768303.0842353925</v>
      </c>
      <c r="D3013" s="39">
        <f t="shared" si="95"/>
        <v>9535116.6702401172</v>
      </c>
    </row>
    <row r="3014" spans="2:4" x14ac:dyDescent="0.25">
      <c r="B3014" s="90">
        <v>3010</v>
      </c>
      <c r="C3014" s="39">
        <f t="shared" si="94"/>
        <v>9770965.9965265989</v>
      </c>
      <c r="D3014" s="39">
        <f t="shared" si="95"/>
        <v>9538285.5358666517</v>
      </c>
    </row>
    <row r="3015" spans="2:4" x14ac:dyDescent="0.25">
      <c r="B3015" s="90">
        <v>3011</v>
      </c>
      <c r="C3015" s="39">
        <f t="shared" si="94"/>
        <v>9773628.9088178016</v>
      </c>
      <c r="D3015" s="39">
        <f t="shared" si="95"/>
        <v>9541454.4014931861</v>
      </c>
    </row>
    <row r="3016" spans="2:4" x14ac:dyDescent="0.25">
      <c r="B3016" s="90">
        <v>3012</v>
      </c>
      <c r="C3016" s="39">
        <f t="shared" si="94"/>
        <v>9776291.821109008</v>
      </c>
      <c r="D3016" s="39">
        <f t="shared" si="95"/>
        <v>9544623.2671197187</v>
      </c>
    </row>
    <row r="3017" spans="2:4" x14ac:dyDescent="0.25">
      <c r="B3017" s="90">
        <v>3013</v>
      </c>
      <c r="C3017" s="39">
        <f t="shared" si="94"/>
        <v>9778954.7334002107</v>
      </c>
      <c r="D3017" s="39">
        <f t="shared" si="95"/>
        <v>9547792.1327462532</v>
      </c>
    </row>
    <row r="3018" spans="2:4" x14ac:dyDescent="0.25">
      <c r="B3018" s="90">
        <v>3014</v>
      </c>
      <c r="C3018" s="39">
        <f t="shared" si="94"/>
        <v>9781617.6456914172</v>
      </c>
      <c r="D3018" s="39">
        <f t="shared" si="95"/>
        <v>9550960.9983727876</v>
      </c>
    </row>
    <row r="3019" spans="2:4" x14ac:dyDescent="0.25">
      <c r="B3019" s="90">
        <v>3015</v>
      </c>
      <c r="C3019" s="39">
        <f t="shared" si="94"/>
        <v>9784280.5579826217</v>
      </c>
      <c r="D3019" s="39">
        <f t="shared" si="95"/>
        <v>9554129.8639993202</v>
      </c>
    </row>
    <row r="3020" spans="2:4" x14ac:dyDescent="0.25">
      <c r="B3020" s="90">
        <v>3016</v>
      </c>
      <c r="C3020" s="39">
        <f t="shared" si="94"/>
        <v>9786943.4702738263</v>
      </c>
      <c r="D3020" s="39">
        <f t="shared" si="95"/>
        <v>9557298.7296258546</v>
      </c>
    </row>
    <row r="3021" spans="2:4" x14ac:dyDescent="0.25">
      <c r="B3021" s="90">
        <v>3017</v>
      </c>
      <c r="C3021" s="39">
        <f t="shared" si="94"/>
        <v>9789606.3825650327</v>
      </c>
      <c r="D3021" s="39">
        <f t="shared" si="95"/>
        <v>9560467.5952523872</v>
      </c>
    </row>
    <row r="3022" spans="2:4" x14ac:dyDescent="0.25">
      <c r="B3022" s="90">
        <v>3018</v>
      </c>
      <c r="C3022" s="39">
        <f t="shared" si="94"/>
        <v>9792269.2948562354</v>
      </c>
      <c r="D3022" s="39">
        <f t="shared" si="95"/>
        <v>9563636.4608789217</v>
      </c>
    </row>
    <row r="3023" spans="2:4" x14ac:dyDescent="0.25">
      <c r="B3023" s="90">
        <v>3019</v>
      </c>
      <c r="C3023" s="39">
        <f t="shared" si="94"/>
        <v>9794932.2071474418</v>
      </c>
      <c r="D3023" s="39">
        <f t="shared" si="95"/>
        <v>9566805.3265054561</v>
      </c>
    </row>
    <row r="3024" spans="2:4" x14ac:dyDescent="0.25">
      <c r="B3024" s="90">
        <v>3020</v>
      </c>
      <c r="C3024" s="39">
        <f t="shared" si="94"/>
        <v>9797595.1194386464</v>
      </c>
      <c r="D3024" s="39">
        <f t="shared" si="95"/>
        <v>9569974.1921319887</v>
      </c>
    </row>
    <row r="3025" spans="2:4" x14ac:dyDescent="0.25">
      <c r="B3025" s="90">
        <v>3021</v>
      </c>
      <c r="C3025" s="39">
        <f t="shared" si="94"/>
        <v>9800258.0317298509</v>
      </c>
      <c r="D3025" s="39">
        <f t="shared" si="95"/>
        <v>9573143.0577585232</v>
      </c>
    </row>
    <row r="3026" spans="2:4" x14ac:dyDescent="0.25">
      <c r="B3026" s="90">
        <v>3022</v>
      </c>
      <c r="C3026" s="39">
        <f t="shared" si="94"/>
        <v>9802920.9440210555</v>
      </c>
      <c r="D3026" s="39">
        <f t="shared" si="95"/>
        <v>9576311.9233850576</v>
      </c>
    </row>
    <row r="3027" spans="2:4" x14ac:dyDescent="0.25">
      <c r="B3027" s="90">
        <v>3023</v>
      </c>
      <c r="C3027" s="39">
        <f t="shared" si="94"/>
        <v>9805583.85631226</v>
      </c>
      <c r="D3027" s="39">
        <f t="shared" si="95"/>
        <v>9579480.7890115902</v>
      </c>
    </row>
    <row r="3028" spans="2:4" x14ac:dyDescent="0.25">
      <c r="B3028" s="90">
        <v>3024</v>
      </c>
      <c r="C3028" s="39">
        <f t="shared" si="94"/>
        <v>9808246.7686034665</v>
      </c>
      <c r="D3028" s="39">
        <f t="shared" si="95"/>
        <v>9582649.6546381246</v>
      </c>
    </row>
    <row r="3029" spans="2:4" x14ac:dyDescent="0.25">
      <c r="B3029" s="90">
        <v>3025</v>
      </c>
      <c r="C3029" s="39">
        <f t="shared" si="94"/>
        <v>9810909.6808946691</v>
      </c>
      <c r="D3029" s="39">
        <f t="shared" si="95"/>
        <v>9585818.5202646591</v>
      </c>
    </row>
    <row r="3030" spans="2:4" x14ac:dyDescent="0.25">
      <c r="B3030" s="90">
        <v>3026</v>
      </c>
      <c r="C3030" s="39">
        <f t="shared" si="94"/>
        <v>9813572.5931858756</v>
      </c>
      <c r="D3030" s="39">
        <f t="shared" si="95"/>
        <v>9588987.3858911917</v>
      </c>
    </row>
    <row r="3031" spans="2:4" x14ac:dyDescent="0.25">
      <c r="B3031" s="90">
        <v>3027</v>
      </c>
      <c r="C3031" s="39">
        <f t="shared" si="94"/>
        <v>9816235.5054770801</v>
      </c>
      <c r="D3031" s="39">
        <f t="shared" si="95"/>
        <v>9592156.2515177261</v>
      </c>
    </row>
    <row r="3032" spans="2:4" x14ac:dyDescent="0.25">
      <c r="B3032" s="90">
        <v>3028</v>
      </c>
      <c r="C3032" s="39">
        <f t="shared" si="94"/>
        <v>9818898.4177682847</v>
      </c>
      <c r="D3032" s="39">
        <f t="shared" si="95"/>
        <v>9595325.1171442587</v>
      </c>
    </row>
    <row r="3033" spans="2:4" x14ac:dyDescent="0.25">
      <c r="B3033" s="90">
        <v>3029</v>
      </c>
      <c r="C3033" s="39">
        <f t="shared" si="94"/>
        <v>9821561.3300594892</v>
      </c>
      <c r="D3033" s="39">
        <f t="shared" si="95"/>
        <v>9598493.9827707931</v>
      </c>
    </row>
    <row r="3034" spans="2:4" x14ac:dyDescent="0.25">
      <c r="B3034" s="90">
        <v>3030</v>
      </c>
      <c r="C3034" s="39">
        <f t="shared" si="94"/>
        <v>9824224.2423506938</v>
      </c>
      <c r="D3034" s="39">
        <f t="shared" si="95"/>
        <v>9601662.8483973276</v>
      </c>
    </row>
    <row r="3035" spans="2:4" x14ac:dyDescent="0.25">
      <c r="B3035" s="90">
        <v>3031</v>
      </c>
      <c r="C3035" s="39">
        <f t="shared" si="94"/>
        <v>9826887.1546419002</v>
      </c>
      <c r="D3035" s="39">
        <f t="shared" si="95"/>
        <v>9604831.7140238602</v>
      </c>
    </row>
    <row r="3036" spans="2:4" x14ac:dyDescent="0.25">
      <c r="B3036" s="90">
        <v>3032</v>
      </c>
      <c r="C3036" s="39">
        <f t="shared" si="94"/>
        <v>9829550.0669331029</v>
      </c>
      <c r="D3036" s="39">
        <f t="shared" si="95"/>
        <v>9608000.5796503946</v>
      </c>
    </row>
    <row r="3037" spans="2:4" x14ac:dyDescent="0.25">
      <c r="B3037" s="90">
        <v>3033</v>
      </c>
      <c r="C3037" s="39">
        <f t="shared" si="94"/>
        <v>9832212.9792243093</v>
      </c>
      <c r="D3037" s="39">
        <f t="shared" si="95"/>
        <v>9611169.4452769291</v>
      </c>
    </row>
    <row r="3038" spans="2:4" x14ac:dyDescent="0.25">
      <c r="B3038" s="90">
        <v>3034</v>
      </c>
      <c r="C3038" s="39">
        <f t="shared" si="94"/>
        <v>9834875.8915155139</v>
      </c>
      <c r="D3038" s="39">
        <f t="shared" si="95"/>
        <v>9614338.3109034617</v>
      </c>
    </row>
    <row r="3039" spans="2:4" x14ac:dyDescent="0.25">
      <c r="B3039" s="90">
        <v>3035</v>
      </c>
      <c r="C3039" s="39">
        <f t="shared" si="94"/>
        <v>9837538.8038067184</v>
      </c>
      <c r="D3039" s="39">
        <f t="shared" si="95"/>
        <v>9617507.1765299961</v>
      </c>
    </row>
    <row r="3040" spans="2:4" x14ac:dyDescent="0.25">
      <c r="B3040" s="90">
        <v>3036</v>
      </c>
      <c r="C3040" s="39">
        <f t="shared" si="94"/>
        <v>9840201.7160979249</v>
      </c>
      <c r="D3040" s="39">
        <f t="shared" si="95"/>
        <v>9620676.0421565305</v>
      </c>
    </row>
    <row r="3041" spans="2:4" x14ac:dyDescent="0.25">
      <c r="B3041" s="90">
        <v>3037</v>
      </c>
      <c r="C3041" s="39">
        <f t="shared" si="94"/>
        <v>9842864.6283891276</v>
      </c>
      <c r="D3041" s="39">
        <f t="shared" si="95"/>
        <v>9623844.9077830631</v>
      </c>
    </row>
    <row r="3042" spans="2:4" x14ac:dyDescent="0.25">
      <c r="B3042" s="90">
        <v>3038</v>
      </c>
      <c r="C3042" s="39">
        <f t="shared" si="94"/>
        <v>9845527.540680334</v>
      </c>
      <c r="D3042" s="39">
        <f t="shared" si="95"/>
        <v>9627013.7734095976</v>
      </c>
    </row>
    <row r="3043" spans="2:4" x14ac:dyDescent="0.25">
      <c r="B3043" s="90">
        <v>3039</v>
      </c>
      <c r="C3043" s="39">
        <f t="shared" si="94"/>
        <v>9848190.4529715385</v>
      </c>
      <c r="D3043" s="39">
        <f t="shared" si="95"/>
        <v>9630182.6390361302</v>
      </c>
    </row>
    <row r="3044" spans="2:4" x14ac:dyDescent="0.25">
      <c r="B3044" s="90">
        <v>3040</v>
      </c>
      <c r="C3044" s="39">
        <f t="shared" si="94"/>
        <v>9850853.3652627431</v>
      </c>
      <c r="D3044" s="39">
        <f t="shared" si="95"/>
        <v>9633351.5046626646</v>
      </c>
    </row>
    <row r="3045" spans="2:4" x14ac:dyDescent="0.25">
      <c r="B3045" s="90">
        <v>3041</v>
      </c>
      <c r="C3045" s="39">
        <f t="shared" si="94"/>
        <v>9853516.2775539476</v>
      </c>
      <c r="D3045" s="39">
        <f t="shared" si="95"/>
        <v>9636520.3702891991</v>
      </c>
    </row>
    <row r="3046" spans="2:4" x14ac:dyDescent="0.25">
      <c r="B3046" s="90">
        <v>3042</v>
      </c>
      <c r="C3046" s="39">
        <f t="shared" si="94"/>
        <v>9856179.1898451522</v>
      </c>
      <c r="D3046" s="39">
        <f t="shared" si="95"/>
        <v>9639689.2359157316</v>
      </c>
    </row>
    <row r="3047" spans="2:4" x14ac:dyDescent="0.25">
      <c r="B3047" s="90">
        <v>3043</v>
      </c>
      <c r="C3047" s="39">
        <f t="shared" si="94"/>
        <v>9858842.1021363586</v>
      </c>
      <c r="D3047" s="39">
        <f t="shared" si="95"/>
        <v>9642858.1015422661</v>
      </c>
    </row>
    <row r="3048" spans="2:4" x14ac:dyDescent="0.25">
      <c r="B3048" s="90">
        <v>3044</v>
      </c>
      <c r="C3048" s="39">
        <f t="shared" si="94"/>
        <v>9861505.0144275613</v>
      </c>
      <c r="D3048" s="39">
        <f t="shared" si="95"/>
        <v>9646026.9671688005</v>
      </c>
    </row>
    <row r="3049" spans="2:4" x14ac:dyDescent="0.25">
      <c r="B3049" s="90">
        <v>3045</v>
      </c>
      <c r="C3049" s="39">
        <f t="shared" si="94"/>
        <v>9864167.9267187677</v>
      </c>
      <c r="D3049" s="39">
        <f t="shared" si="95"/>
        <v>9649195.8327953331</v>
      </c>
    </row>
    <row r="3050" spans="2:4" x14ac:dyDescent="0.25">
      <c r="B3050" s="90">
        <v>3046</v>
      </c>
      <c r="C3050" s="39">
        <f t="shared" si="94"/>
        <v>9866830.8390099723</v>
      </c>
      <c r="D3050" s="39">
        <f t="shared" si="95"/>
        <v>9652364.6984218676</v>
      </c>
    </row>
    <row r="3051" spans="2:4" x14ac:dyDescent="0.25">
      <c r="B3051" s="90">
        <v>3047</v>
      </c>
      <c r="C3051" s="39">
        <f t="shared" si="94"/>
        <v>9869493.7513011768</v>
      </c>
      <c r="D3051" s="39">
        <f t="shared" si="95"/>
        <v>9655533.564048402</v>
      </c>
    </row>
    <row r="3052" spans="2:4" x14ac:dyDescent="0.25">
      <c r="B3052" s="90">
        <v>3048</v>
      </c>
      <c r="C3052" s="39">
        <f t="shared" si="94"/>
        <v>9872156.6635923814</v>
      </c>
      <c r="D3052" s="39">
        <f t="shared" si="95"/>
        <v>9658702.4296749346</v>
      </c>
    </row>
    <row r="3053" spans="2:4" x14ac:dyDescent="0.25">
      <c r="B3053" s="90">
        <v>3049</v>
      </c>
      <c r="C3053" s="39">
        <f t="shared" si="94"/>
        <v>9874819.575883586</v>
      </c>
      <c r="D3053" s="39">
        <f t="shared" si="95"/>
        <v>9661871.295301469</v>
      </c>
    </row>
    <row r="3054" spans="2:4" x14ac:dyDescent="0.25">
      <c r="B3054" s="90">
        <v>3050</v>
      </c>
      <c r="C3054" s="39">
        <f t="shared" si="94"/>
        <v>9877482.4881747924</v>
      </c>
      <c r="D3054" s="39">
        <f t="shared" si="95"/>
        <v>9665040.1609280016</v>
      </c>
    </row>
    <row r="3055" spans="2:4" x14ac:dyDescent="0.25">
      <c r="B3055" s="90">
        <v>3051</v>
      </c>
      <c r="C3055" s="39">
        <f t="shared" si="94"/>
        <v>9880145.4004659951</v>
      </c>
      <c r="D3055" s="39">
        <f t="shared" si="95"/>
        <v>9668209.0265545361</v>
      </c>
    </row>
    <row r="3056" spans="2:4" x14ac:dyDescent="0.25">
      <c r="B3056" s="90">
        <v>3052</v>
      </c>
      <c r="C3056" s="39">
        <f t="shared" si="94"/>
        <v>9882808.3127572015</v>
      </c>
      <c r="D3056" s="39">
        <f t="shared" si="95"/>
        <v>9671377.8921810705</v>
      </c>
    </row>
    <row r="3057" spans="2:4" x14ac:dyDescent="0.25">
      <c r="B3057" s="90">
        <v>3053</v>
      </c>
      <c r="C3057" s="39">
        <f t="shared" ref="C3057:C3120" si="96">($C$2*B3057)+$C$1</f>
        <v>9885471.225048406</v>
      </c>
      <c r="D3057" s="39">
        <f t="shared" ref="D3057:D3120" si="97">$D$2*B3057</f>
        <v>9674546.7578076031</v>
      </c>
    </row>
    <row r="3058" spans="2:4" x14ac:dyDescent="0.25">
      <c r="B3058" s="90">
        <v>3054</v>
      </c>
      <c r="C3058" s="39">
        <f t="shared" si="96"/>
        <v>9888134.1373396106</v>
      </c>
      <c r="D3058" s="39">
        <f t="shared" si="97"/>
        <v>9677715.6234341376</v>
      </c>
    </row>
    <row r="3059" spans="2:4" x14ac:dyDescent="0.25">
      <c r="B3059" s="90">
        <v>3055</v>
      </c>
      <c r="C3059" s="39">
        <f t="shared" si="96"/>
        <v>9890797.049630817</v>
      </c>
      <c r="D3059" s="39">
        <f t="shared" si="97"/>
        <v>9680884.489060672</v>
      </c>
    </row>
    <row r="3060" spans="2:4" x14ac:dyDescent="0.25">
      <c r="B3060" s="90">
        <v>3056</v>
      </c>
      <c r="C3060" s="39">
        <f t="shared" si="96"/>
        <v>9893459.9619220197</v>
      </c>
      <c r="D3060" s="39">
        <f t="shared" si="97"/>
        <v>9684053.3546872046</v>
      </c>
    </row>
    <row r="3061" spans="2:4" x14ac:dyDescent="0.25">
      <c r="B3061" s="90">
        <v>3057</v>
      </c>
      <c r="C3061" s="39">
        <f t="shared" si="96"/>
        <v>9896122.8742132261</v>
      </c>
      <c r="D3061" s="39">
        <f t="shared" si="97"/>
        <v>9687222.220313739</v>
      </c>
    </row>
    <row r="3062" spans="2:4" x14ac:dyDescent="0.25">
      <c r="B3062" s="90">
        <v>3058</v>
      </c>
      <c r="C3062" s="39">
        <f t="shared" si="96"/>
        <v>9898785.7865044307</v>
      </c>
      <c r="D3062" s="39">
        <f t="shared" si="97"/>
        <v>9690391.0859402735</v>
      </c>
    </row>
    <row r="3063" spans="2:4" x14ac:dyDescent="0.25">
      <c r="B3063" s="90">
        <v>3059</v>
      </c>
      <c r="C3063" s="39">
        <f t="shared" si="96"/>
        <v>9901448.6987956353</v>
      </c>
      <c r="D3063" s="39">
        <f t="shared" si="97"/>
        <v>9693559.9515668061</v>
      </c>
    </row>
    <row r="3064" spans="2:4" x14ac:dyDescent="0.25">
      <c r="B3064" s="90">
        <v>3060</v>
      </c>
      <c r="C3064" s="39">
        <f t="shared" si="96"/>
        <v>9904111.6110868398</v>
      </c>
      <c r="D3064" s="39">
        <f t="shared" si="97"/>
        <v>9696728.8171933405</v>
      </c>
    </row>
    <row r="3065" spans="2:4" x14ac:dyDescent="0.25">
      <c r="B3065" s="90">
        <v>3061</v>
      </c>
      <c r="C3065" s="39">
        <f t="shared" si="96"/>
        <v>9906774.5233780444</v>
      </c>
      <c r="D3065" s="39">
        <f t="shared" si="97"/>
        <v>9699897.6828198731</v>
      </c>
    </row>
    <row r="3066" spans="2:4" x14ac:dyDescent="0.25">
      <c r="B3066" s="90">
        <v>3062</v>
      </c>
      <c r="C3066" s="39">
        <f t="shared" si="96"/>
        <v>9909437.4356692508</v>
      </c>
      <c r="D3066" s="39">
        <f t="shared" si="97"/>
        <v>9703066.5484464075</v>
      </c>
    </row>
    <row r="3067" spans="2:4" x14ac:dyDescent="0.25">
      <c r="B3067" s="90">
        <v>3063</v>
      </c>
      <c r="C3067" s="39">
        <f t="shared" si="96"/>
        <v>9912100.3479604535</v>
      </c>
      <c r="D3067" s="39">
        <f t="shared" si="97"/>
        <v>9706235.414072942</v>
      </c>
    </row>
    <row r="3068" spans="2:4" x14ac:dyDescent="0.25">
      <c r="B3068" s="90">
        <v>3064</v>
      </c>
      <c r="C3068" s="39">
        <f t="shared" si="96"/>
        <v>9914763.2602516599</v>
      </c>
      <c r="D3068" s="39">
        <f t="shared" si="97"/>
        <v>9709404.2796994746</v>
      </c>
    </row>
    <row r="3069" spans="2:4" x14ac:dyDescent="0.25">
      <c r="B3069" s="90">
        <v>3065</v>
      </c>
      <c r="C3069" s="39">
        <f t="shared" si="96"/>
        <v>9917426.1725428645</v>
      </c>
      <c r="D3069" s="39">
        <f t="shared" si="97"/>
        <v>9712573.145326009</v>
      </c>
    </row>
    <row r="3070" spans="2:4" x14ac:dyDescent="0.25">
      <c r="B3070" s="90">
        <v>3066</v>
      </c>
      <c r="C3070" s="39">
        <f t="shared" si="96"/>
        <v>9920089.084834069</v>
      </c>
      <c r="D3070" s="39">
        <f t="shared" si="97"/>
        <v>9715742.0109525435</v>
      </c>
    </row>
    <row r="3071" spans="2:4" x14ac:dyDescent="0.25">
      <c r="B3071" s="90">
        <v>3067</v>
      </c>
      <c r="C3071" s="39">
        <f t="shared" si="96"/>
        <v>9922751.9971252736</v>
      </c>
      <c r="D3071" s="39">
        <f t="shared" si="97"/>
        <v>9718910.8765790761</v>
      </c>
    </row>
    <row r="3072" spans="2:4" x14ac:dyDescent="0.25">
      <c r="B3072" s="90">
        <v>3068</v>
      </c>
      <c r="C3072" s="39">
        <f t="shared" si="96"/>
        <v>9925414.9094164781</v>
      </c>
      <c r="D3072" s="39">
        <f t="shared" si="97"/>
        <v>9722079.7422056105</v>
      </c>
    </row>
    <row r="3073" spans="2:4" x14ac:dyDescent="0.25">
      <c r="B3073" s="90">
        <v>3069</v>
      </c>
      <c r="C3073" s="39">
        <f t="shared" si="96"/>
        <v>9928077.8217076845</v>
      </c>
      <c r="D3073" s="39">
        <f t="shared" si="97"/>
        <v>9725248.6078321449</v>
      </c>
    </row>
    <row r="3074" spans="2:4" x14ac:dyDescent="0.25">
      <c r="B3074" s="90">
        <v>3070</v>
      </c>
      <c r="C3074" s="39">
        <f t="shared" si="96"/>
        <v>9930740.7339988872</v>
      </c>
      <c r="D3074" s="39">
        <f t="shared" si="97"/>
        <v>9728417.4734586775</v>
      </c>
    </row>
    <row r="3075" spans="2:4" x14ac:dyDescent="0.25">
      <c r="B3075" s="90">
        <v>3071</v>
      </c>
      <c r="C3075" s="39">
        <f t="shared" si="96"/>
        <v>9933403.6462900937</v>
      </c>
      <c r="D3075" s="39">
        <f t="shared" si="97"/>
        <v>9731586.339085212</v>
      </c>
    </row>
    <row r="3076" spans="2:4" x14ac:dyDescent="0.25">
      <c r="B3076" s="90">
        <v>3072</v>
      </c>
      <c r="C3076" s="39">
        <f t="shared" si="96"/>
        <v>9936066.5585812982</v>
      </c>
      <c r="D3076" s="39">
        <f t="shared" si="97"/>
        <v>9734755.2047117464</v>
      </c>
    </row>
    <row r="3077" spans="2:4" x14ac:dyDescent="0.25">
      <c r="B3077" s="90">
        <v>3073</v>
      </c>
      <c r="C3077" s="39">
        <f t="shared" si="96"/>
        <v>9938729.4708725028</v>
      </c>
      <c r="D3077" s="39">
        <f t="shared" si="97"/>
        <v>9737924.070338279</v>
      </c>
    </row>
    <row r="3078" spans="2:4" x14ac:dyDescent="0.25">
      <c r="B3078" s="90">
        <v>3074</v>
      </c>
      <c r="C3078" s="39">
        <f t="shared" si="96"/>
        <v>9941392.3831637092</v>
      </c>
      <c r="D3078" s="39">
        <f t="shared" si="97"/>
        <v>9741092.9359648135</v>
      </c>
    </row>
    <row r="3079" spans="2:4" x14ac:dyDescent="0.25">
      <c r="B3079" s="90">
        <v>3075</v>
      </c>
      <c r="C3079" s="39">
        <f t="shared" si="96"/>
        <v>9944055.2954549119</v>
      </c>
      <c r="D3079" s="39">
        <f t="shared" si="97"/>
        <v>9744261.801591346</v>
      </c>
    </row>
    <row r="3080" spans="2:4" x14ac:dyDescent="0.25">
      <c r="B3080" s="90">
        <v>3076</v>
      </c>
      <c r="C3080" s="39">
        <f t="shared" si="96"/>
        <v>9946718.2077461183</v>
      </c>
      <c r="D3080" s="39">
        <f t="shared" si="97"/>
        <v>9747430.6672178805</v>
      </c>
    </row>
    <row r="3081" spans="2:4" x14ac:dyDescent="0.25">
      <c r="B3081" s="90">
        <v>3077</v>
      </c>
      <c r="C3081" s="39">
        <f t="shared" si="96"/>
        <v>9949381.1200373229</v>
      </c>
      <c r="D3081" s="39">
        <f t="shared" si="97"/>
        <v>9750599.5328444149</v>
      </c>
    </row>
    <row r="3082" spans="2:4" x14ac:dyDescent="0.25">
      <c r="B3082" s="90">
        <v>3078</v>
      </c>
      <c r="C3082" s="39">
        <f t="shared" si="96"/>
        <v>9952044.0323285274</v>
      </c>
      <c r="D3082" s="39">
        <f t="shared" si="97"/>
        <v>9753768.3984709475</v>
      </c>
    </row>
    <row r="3083" spans="2:4" x14ac:dyDescent="0.25">
      <c r="B3083" s="90">
        <v>3079</v>
      </c>
      <c r="C3083" s="39">
        <f t="shared" si="96"/>
        <v>9954706.944619732</v>
      </c>
      <c r="D3083" s="39">
        <f t="shared" si="97"/>
        <v>9756937.264097482</v>
      </c>
    </row>
    <row r="3084" spans="2:4" x14ac:dyDescent="0.25">
      <c r="B3084" s="90">
        <v>3080</v>
      </c>
      <c r="C3084" s="39">
        <f t="shared" si="96"/>
        <v>9957369.8569109365</v>
      </c>
      <c r="D3084" s="39">
        <f t="shared" si="97"/>
        <v>9760106.1297240164</v>
      </c>
    </row>
    <row r="3085" spans="2:4" x14ac:dyDescent="0.25">
      <c r="B3085" s="90">
        <v>3081</v>
      </c>
      <c r="C3085" s="39">
        <f t="shared" si="96"/>
        <v>9960032.769202143</v>
      </c>
      <c r="D3085" s="39">
        <f t="shared" si="97"/>
        <v>9763274.995350549</v>
      </c>
    </row>
    <row r="3086" spans="2:4" x14ac:dyDescent="0.25">
      <c r="B3086" s="90">
        <v>3082</v>
      </c>
      <c r="C3086" s="39">
        <f t="shared" si="96"/>
        <v>9962695.6814933456</v>
      </c>
      <c r="D3086" s="39">
        <f t="shared" si="97"/>
        <v>9766443.8609770834</v>
      </c>
    </row>
    <row r="3087" spans="2:4" x14ac:dyDescent="0.25">
      <c r="B3087" s="90">
        <v>3083</v>
      </c>
      <c r="C3087" s="39">
        <f t="shared" si="96"/>
        <v>9965358.5937845521</v>
      </c>
      <c r="D3087" s="39">
        <f t="shared" si="97"/>
        <v>9769612.7266036179</v>
      </c>
    </row>
    <row r="3088" spans="2:4" x14ac:dyDescent="0.25">
      <c r="B3088" s="90">
        <v>3084</v>
      </c>
      <c r="C3088" s="39">
        <f t="shared" si="96"/>
        <v>9968021.5060757566</v>
      </c>
      <c r="D3088" s="39">
        <f t="shared" si="97"/>
        <v>9772781.5922301505</v>
      </c>
    </row>
    <row r="3089" spans="2:4" x14ac:dyDescent="0.25">
      <c r="B3089" s="90">
        <v>3085</v>
      </c>
      <c r="C3089" s="39">
        <f t="shared" si="96"/>
        <v>9970684.4183669612</v>
      </c>
      <c r="D3089" s="39">
        <f t="shared" si="97"/>
        <v>9775950.4578566849</v>
      </c>
    </row>
    <row r="3090" spans="2:4" x14ac:dyDescent="0.25">
      <c r="B3090" s="90">
        <v>3086</v>
      </c>
      <c r="C3090" s="39">
        <f t="shared" si="96"/>
        <v>9973347.3306581657</v>
      </c>
      <c r="D3090" s="39">
        <f t="shared" si="97"/>
        <v>9779119.3234832175</v>
      </c>
    </row>
    <row r="3091" spans="2:4" x14ac:dyDescent="0.25">
      <c r="B3091" s="90">
        <v>3087</v>
      </c>
      <c r="C3091" s="39">
        <f t="shared" si="96"/>
        <v>9976010.2429493703</v>
      </c>
      <c r="D3091" s="39">
        <f t="shared" si="97"/>
        <v>9782288.189109752</v>
      </c>
    </row>
    <row r="3092" spans="2:4" x14ac:dyDescent="0.25">
      <c r="B3092" s="90">
        <v>3088</v>
      </c>
      <c r="C3092" s="39">
        <f t="shared" si="96"/>
        <v>9978673.1552405767</v>
      </c>
      <c r="D3092" s="39">
        <f t="shared" si="97"/>
        <v>9785457.0547362864</v>
      </c>
    </row>
    <row r="3093" spans="2:4" x14ac:dyDescent="0.25">
      <c r="B3093" s="90">
        <v>3089</v>
      </c>
      <c r="C3093" s="39">
        <f t="shared" si="96"/>
        <v>9981336.0675317794</v>
      </c>
      <c r="D3093" s="39">
        <f t="shared" si="97"/>
        <v>9788625.920362819</v>
      </c>
    </row>
    <row r="3094" spans="2:4" x14ac:dyDescent="0.25">
      <c r="B3094" s="90">
        <v>3090</v>
      </c>
      <c r="C3094" s="39">
        <f t="shared" si="96"/>
        <v>9983998.9798229858</v>
      </c>
      <c r="D3094" s="39">
        <f t="shared" si="97"/>
        <v>9791794.7859893534</v>
      </c>
    </row>
    <row r="3095" spans="2:4" x14ac:dyDescent="0.25">
      <c r="B3095" s="90">
        <v>3091</v>
      </c>
      <c r="C3095" s="39">
        <f t="shared" si="96"/>
        <v>9986661.8921141904</v>
      </c>
      <c r="D3095" s="39">
        <f t="shared" si="97"/>
        <v>9794963.6516158879</v>
      </c>
    </row>
    <row r="3096" spans="2:4" x14ac:dyDescent="0.25">
      <c r="B3096" s="90">
        <v>3092</v>
      </c>
      <c r="C3096" s="39">
        <f t="shared" si="96"/>
        <v>9989324.8044053949</v>
      </c>
      <c r="D3096" s="39">
        <f t="shared" si="97"/>
        <v>9798132.5172424205</v>
      </c>
    </row>
    <row r="3097" spans="2:4" x14ac:dyDescent="0.25">
      <c r="B3097" s="90">
        <v>3093</v>
      </c>
      <c r="C3097" s="39">
        <f t="shared" si="96"/>
        <v>9991987.7166966014</v>
      </c>
      <c r="D3097" s="39">
        <f t="shared" si="97"/>
        <v>9801301.3828689549</v>
      </c>
    </row>
    <row r="3098" spans="2:4" x14ac:dyDescent="0.25">
      <c r="B3098" s="90">
        <v>3094</v>
      </c>
      <c r="C3098" s="39">
        <f t="shared" si="96"/>
        <v>9994650.6289878041</v>
      </c>
      <c r="D3098" s="39">
        <f t="shared" si="97"/>
        <v>9804470.2484954894</v>
      </c>
    </row>
    <row r="3099" spans="2:4" x14ac:dyDescent="0.25">
      <c r="B3099" s="90">
        <v>3095</v>
      </c>
      <c r="C3099" s="39">
        <f t="shared" si="96"/>
        <v>9997313.5412790105</v>
      </c>
      <c r="D3099" s="39">
        <f t="shared" si="97"/>
        <v>9807639.1141220219</v>
      </c>
    </row>
    <row r="3100" spans="2:4" x14ac:dyDescent="0.25">
      <c r="B3100" s="90">
        <v>3096</v>
      </c>
      <c r="C3100" s="39">
        <f t="shared" si="96"/>
        <v>9999976.453570215</v>
      </c>
      <c r="D3100" s="39">
        <f t="shared" si="97"/>
        <v>9810807.9797485564</v>
      </c>
    </row>
    <row r="3101" spans="2:4" x14ac:dyDescent="0.25">
      <c r="B3101" s="90">
        <v>3097</v>
      </c>
      <c r="C3101" s="39">
        <f t="shared" si="96"/>
        <v>10002639.36586142</v>
      </c>
      <c r="D3101" s="39">
        <f t="shared" si="97"/>
        <v>9813976.845375089</v>
      </c>
    </row>
    <row r="3102" spans="2:4" x14ac:dyDescent="0.25">
      <c r="B3102" s="90">
        <v>3098</v>
      </c>
      <c r="C3102" s="39">
        <f t="shared" si="96"/>
        <v>10005302.278152624</v>
      </c>
      <c r="D3102" s="39">
        <f t="shared" si="97"/>
        <v>9817145.7110016234</v>
      </c>
    </row>
    <row r="3103" spans="2:4" x14ac:dyDescent="0.25">
      <c r="B3103" s="90">
        <v>3099</v>
      </c>
      <c r="C3103" s="39">
        <f t="shared" si="96"/>
        <v>10007965.190443829</v>
      </c>
      <c r="D3103" s="39">
        <f t="shared" si="97"/>
        <v>9820314.5766281579</v>
      </c>
    </row>
    <row r="3104" spans="2:4" x14ac:dyDescent="0.25">
      <c r="B3104" s="90">
        <v>3100</v>
      </c>
      <c r="C3104" s="39">
        <f t="shared" si="96"/>
        <v>10010628.102735035</v>
      </c>
      <c r="D3104" s="39">
        <f t="shared" si="97"/>
        <v>9823483.4422546905</v>
      </c>
    </row>
    <row r="3105" spans="2:4" x14ac:dyDescent="0.25">
      <c r="B3105" s="90">
        <v>3101</v>
      </c>
      <c r="C3105" s="39">
        <f t="shared" si="96"/>
        <v>10013291.015026238</v>
      </c>
      <c r="D3105" s="39">
        <f t="shared" si="97"/>
        <v>9826652.3078812249</v>
      </c>
    </row>
    <row r="3106" spans="2:4" x14ac:dyDescent="0.25">
      <c r="B3106" s="90">
        <v>3102</v>
      </c>
      <c r="C3106" s="39">
        <f t="shared" si="96"/>
        <v>10015953.927317444</v>
      </c>
      <c r="D3106" s="39">
        <f t="shared" si="97"/>
        <v>9829821.1735077593</v>
      </c>
    </row>
    <row r="3107" spans="2:4" x14ac:dyDescent="0.25">
      <c r="B3107" s="90">
        <v>3103</v>
      </c>
      <c r="C3107" s="39">
        <f t="shared" si="96"/>
        <v>10018616.839608649</v>
      </c>
      <c r="D3107" s="39">
        <f t="shared" si="97"/>
        <v>9832990.0391342919</v>
      </c>
    </row>
    <row r="3108" spans="2:4" x14ac:dyDescent="0.25">
      <c r="B3108" s="90">
        <v>3104</v>
      </c>
      <c r="C3108" s="39">
        <f t="shared" si="96"/>
        <v>10021279.751899853</v>
      </c>
      <c r="D3108" s="39">
        <f t="shared" si="97"/>
        <v>9836158.9047608264</v>
      </c>
    </row>
    <row r="3109" spans="2:4" x14ac:dyDescent="0.25">
      <c r="B3109" s="90">
        <v>3105</v>
      </c>
      <c r="C3109" s="39">
        <f t="shared" si="96"/>
        <v>10023942.664191058</v>
      </c>
      <c r="D3109" s="39">
        <f t="shared" si="97"/>
        <v>9839327.7703873608</v>
      </c>
    </row>
    <row r="3110" spans="2:4" x14ac:dyDescent="0.25">
      <c r="B3110" s="90">
        <v>3106</v>
      </c>
      <c r="C3110" s="39">
        <f t="shared" si="96"/>
        <v>10026605.576482262</v>
      </c>
      <c r="D3110" s="39">
        <f t="shared" si="97"/>
        <v>9842496.6360138934</v>
      </c>
    </row>
    <row r="3111" spans="2:4" x14ac:dyDescent="0.25">
      <c r="B3111" s="90">
        <v>3107</v>
      </c>
      <c r="C3111" s="39">
        <f t="shared" si="96"/>
        <v>10029268.488773469</v>
      </c>
      <c r="D3111" s="39">
        <f t="shared" si="97"/>
        <v>9845665.5016404279</v>
      </c>
    </row>
    <row r="3112" spans="2:4" x14ac:dyDescent="0.25">
      <c r="B3112" s="90">
        <v>3108</v>
      </c>
      <c r="C3112" s="39">
        <f t="shared" si="96"/>
        <v>10031931.401064672</v>
      </c>
      <c r="D3112" s="39">
        <f t="shared" si="97"/>
        <v>9848834.3672669604</v>
      </c>
    </row>
    <row r="3113" spans="2:4" x14ac:dyDescent="0.25">
      <c r="B3113" s="90">
        <v>3109</v>
      </c>
      <c r="C3113" s="39">
        <f t="shared" si="96"/>
        <v>10034594.313355878</v>
      </c>
      <c r="D3113" s="39">
        <f t="shared" si="97"/>
        <v>9852003.2328934949</v>
      </c>
    </row>
    <row r="3114" spans="2:4" x14ac:dyDescent="0.25">
      <c r="B3114" s="90">
        <v>3110</v>
      </c>
      <c r="C3114" s="39">
        <f t="shared" si="96"/>
        <v>10037257.225647083</v>
      </c>
      <c r="D3114" s="39">
        <f t="shared" si="97"/>
        <v>9855172.0985200293</v>
      </c>
    </row>
    <row r="3115" spans="2:4" x14ac:dyDescent="0.25">
      <c r="B3115" s="90">
        <v>3111</v>
      </c>
      <c r="C3115" s="39">
        <f t="shared" si="96"/>
        <v>10039920.137938287</v>
      </c>
      <c r="D3115" s="39">
        <f t="shared" si="97"/>
        <v>9858340.9641465619</v>
      </c>
    </row>
    <row r="3116" spans="2:4" x14ac:dyDescent="0.25">
      <c r="B3116" s="90">
        <v>3112</v>
      </c>
      <c r="C3116" s="39">
        <f t="shared" si="96"/>
        <v>10042583.050229494</v>
      </c>
      <c r="D3116" s="39">
        <f t="shared" si="97"/>
        <v>9861509.8297730964</v>
      </c>
    </row>
    <row r="3117" spans="2:4" x14ac:dyDescent="0.25">
      <c r="B3117" s="90">
        <v>3113</v>
      </c>
      <c r="C3117" s="39">
        <f t="shared" si="96"/>
        <v>10045245.962520696</v>
      </c>
      <c r="D3117" s="39">
        <f t="shared" si="97"/>
        <v>9864678.6953996308</v>
      </c>
    </row>
    <row r="3118" spans="2:4" x14ac:dyDescent="0.25">
      <c r="B3118" s="90">
        <v>3114</v>
      </c>
      <c r="C3118" s="39">
        <f t="shared" si="96"/>
        <v>10047908.874811903</v>
      </c>
      <c r="D3118" s="39">
        <f t="shared" si="97"/>
        <v>9867847.5610261634</v>
      </c>
    </row>
    <row r="3119" spans="2:4" x14ac:dyDescent="0.25">
      <c r="B3119" s="90">
        <v>3115</v>
      </c>
      <c r="C3119" s="39">
        <f t="shared" si="96"/>
        <v>10050571.787103107</v>
      </c>
      <c r="D3119" s="39">
        <f t="shared" si="97"/>
        <v>9871016.4266526978</v>
      </c>
    </row>
    <row r="3120" spans="2:4" x14ac:dyDescent="0.25">
      <c r="B3120" s="90">
        <v>3116</v>
      </c>
      <c r="C3120" s="39">
        <f t="shared" si="96"/>
        <v>10053234.699394312</v>
      </c>
      <c r="D3120" s="39">
        <f t="shared" si="97"/>
        <v>9874185.2922792323</v>
      </c>
    </row>
    <row r="3121" spans="2:4" x14ac:dyDescent="0.25">
      <c r="B3121" s="90">
        <v>3117</v>
      </c>
      <c r="C3121" s="39">
        <f t="shared" ref="C3121:C3184" si="98">($C$2*B3121)+$C$1</f>
        <v>10055897.611685516</v>
      </c>
      <c r="D3121" s="39">
        <f t="shared" ref="D3121:D3184" si="99">$D$2*B3121</f>
        <v>9877354.1579057649</v>
      </c>
    </row>
    <row r="3122" spans="2:4" x14ac:dyDescent="0.25">
      <c r="B3122" s="90">
        <v>3118</v>
      </c>
      <c r="C3122" s="39">
        <f t="shared" si="98"/>
        <v>10058560.523976721</v>
      </c>
      <c r="D3122" s="39">
        <f t="shared" si="99"/>
        <v>9880523.0235322993</v>
      </c>
    </row>
    <row r="3123" spans="2:4" x14ac:dyDescent="0.25">
      <c r="B3123" s="90">
        <v>3119</v>
      </c>
      <c r="C3123" s="39">
        <f t="shared" si="98"/>
        <v>10061223.436267927</v>
      </c>
      <c r="D3123" s="39">
        <f t="shared" si="99"/>
        <v>9883691.8891588319</v>
      </c>
    </row>
    <row r="3124" spans="2:4" x14ac:dyDescent="0.25">
      <c r="B3124" s="90">
        <v>3120</v>
      </c>
      <c r="C3124" s="39">
        <f t="shared" si="98"/>
        <v>10063886.34855913</v>
      </c>
      <c r="D3124" s="39">
        <f t="shared" si="99"/>
        <v>9886860.7547853664</v>
      </c>
    </row>
    <row r="3125" spans="2:4" x14ac:dyDescent="0.25">
      <c r="B3125" s="90">
        <v>3121</v>
      </c>
      <c r="C3125" s="39">
        <f t="shared" si="98"/>
        <v>10066549.260850336</v>
      </c>
      <c r="D3125" s="39">
        <f t="shared" si="99"/>
        <v>9890029.6204119008</v>
      </c>
    </row>
    <row r="3126" spans="2:4" x14ac:dyDescent="0.25">
      <c r="B3126" s="90">
        <v>3122</v>
      </c>
      <c r="C3126" s="39">
        <f t="shared" si="98"/>
        <v>10069212.173141541</v>
      </c>
      <c r="D3126" s="39">
        <f t="shared" si="99"/>
        <v>9893198.4860384334</v>
      </c>
    </row>
    <row r="3127" spans="2:4" x14ac:dyDescent="0.25">
      <c r="B3127" s="90">
        <v>3123</v>
      </c>
      <c r="C3127" s="39">
        <f t="shared" si="98"/>
        <v>10071875.085432746</v>
      </c>
      <c r="D3127" s="39">
        <f t="shared" si="99"/>
        <v>9896367.3516649678</v>
      </c>
    </row>
    <row r="3128" spans="2:4" x14ac:dyDescent="0.25">
      <c r="B3128" s="90">
        <v>3124</v>
      </c>
      <c r="C3128" s="39">
        <f t="shared" si="98"/>
        <v>10074537.99772395</v>
      </c>
      <c r="D3128" s="39">
        <f t="shared" si="99"/>
        <v>9899536.2172915023</v>
      </c>
    </row>
    <row r="3129" spans="2:4" x14ac:dyDescent="0.25">
      <c r="B3129" s="90">
        <v>3125</v>
      </c>
      <c r="C3129" s="39">
        <f t="shared" si="98"/>
        <v>10077200.910015155</v>
      </c>
      <c r="D3129" s="39">
        <f t="shared" si="99"/>
        <v>9902705.0829180349</v>
      </c>
    </row>
    <row r="3130" spans="2:4" x14ac:dyDescent="0.25">
      <c r="B3130" s="90">
        <v>3126</v>
      </c>
      <c r="C3130" s="39">
        <f t="shared" si="98"/>
        <v>10079863.822306361</v>
      </c>
      <c r="D3130" s="39">
        <f t="shared" si="99"/>
        <v>9905873.9485445693</v>
      </c>
    </row>
    <row r="3131" spans="2:4" x14ac:dyDescent="0.25">
      <c r="B3131" s="90">
        <v>3127</v>
      </c>
      <c r="C3131" s="39">
        <f t="shared" si="98"/>
        <v>10082526.734597564</v>
      </c>
      <c r="D3131" s="39">
        <f t="shared" si="99"/>
        <v>9909042.8141711038</v>
      </c>
    </row>
    <row r="3132" spans="2:4" x14ac:dyDescent="0.25">
      <c r="B3132" s="90">
        <v>3128</v>
      </c>
      <c r="C3132" s="39">
        <f t="shared" si="98"/>
        <v>10085189.64688877</v>
      </c>
      <c r="D3132" s="39">
        <f t="shared" si="99"/>
        <v>9912211.6797976363</v>
      </c>
    </row>
    <row r="3133" spans="2:4" x14ac:dyDescent="0.25">
      <c r="B3133" s="90">
        <v>3129</v>
      </c>
      <c r="C3133" s="39">
        <f t="shared" si="98"/>
        <v>10087852.559179975</v>
      </c>
      <c r="D3133" s="39">
        <f t="shared" si="99"/>
        <v>9915380.5454241708</v>
      </c>
    </row>
    <row r="3134" spans="2:4" x14ac:dyDescent="0.25">
      <c r="B3134" s="90">
        <v>3130</v>
      </c>
      <c r="C3134" s="39">
        <f t="shared" si="98"/>
        <v>10090515.471471179</v>
      </c>
      <c r="D3134" s="39">
        <f t="shared" si="99"/>
        <v>9918549.4110507034</v>
      </c>
    </row>
    <row r="3135" spans="2:4" x14ac:dyDescent="0.25">
      <c r="B3135" s="90">
        <v>3131</v>
      </c>
      <c r="C3135" s="39">
        <f t="shared" si="98"/>
        <v>10093178.383762386</v>
      </c>
      <c r="D3135" s="39">
        <f t="shared" si="99"/>
        <v>9921718.2766772378</v>
      </c>
    </row>
    <row r="3136" spans="2:4" x14ac:dyDescent="0.25">
      <c r="B3136" s="90">
        <v>3132</v>
      </c>
      <c r="C3136" s="39">
        <f t="shared" si="98"/>
        <v>10095841.296053588</v>
      </c>
      <c r="D3136" s="39">
        <f t="shared" si="99"/>
        <v>9924887.1423037723</v>
      </c>
    </row>
    <row r="3137" spans="2:4" x14ac:dyDescent="0.25">
      <c r="B3137" s="90">
        <v>3133</v>
      </c>
      <c r="C3137" s="39">
        <f t="shared" si="98"/>
        <v>10098504.208344795</v>
      </c>
      <c r="D3137" s="39">
        <f t="shared" si="99"/>
        <v>9928056.0079303049</v>
      </c>
    </row>
    <row r="3138" spans="2:4" x14ac:dyDescent="0.25">
      <c r="B3138" s="90">
        <v>3134</v>
      </c>
      <c r="C3138" s="39">
        <f t="shared" si="98"/>
        <v>10101167.120635998</v>
      </c>
      <c r="D3138" s="39">
        <f t="shared" si="99"/>
        <v>9931224.8735568393</v>
      </c>
    </row>
    <row r="3139" spans="2:4" x14ac:dyDescent="0.25">
      <c r="B3139" s="90">
        <v>3135</v>
      </c>
      <c r="C3139" s="39">
        <f t="shared" si="98"/>
        <v>10103830.032927204</v>
      </c>
      <c r="D3139" s="39">
        <f t="shared" si="99"/>
        <v>9934393.7391833737</v>
      </c>
    </row>
    <row r="3140" spans="2:4" x14ac:dyDescent="0.25">
      <c r="B3140" s="90">
        <v>3136</v>
      </c>
      <c r="C3140" s="39">
        <f t="shared" si="98"/>
        <v>10106492.945218408</v>
      </c>
      <c r="D3140" s="39">
        <f t="shared" si="99"/>
        <v>9937562.6048099063</v>
      </c>
    </row>
    <row r="3141" spans="2:4" x14ac:dyDescent="0.25">
      <c r="B3141" s="90">
        <v>3137</v>
      </c>
      <c r="C3141" s="39">
        <f t="shared" si="98"/>
        <v>10109155.857509613</v>
      </c>
      <c r="D3141" s="39">
        <f t="shared" si="99"/>
        <v>9940731.4704364408</v>
      </c>
    </row>
    <row r="3142" spans="2:4" x14ac:dyDescent="0.25">
      <c r="B3142" s="90">
        <v>3138</v>
      </c>
      <c r="C3142" s="39">
        <f t="shared" si="98"/>
        <v>10111818.769800819</v>
      </c>
      <c r="D3142" s="39">
        <f t="shared" si="99"/>
        <v>9943900.3360629752</v>
      </c>
    </row>
    <row r="3143" spans="2:4" x14ac:dyDescent="0.25">
      <c r="B3143" s="90">
        <v>3139</v>
      </c>
      <c r="C3143" s="39">
        <f t="shared" si="98"/>
        <v>10114481.682092022</v>
      </c>
      <c r="D3143" s="39">
        <f t="shared" si="99"/>
        <v>9947069.2016895078</v>
      </c>
    </row>
    <row r="3144" spans="2:4" x14ac:dyDescent="0.25">
      <c r="B3144" s="90">
        <v>3140</v>
      </c>
      <c r="C3144" s="39">
        <f t="shared" si="98"/>
        <v>10117144.594383229</v>
      </c>
      <c r="D3144" s="39">
        <f t="shared" si="99"/>
        <v>9950238.0673160423</v>
      </c>
    </row>
    <row r="3145" spans="2:4" x14ac:dyDescent="0.25">
      <c r="B3145" s="90">
        <v>3141</v>
      </c>
      <c r="C3145" s="39">
        <f t="shared" si="98"/>
        <v>10119807.506674433</v>
      </c>
      <c r="D3145" s="39">
        <f t="shared" si="99"/>
        <v>9953406.9329425748</v>
      </c>
    </row>
    <row r="3146" spans="2:4" x14ac:dyDescent="0.25">
      <c r="B3146" s="90">
        <v>3142</v>
      </c>
      <c r="C3146" s="39">
        <f t="shared" si="98"/>
        <v>10122470.418965638</v>
      </c>
      <c r="D3146" s="39">
        <f t="shared" si="99"/>
        <v>9956575.7985691093</v>
      </c>
    </row>
    <row r="3147" spans="2:4" x14ac:dyDescent="0.25">
      <c r="B3147" s="90">
        <v>3143</v>
      </c>
      <c r="C3147" s="39">
        <f t="shared" si="98"/>
        <v>10125133.331256842</v>
      </c>
      <c r="D3147" s="39">
        <f t="shared" si="99"/>
        <v>9959744.6641956437</v>
      </c>
    </row>
    <row r="3148" spans="2:4" x14ac:dyDescent="0.25">
      <c r="B3148" s="90">
        <v>3144</v>
      </c>
      <c r="C3148" s="39">
        <f t="shared" si="98"/>
        <v>10127796.243548047</v>
      </c>
      <c r="D3148" s="39">
        <f t="shared" si="99"/>
        <v>9962913.5298221763</v>
      </c>
    </row>
    <row r="3149" spans="2:4" x14ac:dyDescent="0.25">
      <c r="B3149" s="90">
        <v>3145</v>
      </c>
      <c r="C3149" s="39">
        <f t="shared" si="98"/>
        <v>10130459.155839253</v>
      </c>
      <c r="D3149" s="39">
        <f t="shared" si="99"/>
        <v>9966082.3954487108</v>
      </c>
    </row>
    <row r="3150" spans="2:4" x14ac:dyDescent="0.25">
      <c r="B3150" s="90">
        <v>3146</v>
      </c>
      <c r="C3150" s="39">
        <f t="shared" si="98"/>
        <v>10133122.068130456</v>
      </c>
      <c r="D3150" s="39">
        <f t="shared" si="99"/>
        <v>9969251.2610752452</v>
      </c>
    </row>
    <row r="3151" spans="2:4" x14ac:dyDescent="0.25">
      <c r="B3151" s="90">
        <v>3147</v>
      </c>
      <c r="C3151" s="39">
        <f t="shared" si="98"/>
        <v>10135784.980421662</v>
      </c>
      <c r="D3151" s="39">
        <f t="shared" si="99"/>
        <v>9972420.1267017778</v>
      </c>
    </row>
    <row r="3152" spans="2:4" x14ac:dyDescent="0.25">
      <c r="B3152" s="90">
        <v>3148</v>
      </c>
      <c r="C3152" s="39">
        <f t="shared" si="98"/>
        <v>10138447.892712867</v>
      </c>
      <c r="D3152" s="39">
        <f t="shared" si="99"/>
        <v>9975588.9923283122</v>
      </c>
    </row>
    <row r="3153" spans="2:4" x14ac:dyDescent="0.25">
      <c r="B3153" s="90">
        <v>3149</v>
      </c>
      <c r="C3153" s="39">
        <f t="shared" si="98"/>
        <v>10141110.805004071</v>
      </c>
      <c r="D3153" s="39">
        <f t="shared" si="99"/>
        <v>9978757.8579548467</v>
      </c>
    </row>
    <row r="3154" spans="2:4" x14ac:dyDescent="0.25">
      <c r="B3154" s="90">
        <v>3150</v>
      </c>
      <c r="C3154" s="39">
        <f t="shared" si="98"/>
        <v>10143773.717295278</v>
      </c>
      <c r="D3154" s="39">
        <f t="shared" si="99"/>
        <v>9981926.7235813793</v>
      </c>
    </row>
    <row r="3155" spans="2:4" x14ac:dyDescent="0.25">
      <c r="B3155" s="90">
        <v>3151</v>
      </c>
      <c r="C3155" s="39">
        <f t="shared" si="98"/>
        <v>10146436.629586481</v>
      </c>
      <c r="D3155" s="39">
        <f t="shared" si="99"/>
        <v>9985095.5892079137</v>
      </c>
    </row>
    <row r="3156" spans="2:4" x14ac:dyDescent="0.25">
      <c r="B3156" s="90">
        <v>3152</v>
      </c>
      <c r="C3156" s="39">
        <f t="shared" si="98"/>
        <v>10149099.541877687</v>
      </c>
      <c r="D3156" s="39">
        <f t="shared" si="99"/>
        <v>9988264.4548344463</v>
      </c>
    </row>
    <row r="3157" spans="2:4" x14ac:dyDescent="0.25">
      <c r="B3157" s="90">
        <v>3153</v>
      </c>
      <c r="C3157" s="39">
        <f t="shared" si="98"/>
        <v>10151762.454168892</v>
      </c>
      <c r="D3157" s="39">
        <f t="shared" si="99"/>
        <v>9991433.3204609808</v>
      </c>
    </row>
    <row r="3158" spans="2:4" x14ac:dyDescent="0.25">
      <c r="B3158" s="90">
        <v>3154</v>
      </c>
      <c r="C3158" s="39">
        <f t="shared" si="98"/>
        <v>10154425.366460096</v>
      </c>
      <c r="D3158" s="39">
        <f t="shared" si="99"/>
        <v>9994602.1860875152</v>
      </c>
    </row>
    <row r="3159" spans="2:4" x14ac:dyDescent="0.25">
      <c r="B3159" s="90">
        <v>3155</v>
      </c>
      <c r="C3159" s="39">
        <f t="shared" si="98"/>
        <v>10157088.278751301</v>
      </c>
      <c r="D3159" s="39">
        <f t="shared" si="99"/>
        <v>9997771.0517140478</v>
      </c>
    </row>
    <row r="3160" spans="2:4" x14ac:dyDescent="0.25">
      <c r="B3160" s="90">
        <v>3156</v>
      </c>
      <c r="C3160" s="39">
        <f t="shared" si="98"/>
        <v>10159751.191042505</v>
      </c>
      <c r="D3160" s="39">
        <f t="shared" si="99"/>
        <v>10000939.917340582</v>
      </c>
    </row>
    <row r="3161" spans="2:4" x14ac:dyDescent="0.25">
      <c r="B3161" s="90">
        <v>3157</v>
      </c>
      <c r="C3161" s="39">
        <f t="shared" si="98"/>
        <v>10162414.10333371</v>
      </c>
      <c r="D3161" s="39">
        <f t="shared" si="99"/>
        <v>10004108.782967117</v>
      </c>
    </row>
    <row r="3162" spans="2:4" x14ac:dyDescent="0.25">
      <c r="B3162" s="90">
        <v>3158</v>
      </c>
      <c r="C3162" s="39">
        <f t="shared" si="98"/>
        <v>10165077.015624916</v>
      </c>
      <c r="D3162" s="39">
        <f t="shared" si="99"/>
        <v>10007277.648593649</v>
      </c>
    </row>
    <row r="3163" spans="2:4" x14ac:dyDescent="0.25">
      <c r="B3163" s="90">
        <v>3159</v>
      </c>
      <c r="C3163" s="39">
        <f t="shared" si="98"/>
        <v>10167739.927916121</v>
      </c>
      <c r="D3163" s="39">
        <f t="shared" si="99"/>
        <v>10010446.514220184</v>
      </c>
    </row>
    <row r="3164" spans="2:4" x14ac:dyDescent="0.25">
      <c r="B3164" s="90">
        <v>3160</v>
      </c>
      <c r="C3164" s="39">
        <f t="shared" si="98"/>
        <v>10170402.840207325</v>
      </c>
      <c r="D3164" s="39">
        <f t="shared" si="99"/>
        <v>10013615.379846718</v>
      </c>
    </row>
    <row r="3165" spans="2:4" x14ac:dyDescent="0.25">
      <c r="B3165" s="90">
        <v>3161</v>
      </c>
      <c r="C3165" s="39">
        <f t="shared" si="98"/>
        <v>10173065.75249853</v>
      </c>
      <c r="D3165" s="39">
        <f t="shared" si="99"/>
        <v>10016784.245473251</v>
      </c>
    </row>
    <row r="3166" spans="2:4" x14ac:dyDescent="0.25">
      <c r="B3166" s="90">
        <v>3162</v>
      </c>
      <c r="C3166" s="39">
        <f t="shared" si="98"/>
        <v>10175728.664789734</v>
      </c>
      <c r="D3166" s="39">
        <f t="shared" si="99"/>
        <v>10019953.111099785</v>
      </c>
    </row>
    <row r="3167" spans="2:4" x14ac:dyDescent="0.25">
      <c r="B3167" s="90">
        <v>3163</v>
      </c>
      <c r="C3167" s="39">
        <f t="shared" si="98"/>
        <v>10178391.577080939</v>
      </c>
      <c r="D3167" s="39">
        <f t="shared" si="99"/>
        <v>10023121.976726318</v>
      </c>
    </row>
    <row r="3168" spans="2:4" x14ac:dyDescent="0.25">
      <c r="B3168" s="90">
        <v>3164</v>
      </c>
      <c r="C3168" s="39">
        <f t="shared" si="98"/>
        <v>10181054.489372144</v>
      </c>
      <c r="D3168" s="39">
        <f t="shared" si="99"/>
        <v>10026290.842352852</v>
      </c>
    </row>
    <row r="3169" spans="2:4" x14ac:dyDescent="0.25">
      <c r="B3169" s="90">
        <v>3165</v>
      </c>
      <c r="C3169" s="39">
        <f t="shared" si="98"/>
        <v>10183717.40166335</v>
      </c>
      <c r="D3169" s="39">
        <f t="shared" si="99"/>
        <v>10029459.707979387</v>
      </c>
    </row>
    <row r="3170" spans="2:4" x14ac:dyDescent="0.25">
      <c r="B3170" s="90">
        <v>3166</v>
      </c>
      <c r="C3170" s="39">
        <f t="shared" si="98"/>
        <v>10186380.313954554</v>
      </c>
      <c r="D3170" s="39">
        <f t="shared" si="99"/>
        <v>10032628.573605919</v>
      </c>
    </row>
    <row r="3171" spans="2:4" x14ac:dyDescent="0.25">
      <c r="B3171" s="90">
        <v>3167</v>
      </c>
      <c r="C3171" s="39">
        <f t="shared" si="98"/>
        <v>10189043.226245759</v>
      </c>
      <c r="D3171" s="39">
        <f t="shared" si="99"/>
        <v>10035797.439232454</v>
      </c>
    </row>
    <row r="3172" spans="2:4" x14ac:dyDescent="0.25">
      <c r="B3172" s="90">
        <v>3168</v>
      </c>
      <c r="C3172" s="39">
        <f t="shared" si="98"/>
        <v>10191706.138536964</v>
      </c>
      <c r="D3172" s="39">
        <f t="shared" si="99"/>
        <v>10038966.304858988</v>
      </c>
    </row>
    <row r="3173" spans="2:4" x14ac:dyDescent="0.25">
      <c r="B3173" s="90">
        <v>3169</v>
      </c>
      <c r="C3173" s="39">
        <f t="shared" si="98"/>
        <v>10194369.050828168</v>
      </c>
      <c r="D3173" s="39">
        <f t="shared" si="99"/>
        <v>10042135.170485521</v>
      </c>
    </row>
    <row r="3174" spans="2:4" x14ac:dyDescent="0.25">
      <c r="B3174" s="90">
        <v>3170</v>
      </c>
      <c r="C3174" s="39">
        <f t="shared" si="98"/>
        <v>10197031.963119373</v>
      </c>
      <c r="D3174" s="39">
        <f t="shared" si="99"/>
        <v>10045304.036112055</v>
      </c>
    </row>
    <row r="3175" spans="2:4" x14ac:dyDescent="0.25">
      <c r="B3175" s="90">
        <v>3171</v>
      </c>
      <c r="C3175" s="39">
        <f t="shared" si="98"/>
        <v>10199694.875410579</v>
      </c>
      <c r="D3175" s="39">
        <f t="shared" si="99"/>
        <v>10048472.90173859</v>
      </c>
    </row>
    <row r="3176" spans="2:4" x14ac:dyDescent="0.25">
      <c r="B3176" s="90">
        <v>3172</v>
      </c>
      <c r="C3176" s="39">
        <f t="shared" si="98"/>
        <v>10202357.787701784</v>
      </c>
      <c r="D3176" s="39">
        <f t="shared" si="99"/>
        <v>10051641.767365122</v>
      </c>
    </row>
    <row r="3177" spans="2:4" x14ac:dyDescent="0.25">
      <c r="B3177" s="90">
        <v>3173</v>
      </c>
      <c r="C3177" s="39">
        <f t="shared" si="98"/>
        <v>10205020.699992988</v>
      </c>
      <c r="D3177" s="39">
        <f t="shared" si="99"/>
        <v>10054810.632991657</v>
      </c>
    </row>
    <row r="3178" spans="2:4" x14ac:dyDescent="0.25">
      <c r="B3178" s="90">
        <v>3174</v>
      </c>
      <c r="C3178" s="39">
        <f t="shared" si="98"/>
        <v>10207683.612284193</v>
      </c>
      <c r="D3178" s="39">
        <f t="shared" si="99"/>
        <v>10057979.498618189</v>
      </c>
    </row>
    <row r="3179" spans="2:4" x14ac:dyDescent="0.25">
      <c r="B3179" s="90">
        <v>3175</v>
      </c>
      <c r="C3179" s="39">
        <f t="shared" si="98"/>
        <v>10210346.524575397</v>
      </c>
      <c r="D3179" s="39">
        <f t="shared" si="99"/>
        <v>10061148.364244724</v>
      </c>
    </row>
    <row r="3180" spans="2:4" x14ac:dyDescent="0.25">
      <c r="B3180" s="90">
        <v>3176</v>
      </c>
      <c r="C3180" s="39">
        <f t="shared" si="98"/>
        <v>10213009.436866602</v>
      </c>
      <c r="D3180" s="39">
        <f t="shared" si="99"/>
        <v>10064317.229871258</v>
      </c>
    </row>
    <row r="3181" spans="2:4" x14ac:dyDescent="0.25">
      <c r="B3181" s="90">
        <v>3177</v>
      </c>
      <c r="C3181" s="39">
        <f t="shared" si="98"/>
        <v>10215672.349157808</v>
      </c>
      <c r="D3181" s="39">
        <f t="shared" si="99"/>
        <v>10067486.095497791</v>
      </c>
    </row>
    <row r="3182" spans="2:4" x14ac:dyDescent="0.25">
      <c r="B3182" s="90">
        <v>3178</v>
      </c>
      <c r="C3182" s="39">
        <f t="shared" si="98"/>
        <v>10218335.261449013</v>
      </c>
      <c r="D3182" s="39">
        <f t="shared" si="99"/>
        <v>10070654.961124325</v>
      </c>
    </row>
    <row r="3183" spans="2:4" x14ac:dyDescent="0.25">
      <c r="B3183" s="90">
        <v>3179</v>
      </c>
      <c r="C3183" s="39">
        <f t="shared" si="98"/>
        <v>10220998.173740217</v>
      </c>
      <c r="D3183" s="39">
        <f t="shared" si="99"/>
        <v>10073823.82675086</v>
      </c>
    </row>
    <row r="3184" spans="2:4" x14ac:dyDescent="0.25">
      <c r="B3184" s="90">
        <v>3180</v>
      </c>
      <c r="C3184" s="39">
        <f t="shared" si="98"/>
        <v>10223661.086031422</v>
      </c>
      <c r="D3184" s="39">
        <f t="shared" si="99"/>
        <v>10076992.692377392</v>
      </c>
    </row>
    <row r="3185" spans="2:4" x14ac:dyDescent="0.25">
      <c r="B3185" s="90">
        <v>3181</v>
      </c>
      <c r="C3185" s="39">
        <f t="shared" ref="C3185:C3248" si="100">($C$2*B3185)+$C$1</f>
        <v>10226323.998322627</v>
      </c>
      <c r="D3185" s="39">
        <f t="shared" ref="D3185:D3248" si="101">$D$2*B3185</f>
        <v>10080161.558003927</v>
      </c>
    </row>
    <row r="3186" spans="2:4" x14ac:dyDescent="0.25">
      <c r="B3186" s="90">
        <v>3182</v>
      </c>
      <c r="C3186" s="39">
        <f t="shared" si="100"/>
        <v>10228986.910613831</v>
      </c>
      <c r="D3186" s="39">
        <f t="shared" si="101"/>
        <v>10083330.423630461</v>
      </c>
    </row>
    <row r="3187" spans="2:4" x14ac:dyDescent="0.25">
      <c r="B3187" s="90">
        <v>3183</v>
      </c>
      <c r="C3187" s="39">
        <f t="shared" si="100"/>
        <v>10231649.822905036</v>
      </c>
      <c r="D3187" s="39">
        <f t="shared" si="101"/>
        <v>10086499.289256994</v>
      </c>
    </row>
    <row r="3188" spans="2:4" x14ac:dyDescent="0.25">
      <c r="B3188" s="90">
        <v>3184</v>
      </c>
      <c r="C3188" s="39">
        <f t="shared" si="100"/>
        <v>10234312.735196242</v>
      </c>
      <c r="D3188" s="39">
        <f t="shared" si="101"/>
        <v>10089668.154883528</v>
      </c>
    </row>
    <row r="3189" spans="2:4" x14ac:dyDescent="0.25">
      <c r="B3189" s="90">
        <v>3185</v>
      </c>
      <c r="C3189" s="39">
        <f t="shared" si="100"/>
        <v>10236975.647487447</v>
      </c>
      <c r="D3189" s="39">
        <f t="shared" si="101"/>
        <v>10092837.020510063</v>
      </c>
    </row>
    <row r="3190" spans="2:4" x14ac:dyDescent="0.25">
      <c r="B3190" s="90">
        <v>3186</v>
      </c>
      <c r="C3190" s="39">
        <f t="shared" si="100"/>
        <v>10239638.559778651</v>
      </c>
      <c r="D3190" s="39">
        <f t="shared" si="101"/>
        <v>10096005.886136595</v>
      </c>
    </row>
    <row r="3191" spans="2:4" x14ac:dyDescent="0.25">
      <c r="B3191" s="90">
        <v>3187</v>
      </c>
      <c r="C3191" s="39">
        <f t="shared" si="100"/>
        <v>10242301.472069856</v>
      </c>
      <c r="D3191" s="39">
        <f t="shared" si="101"/>
        <v>10099174.75176313</v>
      </c>
    </row>
    <row r="3192" spans="2:4" x14ac:dyDescent="0.25">
      <c r="B3192" s="90">
        <v>3188</v>
      </c>
      <c r="C3192" s="39">
        <f t="shared" si="100"/>
        <v>10244964.38436106</v>
      </c>
      <c r="D3192" s="39">
        <f t="shared" si="101"/>
        <v>10102343.617389662</v>
      </c>
    </row>
    <row r="3193" spans="2:4" x14ac:dyDescent="0.25">
      <c r="B3193" s="90">
        <v>3189</v>
      </c>
      <c r="C3193" s="39">
        <f t="shared" si="100"/>
        <v>10247627.296652265</v>
      </c>
      <c r="D3193" s="39">
        <f t="shared" si="101"/>
        <v>10105512.483016197</v>
      </c>
    </row>
    <row r="3194" spans="2:4" x14ac:dyDescent="0.25">
      <c r="B3194" s="90">
        <v>3190</v>
      </c>
      <c r="C3194" s="39">
        <f t="shared" si="100"/>
        <v>10250290.208943471</v>
      </c>
      <c r="D3194" s="39">
        <f t="shared" si="101"/>
        <v>10108681.348642731</v>
      </c>
    </row>
    <row r="3195" spans="2:4" x14ac:dyDescent="0.25">
      <c r="B3195" s="90">
        <v>3191</v>
      </c>
      <c r="C3195" s="39">
        <f t="shared" si="100"/>
        <v>10252953.121234676</v>
      </c>
      <c r="D3195" s="39">
        <f t="shared" si="101"/>
        <v>10111850.214269264</v>
      </c>
    </row>
    <row r="3196" spans="2:4" x14ac:dyDescent="0.25">
      <c r="B3196" s="90">
        <v>3192</v>
      </c>
      <c r="C3196" s="39">
        <f t="shared" si="100"/>
        <v>10255616.03352588</v>
      </c>
      <c r="D3196" s="39">
        <f t="shared" si="101"/>
        <v>10115019.079895798</v>
      </c>
    </row>
    <row r="3197" spans="2:4" x14ac:dyDescent="0.25">
      <c r="B3197" s="90">
        <v>3193</v>
      </c>
      <c r="C3197" s="39">
        <f t="shared" si="100"/>
        <v>10258278.945817085</v>
      </c>
      <c r="D3197" s="39">
        <f t="shared" si="101"/>
        <v>10118187.945522333</v>
      </c>
    </row>
    <row r="3198" spans="2:4" x14ac:dyDescent="0.25">
      <c r="B3198" s="90">
        <v>3194</v>
      </c>
      <c r="C3198" s="39">
        <f t="shared" si="100"/>
        <v>10260941.85810829</v>
      </c>
      <c r="D3198" s="39">
        <f t="shared" si="101"/>
        <v>10121356.811148865</v>
      </c>
    </row>
    <row r="3199" spans="2:4" x14ac:dyDescent="0.25">
      <c r="B3199" s="90">
        <v>3195</v>
      </c>
      <c r="C3199" s="39">
        <f t="shared" si="100"/>
        <v>10263604.770399494</v>
      </c>
      <c r="D3199" s="39">
        <f t="shared" si="101"/>
        <v>10124525.6767754</v>
      </c>
    </row>
    <row r="3200" spans="2:4" x14ac:dyDescent="0.25">
      <c r="B3200" s="90">
        <v>3196</v>
      </c>
      <c r="C3200" s="39">
        <f t="shared" si="100"/>
        <v>10266267.682690699</v>
      </c>
      <c r="D3200" s="39">
        <f t="shared" si="101"/>
        <v>10127694.542401934</v>
      </c>
    </row>
    <row r="3201" spans="2:4" x14ac:dyDescent="0.25">
      <c r="B3201" s="90">
        <v>3197</v>
      </c>
      <c r="C3201" s="39">
        <f t="shared" si="100"/>
        <v>10268930.594981905</v>
      </c>
      <c r="D3201" s="39">
        <f t="shared" si="101"/>
        <v>10130863.408028467</v>
      </c>
    </row>
    <row r="3202" spans="2:4" x14ac:dyDescent="0.25">
      <c r="B3202" s="90">
        <v>3198</v>
      </c>
      <c r="C3202" s="39">
        <f t="shared" si="100"/>
        <v>10271593.50727311</v>
      </c>
      <c r="D3202" s="39">
        <f t="shared" si="101"/>
        <v>10134032.273655001</v>
      </c>
    </row>
    <row r="3203" spans="2:4" x14ac:dyDescent="0.25">
      <c r="B3203" s="90">
        <v>3199</v>
      </c>
      <c r="C3203" s="39">
        <f t="shared" si="100"/>
        <v>10274256.419564314</v>
      </c>
      <c r="D3203" s="39">
        <f t="shared" si="101"/>
        <v>10137201.139281534</v>
      </c>
    </row>
    <row r="3204" spans="2:4" x14ac:dyDescent="0.25">
      <c r="B3204" s="90">
        <v>3200</v>
      </c>
      <c r="C3204" s="39">
        <f t="shared" si="100"/>
        <v>10276919.331855519</v>
      </c>
      <c r="D3204" s="39">
        <f t="shared" si="101"/>
        <v>10140370.004908068</v>
      </c>
    </row>
    <row r="3205" spans="2:4" x14ac:dyDescent="0.25">
      <c r="B3205" s="90">
        <v>3201</v>
      </c>
      <c r="C3205" s="39">
        <f t="shared" si="100"/>
        <v>10279582.244146723</v>
      </c>
      <c r="D3205" s="39">
        <f t="shared" si="101"/>
        <v>10143538.870534603</v>
      </c>
    </row>
    <row r="3206" spans="2:4" x14ac:dyDescent="0.25">
      <c r="B3206" s="90">
        <v>3202</v>
      </c>
      <c r="C3206" s="39">
        <f t="shared" si="100"/>
        <v>10282245.156437928</v>
      </c>
      <c r="D3206" s="39">
        <f t="shared" si="101"/>
        <v>10146707.736161135</v>
      </c>
    </row>
    <row r="3207" spans="2:4" x14ac:dyDescent="0.25">
      <c r="B3207" s="90">
        <v>3203</v>
      </c>
      <c r="C3207" s="39">
        <f t="shared" si="100"/>
        <v>10284908.068729134</v>
      </c>
      <c r="D3207" s="39">
        <f t="shared" si="101"/>
        <v>10149876.60178767</v>
      </c>
    </row>
    <row r="3208" spans="2:4" x14ac:dyDescent="0.25">
      <c r="B3208" s="90">
        <v>3204</v>
      </c>
      <c r="C3208" s="39">
        <f t="shared" si="100"/>
        <v>10287570.981020339</v>
      </c>
      <c r="D3208" s="39">
        <f t="shared" si="101"/>
        <v>10153045.467414204</v>
      </c>
    </row>
    <row r="3209" spans="2:4" x14ac:dyDescent="0.25">
      <c r="B3209" s="90">
        <v>3205</v>
      </c>
      <c r="C3209" s="39">
        <f t="shared" si="100"/>
        <v>10290233.893311543</v>
      </c>
      <c r="D3209" s="39">
        <f t="shared" si="101"/>
        <v>10156214.333040737</v>
      </c>
    </row>
    <row r="3210" spans="2:4" x14ac:dyDescent="0.25">
      <c r="B3210" s="90">
        <v>3206</v>
      </c>
      <c r="C3210" s="39">
        <f t="shared" si="100"/>
        <v>10292896.805602748</v>
      </c>
      <c r="D3210" s="39">
        <f t="shared" si="101"/>
        <v>10159383.198667271</v>
      </c>
    </row>
    <row r="3211" spans="2:4" x14ac:dyDescent="0.25">
      <c r="B3211" s="90">
        <v>3207</v>
      </c>
      <c r="C3211" s="39">
        <f t="shared" si="100"/>
        <v>10295559.717893953</v>
      </c>
      <c r="D3211" s="39">
        <f t="shared" si="101"/>
        <v>10162552.064293806</v>
      </c>
    </row>
    <row r="3212" spans="2:4" x14ac:dyDescent="0.25">
      <c r="B3212" s="90">
        <v>3208</v>
      </c>
      <c r="C3212" s="39">
        <f t="shared" si="100"/>
        <v>10298222.630185157</v>
      </c>
      <c r="D3212" s="39">
        <f t="shared" si="101"/>
        <v>10165720.929920338</v>
      </c>
    </row>
    <row r="3213" spans="2:4" x14ac:dyDescent="0.25">
      <c r="B3213" s="90">
        <v>3209</v>
      </c>
      <c r="C3213" s="39">
        <f t="shared" si="100"/>
        <v>10300885.542476363</v>
      </c>
      <c r="D3213" s="39">
        <f t="shared" si="101"/>
        <v>10168889.795546873</v>
      </c>
    </row>
    <row r="3214" spans="2:4" x14ac:dyDescent="0.25">
      <c r="B3214" s="90">
        <v>3210</v>
      </c>
      <c r="C3214" s="39">
        <f t="shared" si="100"/>
        <v>10303548.454767568</v>
      </c>
      <c r="D3214" s="39">
        <f t="shared" si="101"/>
        <v>10172058.661173405</v>
      </c>
    </row>
    <row r="3215" spans="2:4" x14ac:dyDescent="0.25">
      <c r="B3215" s="90">
        <v>3211</v>
      </c>
      <c r="C3215" s="39">
        <f t="shared" si="100"/>
        <v>10306211.367058773</v>
      </c>
      <c r="D3215" s="39">
        <f t="shared" si="101"/>
        <v>10175227.52679994</v>
      </c>
    </row>
    <row r="3216" spans="2:4" x14ac:dyDescent="0.25">
      <c r="B3216" s="90">
        <v>3212</v>
      </c>
      <c r="C3216" s="39">
        <f t="shared" si="100"/>
        <v>10308874.279349977</v>
      </c>
      <c r="D3216" s="39">
        <f t="shared" si="101"/>
        <v>10178396.392426474</v>
      </c>
    </row>
    <row r="3217" spans="2:4" x14ac:dyDescent="0.25">
      <c r="B3217" s="90">
        <v>3213</v>
      </c>
      <c r="C3217" s="39">
        <f t="shared" si="100"/>
        <v>10311537.191641182</v>
      </c>
      <c r="D3217" s="39">
        <f t="shared" si="101"/>
        <v>10181565.258053007</v>
      </c>
    </row>
    <row r="3218" spans="2:4" x14ac:dyDescent="0.25">
      <c r="B3218" s="90">
        <v>3214</v>
      </c>
      <c r="C3218" s="39">
        <f t="shared" si="100"/>
        <v>10314200.103932386</v>
      </c>
      <c r="D3218" s="39">
        <f t="shared" si="101"/>
        <v>10184734.123679541</v>
      </c>
    </row>
    <row r="3219" spans="2:4" x14ac:dyDescent="0.25">
      <c r="B3219" s="90">
        <v>3215</v>
      </c>
      <c r="C3219" s="39">
        <f t="shared" si="100"/>
        <v>10316863.016223591</v>
      </c>
      <c r="D3219" s="39">
        <f t="shared" si="101"/>
        <v>10187902.989306075</v>
      </c>
    </row>
    <row r="3220" spans="2:4" x14ac:dyDescent="0.25">
      <c r="B3220" s="90">
        <v>3216</v>
      </c>
      <c r="C3220" s="39">
        <f t="shared" si="100"/>
        <v>10319525.928514797</v>
      </c>
      <c r="D3220" s="39">
        <f t="shared" si="101"/>
        <v>10191071.854932608</v>
      </c>
    </row>
    <row r="3221" spans="2:4" x14ac:dyDescent="0.25">
      <c r="B3221" s="90">
        <v>3217</v>
      </c>
      <c r="C3221" s="39">
        <f t="shared" si="100"/>
        <v>10322188.840806002</v>
      </c>
      <c r="D3221" s="39">
        <f t="shared" si="101"/>
        <v>10194240.720559143</v>
      </c>
    </row>
    <row r="3222" spans="2:4" x14ac:dyDescent="0.25">
      <c r="B3222" s="90">
        <v>3218</v>
      </c>
      <c r="C3222" s="39">
        <f t="shared" si="100"/>
        <v>10324851.753097206</v>
      </c>
      <c r="D3222" s="39">
        <f t="shared" si="101"/>
        <v>10197409.586185677</v>
      </c>
    </row>
    <row r="3223" spans="2:4" x14ac:dyDescent="0.25">
      <c r="B3223" s="90">
        <v>3219</v>
      </c>
      <c r="C3223" s="39">
        <f t="shared" si="100"/>
        <v>10327514.665388411</v>
      </c>
      <c r="D3223" s="39">
        <f t="shared" si="101"/>
        <v>10200578.45181221</v>
      </c>
    </row>
    <row r="3224" spans="2:4" x14ac:dyDescent="0.25">
      <c r="B3224" s="90">
        <v>3220</v>
      </c>
      <c r="C3224" s="39">
        <f t="shared" si="100"/>
        <v>10330177.577679615</v>
      </c>
      <c r="D3224" s="39">
        <f t="shared" si="101"/>
        <v>10203747.317438744</v>
      </c>
    </row>
    <row r="3225" spans="2:4" x14ac:dyDescent="0.25">
      <c r="B3225" s="90">
        <v>3221</v>
      </c>
      <c r="C3225" s="39">
        <f t="shared" si="100"/>
        <v>10332840.48997082</v>
      </c>
      <c r="D3225" s="39">
        <f t="shared" si="101"/>
        <v>10206916.183065277</v>
      </c>
    </row>
    <row r="3226" spans="2:4" x14ac:dyDescent="0.25">
      <c r="B3226" s="90">
        <v>3222</v>
      </c>
      <c r="C3226" s="39">
        <f t="shared" si="100"/>
        <v>10335503.402262026</v>
      </c>
      <c r="D3226" s="39">
        <f t="shared" si="101"/>
        <v>10210085.048691811</v>
      </c>
    </row>
    <row r="3227" spans="2:4" x14ac:dyDescent="0.25">
      <c r="B3227" s="90">
        <v>3223</v>
      </c>
      <c r="C3227" s="39">
        <f t="shared" si="100"/>
        <v>10338166.314553231</v>
      </c>
      <c r="D3227" s="39">
        <f t="shared" si="101"/>
        <v>10213253.914318345</v>
      </c>
    </row>
    <row r="3228" spans="2:4" x14ac:dyDescent="0.25">
      <c r="B3228" s="90">
        <v>3224</v>
      </c>
      <c r="C3228" s="39">
        <f t="shared" si="100"/>
        <v>10340829.226844436</v>
      </c>
      <c r="D3228" s="39">
        <f t="shared" si="101"/>
        <v>10216422.779944878</v>
      </c>
    </row>
    <row r="3229" spans="2:4" x14ac:dyDescent="0.25">
      <c r="B3229" s="90">
        <v>3225</v>
      </c>
      <c r="C3229" s="39">
        <f t="shared" si="100"/>
        <v>10343492.13913564</v>
      </c>
      <c r="D3229" s="39">
        <f t="shared" si="101"/>
        <v>10219591.645571413</v>
      </c>
    </row>
    <row r="3230" spans="2:4" x14ac:dyDescent="0.25">
      <c r="B3230" s="90">
        <v>3226</v>
      </c>
      <c r="C3230" s="39">
        <f t="shared" si="100"/>
        <v>10346155.051426845</v>
      </c>
      <c r="D3230" s="39">
        <f t="shared" si="101"/>
        <v>10222760.511197947</v>
      </c>
    </row>
    <row r="3231" spans="2:4" x14ac:dyDescent="0.25">
      <c r="B3231" s="90">
        <v>3227</v>
      </c>
      <c r="C3231" s="39">
        <f t="shared" si="100"/>
        <v>10348817.963718049</v>
      </c>
      <c r="D3231" s="39">
        <f t="shared" si="101"/>
        <v>10225929.37682448</v>
      </c>
    </row>
    <row r="3232" spans="2:4" x14ac:dyDescent="0.25">
      <c r="B3232" s="90">
        <v>3228</v>
      </c>
      <c r="C3232" s="39">
        <f t="shared" si="100"/>
        <v>10351480.876009256</v>
      </c>
      <c r="D3232" s="39">
        <f t="shared" si="101"/>
        <v>10229098.242451014</v>
      </c>
    </row>
    <row r="3233" spans="2:4" x14ac:dyDescent="0.25">
      <c r="B3233" s="90">
        <v>3229</v>
      </c>
      <c r="C3233" s="39">
        <f t="shared" si="100"/>
        <v>10354143.78830046</v>
      </c>
      <c r="D3233" s="39">
        <f t="shared" si="101"/>
        <v>10232267.108077548</v>
      </c>
    </row>
    <row r="3234" spans="2:4" x14ac:dyDescent="0.25">
      <c r="B3234" s="90">
        <v>3230</v>
      </c>
      <c r="C3234" s="39">
        <f t="shared" si="100"/>
        <v>10356806.700591665</v>
      </c>
      <c r="D3234" s="39">
        <f t="shared" si="101"/>
        <v>10235435.973704081</v>
      </c>
    </row>
    <row r="3235" spans="2:4" x14ac:dyDescent="0.25">
      <c r="B3235" s="90">
        <v>3231</v>
      </c>
      <c r="C3235" s="39">
        <f t="shared" si="100"/>
        <v>10359469.612882869</v>
      </c>
      <c r="D3235" s="39">
        <f t="shared" si="101"/>
        <v>10238604.839330615</v>
      </c>
    </row>
    <row r="3236" spans="2:4" x14ac:dyDescent="0.25">
      <c r="B3236" s="90">
        <v>3232</v>
      </c>
      <c r="C3236" s="39">
        <f t="shared" si="100"/>
        <v>10362132.525174074</v>
      </c>
      <c r="D3236" s="39">
        <f t="shared" si="101"/>
        <v>10241773.704957148</v>
      </c>
    </row>
    <row r="3237" spans="2:4" x14ac:dyDescent="0.25">
      <c r="B3237" s="90">
        <v>3233</v>
      </c>
      <c r="C3237" s="39">
        <f t="shared" si="100"/>
        <v>10364795.437465278</v>
      </c>
      <c r="D3237" s="39">
        <f t="shared" si="101"/>
        <v>10244942.570583683</v>
      </c>
    </row>
    <row r="3238" spans="2:4" x14ac:dyDescent="0.25">
      <c r="B3238" s="90">
        <v>3234</v>
      </c>
      <c r="C3238" s="39">
        <f t="shared" si="100"/>
        <v>10367458.349756483</v>
      </c>
      <c r="D3238" s="39">
        <f t="shared" si="101"/>
        <v>10248111.436210217</v>
      </c>
    </row>
    <row r="3239" spans="2:4" x14ac:dyDescent="0.25">
      <c r="B3239" s="90">
        <v>3235</v>
      </c>
      <c r="C3239" s="39">
        <f t="shared" si="100"/>
        <v>10370121.262047689</v>
      </c>
      <c r="D3239" s="39">
        <f t="shared" si="101"/>
        <v>10251280.30183675</v>
      </c>
    </row>
    <row r="3240" spans="2:4" x14ac:dyDescent="0.25">
      <c r="B3240" s="90">
        <v>3236</v>
      </c>
      <c r="C3240" s="39">
        <f t="shared" si="100"/>
        <v>10372784.174338894</v>
      </c>
      <c r="D3240" s="39">
        <f t="shared" si="101"/>
        <v>10254449.167463284</v>
      </c>
    </row>
    <row r="3241" spans="2:4" x14ac:dyDescent="0.25">
      <c r="B3241" s="90">
        <v>3237</v>
      </c>
      <c r="C3241" s="39">
        <f t="shared" si="100"/>
        <v>10375447.086630099</v>
      </c>
      <c r="D3241" s="39">
        <f t="shared" si="101"/>
        <v>10257618.033089818</v>
      </c>
    </row>
    <row r="3242" spans="2:4" x14ac:dyDescent="0.25">
      <c r="B3242" s="90">
        <v>3238</v>
      </c>
      <c r="C3242" s="39">
        <f t="shared" si="100"/>
        <v>10378109.998921303</v>
      </c>
      <c r="D3242" s="39">
        <f t="shared" si="101"/>
        <v>10260786.898716351</v>
      </c>
    </row>
    <row r="3243" spans="2:4" x14ac:dyDescent="0.25">
      <c r="B3243" s="90">
        <v>3239</v>
      </c>
      <c r="C3243" s="39">
        <f t="shared" si="100"/>
        <v>10380772.911212508</v>
      </c>
      <c r="D3243" s="39">
        <f t="shared" si="101"/>
        <v>10263955.764342885</v>
      </c>
    </row>
    <row r="3244" spans="2:4" x14ac:dyDescent="0.25">
      <c r="B3244" s="90">
        <v>3240</v>
      </c>
      <c r="C3244" s="39">
        <f t="shared" si="100"/>
        <v>10383435.823503712</v>
      </c>
      <c r="D3244" s="39">
        <f t="shared" si="101"/>
        <v>10267124.62996942</v>
      </c>
    </row>
    <row r="3245" spans="2:4" x14ac:dyDescent="0.25">
      <c r="B3245" s="90">
        <v>3241</v>
      </c>
      <c r="C3245" s="39">
        <f t="shared" si="100"/>
        <v>10386098.735794919</v>
      </c>
      <c r="D3245" s="39">
        <f t="shared" si="101"/>
        <v>10270293.495595952</v>
      </c>
    </row>
    <row r="3246" spans="2:4" x14ac:dyDescent="0.25">
      <c r="B3246" s="90">
        <v>3242</v>
      </c>
      <c r="C3246" s="39">
        <f t="shared" si="100"/>
        <v>10388761.648086123</v>
      </c>
      <c r="D3246" s="39">
        <f t="shared" si="101"/>
        <v>10273462.361222487</v>
      </c>
    </row>
    <row r="3247" spans="2:4" x14ac:dyDescent="0.25">
      <c r="B3247" s="90">
        <v>3243</v>
      </c>
      <c r="C3247" s="39">
        <f t="shared" si="100"/>
        <v>10391424.560377328</v>
      </c>
      <c r="D3247" s="39">
        <f t="shared" si="101"/>
        <v>10276631.22684902</v>
      </c>
    </row>
    <row r="3248" spans="2:4" x14ac:dyDescent="0.25">
      <c r="B3248" s="90">
        <v>3244</v>
      </c>
      <c r="C3248" s="39">
        <f t="shared" si="100"/>
        <v>10394087.472668532</v>
      </c>
      <c r="D3248" s="39">
        <f t="shared" si="101"/>
        <v>10279800.092475554</v>
      </c>
    </row>
    <row r="3249" spans="2:4" x14ac:dyDescent="0.25">
      <c r="B3249" s="90">
        <v>3245</v>
      </c>
      <c r="C3249" s="39">
        <f t="shared" ref="C3249:C3312" si="102">($C$2*B3249)+$C$1</f>
        <v>10396750.384959737</v>
      </c>
      <c r="D3249" s="39">
        <f t="shared" ref="D3249:D3312" si="103">$D$2*B3249</f>
        <v>10282968.958102088</v>
      </c>
    </row>
    <row r="3250" spans="2:4" x14ac:dyDescent="0.25">
      <c r="B3250" s="90">
        <v>3246</v>
      </c>
      <c r="C3250" s="39">
        <f t="shared" si="102"/>
        <v>10399413.297250941</v>
      </c>
      <c r="D3250" s="39">
        <f t="shared" si="103"/>
        <v>10286137.823728621</v>
      </c>
    </row>
    <row r="3251" spans="2:4" x14ac:dyDescent="0.25">
      <c r="B3251" s="90">
        <v>3247</v>
      </c>
      <c r="C3251" s="39">
        <f t="shared" si="102"/>
        <v>10402076.209542148</v>
      </c>
      <c r="D3251" s="39">
        <f t="shared" si="103"/>
        <v>10289306.689355155</v>
      </c>
    </row>
    <row r="3252" spans="2:4" x14ac:dyDescent="0.25">
      <c r="B3252" s="90">
        <v>3248</v>
      </c>
      <c r="C3252" s="39">
        <f t="shared" si="102"/>
        <v>10404739.121833352</v>
      </c>
      <c r="D3252" s="39">
        <f t="shared" si="103"/>
        <v>10292475.55498169</v>
      </c>
    </row>
    <row r="3253" spans="2:4" x14ac:dyDescent="0.25">
      <c r="B3253" s="90">
        <v>3249</v>
      </c>
      <c r="C3253" s="39">
        <f t="shared" si="102"/>
        <v>10407402.034124557</v>
      </c>
      <c r="D3253" s="39">
        <f t="shared" si="103"/>
        <v>10295644.420608222</v>
      </c>
    </row>
    <row r="3254" spans="2:4" x14ac:dyDescent="0.25">
      <c r="B3254" s="90">
        <v>3250</v>
      </c>
      <c r="C3254" s="39">
        <f t="shared" si="102"/>
        <v>10410064.946415761</v>
      </c>
      <c r="D3254" s="39">
        <f t="shared" si="103"/>
        <v>10298813.286234757</v>
      </c>
    </row>
    <row r="3255" spans="2:4" x14ac:dyDescent="0.25">
      <c r="B3255" s="90">
        <v>3251</v>
      </c>
      <c r="C3255" s="39">
        <f t="shared" si="102"/>
        <v>10412727.858706966</v>
      </c>
      <c r="D3255" s="39">
        <f t="shared" si="103"/>
        <v>10301982.151861291</v>
      </c>
    </row>
    <row r="3256" spans="2:4" x14ac:dyDescent="0.25">
      <c r="B3256" s="90">
        <v>3252</v>
      </c>
      <c r="C3256" s="39">
        <f t="shared" si="102"/>
        <v>10415390.770998171</v>
      </c>
      <c r="D3256" s="39">
        <f t="shared" si="103"/>
        <v>10305151.017487824</v>
      </c>
    </row>
    <row r="3257" spans="2:4" x14ac:dyDescent="0.25">
      <c r="B3257" s="90">
        <v>3253</v>
      </c>
      <c r="C3257" s="39">
        <f t="shared" si="102"/>
        <v>10418053.683289375</v>
      </c>
      <c r="D3257" s="39">
        <f t="shared" si="103"/>
        <v>10308319.883114358</v>
      </c>
    </row>
    <row r="3258" spans="2:4" x14ac:dyDescent="0.25">
      <c r="B3258" s="90">
        <v>3254</v>
      </c>
      <c r="C3258" s="39">
        <f t="shared" si="102"/>
        <v>10420716.595580582</v>
      </c>
      <c r="D3258" s="39">
        <f t="shared" si="103"/>
        <v>10311488.748740891</v>
      </c>
    </row>
    <row r="3259" spans="2:4" x14ac:dyDescent="0.25">
      <c r="B3259" s="90">
        <v>3255</v>
      </c>
      <c r="C3259" s="39">
        <f t="shared" si="102"/>
        <v>10423379.507871786</v>
      </c>
      <c r="D3259" s="39">
        <f t="shared" si="103"/>
        <v>10314657.614367425</v>
      </c>
    </row>
    <row r="3260" spans="2:4" x14ac:dyDescent="0.25">
      <c r="B3260" s="90">
        <v>3256</v>
      </c>
      <c r="C3260" s="39">
        <f t="shared" si="102"/>
        <v>10426042.420162991</v>
      </c>
      <c r="D3260" s="39">
        <f t="shared" si="103"/>
        <v>10317826.47999396</v>
      </c>
    </row>
    <row r="3261" spans="2:4" x14ac:dyDescent="0.25">
      <c r="B3261" s="90">
        <v>3257</v>
      </c>
      <c r="C3261" s="39">
        <f t="shared" si="102"/>
        <v>10428705.332454195</v>
      </c>
      <c r="D3261" s="39">
        <f t="shared" si="103"/>
        <v>10320995.345620492</v>
      </c>
    </row>
    <row r="3262" spans="2:4" x14ac:dyDescent="0.25">
      <c r="B3262" s="90">
        <v>3258</v>
      </c>
      <c r="C3262" s="39">
        <f t="shared" si="102"/>
        <v>10431368.2447454</v>
      </c>
      <c r="D3262" s="39">
        <f t="shared" si="103"/>
        <v>10324164.211247027</v>
      </c>
    </row>
    <row r="3263" spans="2:4" x14ac:dyDescent="0.25">
      <c r="B3263" s="90">
        <v>3259</v>
      </c>
      <c r="C3263" s="39">
        <f t="shared" si="102"/>
        <v>10434031.157036604</v>
      </c>
      <c r="D3263" s="39">
        <f t="shared" si="103"/>
        <v>10327333.076873561</v>
      </c>
    </row>
    <row r="3264" spans="2:4" x14ac:dyDescent="0.25">
      <c r="B3264" s="90">
        <v>3260</v>
      </c>
      <c r="C3264" s="39">
        <f t="shared" si="102"/>
        <v>10436694.069327811</v>
      </c>
      <c r="D3264" s="39">
        <f t="shared" si="103"/>
        <v>10330501.942500094</v>
      </c>
    </row>
    <row r="3265" spans="2:4" x14ac:dyDescent="0.25">
      <c r="B3265" s="90">
        <v>3261</v>
      </c>
      <c r="C3265" s="39">
        <f t="shared" si="102"/>
        <v>10439356.981619015</v>
      </c>
      <c r="D3265" s="39">
        <f t="shared" si="103"/>
        <v>10333670.808126628</v>
      </c>
    </row>
    <row r="3266" spans="2:4" x14ac:dyDescent="0.25">
      <c r="B3266" s="90">
        <v>3262</v>
      </c>
      <c r="C3266" s="39">
        <f t="shared" si="102"/>
        <v>10442019.89391022</v>
      </c>
      <c r="D3266" s="39">
        <f t="shared" si="103"/>
        <v>10336839.673753163</v>
      </c>
    </row>
    <row r="3267" spans="2:4" x14ac:dyDescent="0.25">
      <c r="B3267" s="90">
        <v>3263</v>
      </c>
      <c r="C3267" s="39">
        <f t="shared" si="102"/>
        <v>10444682.806201424</v>
      </c>
      <c r="D3267" s="39">
        <f t="shared" si="103"/>
        <v>10340008.539379695</v>
      </c>
    </row>
    <row r="3268" spans="2:4" x14ac:dyDescent="0.25">
      <c r="B3268" s="90">
        <v>3264</v>
      </c>
      <c r="C3268" s="39">
        <f t="shared" si="102"/>
        <v>10447345.718492629</v>
      </c>
      <c r="D3268" s="39">
        <f t="shared" si="103"/>
        <v>10343177.40500623</v>
      </c>
    </row>
    <row r="3269" spans="2:4" x14ac:dyDescent="0.25">
      <c r="B3269" s="90">
        <v>3265</v>
      </c>
      <c r="C3269" s="39">
        <f t="shared" si="102"/>
        <v>10450008.630783834</v>
      </c>
      <c r="D3269" s="39">
        <f t="shared" si="103"/>
        <v>10346346.270632762</v>
      </c>
    </row>
    <row r="3270" spans="2:4" x14ac:dyDescent="0.25">
      <c r="B3270" s="90">
        <v>3266</v>
      </c>
      <c r="C3270" s="39">
        <f t="shared" si="102"/>
        <v>10452671.54307504</v>
      </c>
      <c r="D3270" s="39">
        <f t="shared" si="103"/>
        <v>10349515.136259297</v>
      </c>
    </row>
    <row r="3271" spans="2:4" x14ac:dyDescent="0.25">
      <c r="B3271" s="90">
        <v>3267</v>
      </c>
      <c r="C3271" s="39">
        <f t="shared" si="102"/>
        <v>10455334.455366245</v>
      </c>
      <c r="D3271" s="39">
        <f t="shared" si="103"/>
        <v>10352684.001885831</v>
      </c>
    </row>
    <row r="3272" spans="2:4" x14ac:dyDescent="0.25">
      <c r="B3272" s="90">
        <v>3268</v>
      </c>
      <c r="C3272" s="39">
        <f t="shared" si="102"/>
        <v>10457997.367657449</v>
      </c>
      <c r="D3272" s="39">
        <f t="shared" si="103"/>
        <v>10355852.867512364</v>
      </c>
    </row>
    <row r="3273" spans="2:4" x14ac:dyDescent="0.25">
      <c r="B3273" s="90">
        <v>3269</v>
      </c>
      <c r="C3273" s="39">
        <f t="shared" si="102"/>
        <v>10460660.279948654</v>
      </c>
      <c r="D3273" s="39">
        <f t="shared" si="103"/>
        <v>10359021.733138898</v>
      </c>
    </row>
    <row r="3274" spans="2:4" x14ac:dyDescent="0.25">
      <c r="B3274" s="90">
        <v>3270</v>
      </c>
      <c r="C3274" s="39">
        <f t="shared" si="102"/>
        <v>10463323.192239858</v>
      </c>
      <c r="D3274" s="39">
        <f t="shared" si="103"/>
        <v>10362190.598765433</v>
      </c>
    </row>
    <row r="3275" spans="2:4" x14ac:dyDescent="0.25">
      <c r="B3275" s="90">
        <v>3271</v>
      </c>
      <c r="C3275" s="39">
        <f t="shared" si="102"/>
        <v>10465986.104531063</v>
      </c>
      <c r="D3275" s="39">
        <f t="shared" si="103"/>
        <v>10365359.464391965</v>
      </c>
    </row>
    <row r="3276" spans="2:4" x14ac:dyDescent="0.25">
      <c r="B3276" s="90">
        <v>3272</v>
      </c>
      <c r="C3276" s="39">
        <f t="shared" si="102"/>
        <v>10468649.016822267</v>
      </c>
      <c r="D3276" s="39">
        <f t="shared" si="103"/>
        <v>10368528.3300185</v>
      </c>
    </row>
    <row r="3277" spans="2:4" x14ac:dyDescent="0.25">
      <c r="B3277" s="90">
        <v>3273</v>
      </c>
      <c r="C3277" s="39">
        <f t="shared" si="102"/>
        <v>10471311.929113474</v>
      </c>
      <c r="D3277" s="39">
        <f t="shared" si="103"/>
        <v>10371697.195645034</v>
      </c>
    </row>
    <row r="3278" spans="2:4" x14ac:dyDescent="0.25">
      <c r="B3278" s="90">
        <v>3274</v>
      </c>
      <c r="C3278" s="39">
        <f t="shared" si="102"/>
        <v>10473974.841404678</v>
      </c>
      <c r="D3278" s="39">
        <f t="shared" si="103"/>
        <v>10374866.061271567</v>
      </c>
    </row>
    <row r="3279" spans="2:4" x14ac:dyDescent="0.25">
      <c r="B3279" s="90">
        <v>3275</v>
      </c>
      <c r="C3279" s="39">
        <f t="shared" si="102"/>
        <v>10476637.753695883</v>
      </c>
      <c r="D3279" s="39">
        <f t="shared" si="103"/>
        <v>10378034.926898101</v>
      </c>
    </row>
    <row r="3280" spans="2:4" x14ac:dyDescent="0.25">
      <c r="B3280" s="90">
        <v>3276</v>
      </c>
      <c r="C3280" s="39">
        <f t="shared" si="102"/>
        <v>10479300.665987087</v>
      </c>
      <c r="D3280" s="39">
        <f t="shared" si="103"/>
        <v>10381203.792524634</v>
      </c>
    </row>
    <row r="3281" spans="2:4" x14ac:dyDescent="0.25">
      <c r="B3281" s="90">
        <v>3277</v>
      </c>
      <c r="C3281" s="39">
        <f t="shared" si="102"/>
        <v>10481963.578278292</v>
      </c>
      <c r="D3281" s="39">
        <f t="shared" si="103"/>
        <v>10384372.658151168</v>
      </c>
    </row>
    <row r="3282" spans="2:4" x14ac:dyDescent="0.25">
      <c r="B3282" s="90">
        <v>3278</v>
      </c>
      <c r="C3282" s="39">
        <f t="shared" si="102"/>
        <v>10484626.490569497</v>
      </c>
      <c r="D3282" s="39">
        <f t="shared" si="103"/>
        <v>10387541.523777703</v>
      </c>
    </row>
    <row r="3283" spans="2:4" x14ac:dyDescent="0.25">
      <c r="B3283" s="90">
        <v>3279</v>
      </c>
      <c r="C3283" s="39">
        <f t="shared" si="102"/>
        <v>10487289.402860703</v>
      </c>
      <c r="D3283" s="39">
        <f t="shared" si="103"/>
        <v>10390710.389404235</v>
      </c>
    </row>
    <row r="3284" spans="2:4" x14ac:dyDescent="0.25">
      <c r="B3284" s="90">
        <v>3280</v>
      </c>
      <c r="C3284" s="39">
        <f t="shared" si="102"/>
        <v>10489952.315151908</v>
      </c>
      <c r="D3284" s="39">
        <f t="shared" si="103"/>
        <v>10393879.25503077</v>
      </c>
    </row>
    <row r="3285" spans="2:4" x14ac:dyDescent="0.25">
      <c r="B3285" s="90">
        <v>3281</v>
      </c>
      <c r="C3285" s="39">
        <f t="shared" si="102"/>
        <v>10492615.227443112</v>
      </c>
      <c r="D3285" s="39">
        <f t="shared" si="103"/>
        <v>10397048.120657304</v>
      </c>
    </row>
    <row r="3286" spans="2:4" x14ac:dyDescent="0.25">
      <c r="B3286" s="90">
        <v>3282</v>
      </c>
      <c r="C3286" s="39">
        <f t="shared" si="102"/>
        <v>10495278.139734317</v>
      </c>
      <c r="D3286" s="39">
        <f t="shared" si="103"/>
        <v>10400216.986283837</v>
      </c>
    </row>
    <row r="3287" spans="2:4" x14ac:dyDescent="0.25">
      <c r="B3287" s="90">
        <v>3283</v>
      </c>
      <c r="C3287" s="39">
        <f t="shared" si="102"/>
        <v>10497941.052025521</v>
      </c>
      <c r="D3287" s="39">
        <f t="shared" si="103"/>
        <v>10403385.851910371</v>
      </c>
    </row>
    <row r="3288" spans="2:4" x14ac:dyDescent="0.25">
      <c r="B3288" s="90">
        <v>3284</v>
      </c>
      <c r="C3288" s="39">
        <f t="shared" si="102"/>
        <v>10500603.964316726</v>
      </c>
      <c r="D3288" s="39">
        <f t="shared" si="103"/>
        <v>10406554.717536906</v>
      </c>
    </row>
    <row r="3289" spans="2:4" x14ac:dyDescent="0.25">
      <c r="B3289" s="90">
        <v>3285</v>
      </c>
      <c r="C3289" s="39">
        <f t="shared" si="102"/>
        <v>10503266.87660793</v>
      </c>
      <c r="D3289" s="39">
        <f t="shared" si="103"/>
        <v>10409723.583163438</v>
      </c>
    </row>
    <row r="3290" spans="2:4" x14ac:dyDescent="0.25">
      <c r="B3290" s="90">
        <v>3286</v>
      </c>
      <c r="C3290" s="39">
        <f t="shared" si="102"/>
        <v>10505929.788899137</v>
      </c>
      <c r="D3290" s="39">
        <f t="shared" si="103"/>
        <v>10412892.448789973</v>
      </c>
    </row>
    <row r="3291" spans="2:4" x14ac:dyDescent="0.25">
      <c r="B3291" s="90">
        <v>3287</v>
      </c>
      <c r="C3291" s="39">
        <f t="shared" si="102"/>
        <v>10508592.701190341</v>
      </c>
      <c r="D3291" s="39">
        <f t="shared" si="103"/>
        <v>10416061.314416505</v>
      </c>
    </row>
    <row r="3292" spans="2:4" x14ac:dyDescent="0.25">
      <c r="B3292" s="90">
        <v>3288</v>
      </c>
      <c r="C3292" s="39">
        <f t="shared" si="102"/>
        <v>10511255.613481546</v>
      </c>
      <c r="D3292" s="39">
        <f t="shared" si="103"/>
        <v>10419230.18004304</v>
      </c>
    </row>
    <row r="3293" spans="2:4" x14ac:dyDescent="0.25">
      <c r="B3293" s="90">
        <v>3289</v>
      </c>
      <c r="C3293" s="39">
        <f t="shared" si="102"/>
        <v>10513918.52577275</v>
      </c>
      <c r="D3293" s="39">
        <f t="shared" si="103"/>
        <v>10422399.045669574</v>
      </c>
    </row>
    <row r="3294" spans="2:4" x14ac:dyDescent="0.25">
      <c r="B3294" s="90">
        <v>3290</v>
      </c>
      <c r="C3294" s="39">
        <f t="shared" si="102"/>
        <v>10516581.438063955</v>
      </c>
      <c r="D3294" s="39">
        <f t="shared" si="103"/>
        <v>10425567.911296107</v>
      </c>
    </row>
    <row r="3295" spans="2:4" x14ac:dyDescent="0.25">
      <c r="B3295" s="90">
        <v>3291</v>
      </c>
      <c r="C3295" s="39">
        <f t="shared" si="102"/>
        <v>10519244.350355159</v>
      </c>
      <c r="D3295" s="39">
        <f t="shared" si="103"/>
        <v>10428736.776922641</v>
      </c>
    </row>
    <row r="3296" spans="2:4" x14ac:dyDescent="0.25">
      <c r="B3296" s="90">
        <v>3292</v>
      </c>
      <c r="C3296" s="39">
        <f t="shared" si="102"/>
        <v>10521907.262646366</v>
      </c>
      <c r="D3296" s="39">
        <f t="shared" si="103"/>
        <v>10431905.642549176</v>
      </c>
    </row>
    <row r="3297" spans="2:4" x14ac:dyDescent="0.25">
      <c r="B3297" s="90">
        <v>3293</v>
      </c>
      <c r="C3297" s="39">
        <f t="shared" si="102"/>
        <v>10524570.17493757</v>
      </c>
      <c r="D3297" s="39">
        <f t="shared" si="103"/>
        <v>10435074.508175708</v>
      </c>
    </row>
    <row r="3298" spans="2:4" x14ac:dyDescent="0.25">
      <c r="B3298" s="90">
        <v>3294</v>
      </c>
      <c r="C3298" s="39">
        <f t="shared" si="102"/>
        <v>10527233.087228775</v>
      </c>
      <c r="D3298" s="39">
        <f t="shared" si="103"/>
        <v>10438243.373802243</v>
      </c>
    </row>
    <row r="3299" spans="2:4" x14ac:dyDescent="0.25">
      <c r="B3299" s="90">
        <v>3295</v>
      </c>
      <c r="C3299" s="39">
        <f t="shared" si="102"/>
        <v>10529895.99951998</v>
      </c>
      <c r="D3299" s="39">
        <f t="shared" si="103"/>
        <v>10441412.239428777</v>
      </c>
    </row>
    <row r="3300" spans="2:4" x14ac:dyDescent="0.25">
      <c r="B3300" s="90">
        <v>3296</v>
      </c>
      <c r="C3300" s="39">
        <f t="shared" si="102"/>
        <v>10532558.911811184</v>
      </c>
      <c r="D3300" s="39">
        <f t="shared" si="103"/>
        <v>10444581.10505531</v>
      </c>
    </row>
    <row r="3301" spans="2:4" x14ac:dyDescent="0.25">
      <c r="B3301" s="90">
        <v>3297</v>
      </c>
      <c r="C3301" s="39">
        <f t="shared" si="102"/>
        <v>10535221.824102389</v>
      </c>
      <c r="D3301" s="39">
        <f t="shared" si="103"/>
        <v>10447749.970681844</v>
      </c>
    </row>
    <row r="3302" spans="2:4" x14ac:dyDescent="0.25">
      <c r="B3302" s="90">
        <v>3298</v>
      </c>
      <c r="C3302" s="39">
        <f t="shared" si="102"/>
        <v>10537884.736393595</v>
      </c>
      <c r="D3302" s="39">
        <f t="shared" si="103"/>
        <v>10450918.836308379</v>
      </c>
    </row>
    <row r="3303" spans="2:4" x14ac:dyDescent="0.25">
      <c r="B3303" s="90">
        <v>3299</v>
      </c>
      <c r="C3303" s="39">
        <f t="shared" si="102"/>
        <v>10540547.6486848</v>
      </c>
      <c r="D3303" s="39">
        <f t="shared" si="103"/>
        <v>10454087.701934911</v>
      </c>
    </row>
    <row r="3304" spans="2:4" x14ac:dyDescent="0.25">
      <c r="B3304" s="90">
        <v>3300</v>
      </c>
      <c r="C3304" s="39">
        <f t="shared" si="102"/>
        <v>10543210.560976004</v>
      </c>
      <c r="D3304" s="39">
        <f t="shared" si="103"/>
        <v>10457256.567561446</v>
      </c>
    </row>
    <row r="3305" spans="2:4" x14ac:dyDescent="0.25">
      <c r="B3305" s="90">
        <v>3301</v>
      </c>
      <c r="C3305" s="39">
        <f t="shared" si="102"/>
        <v>10545873.473267209</v>
      </c>
      <c r="D3305" s="39">
        <f t="shared" si="103"/>
        <v>10460425.433187978</v>
      </c>
    </row>
    <row r="3306" spans="2:4" x14ac:dyDescent="0.25">
      <c r="B3306" s="90">
        <v>3302</v>
      </c>
      <c r="C3306" s="39">
        <f t="shared" si="102"/>
        <v>10548536.385558413</v>
      </c>
      <c r="D3306" s="39">
        <f t="shared" si="103"/>
        <v>10463594.298814513</v>
      </c>
    </row>
    <row r="3307" spans="2:4" x14ac:dyDescent="0.25">
      <c r="B3307" s="90">
        <v>3303</v>
      </c>
      <c r="C3307" s="39">
        <f t="shared" si="102"/>
        <v>10551199.297849618</v>
      </c>
      <c r="D3307" s="39">
        <f t="shared" si="103"/>
        <v>10466763.164441047</v>
      </c>
    </row>
    <row r="3308" spans="2:4" x14ac:dyDescent="0.25">
      <c r="B3308" s="90">
        <v>3304</v>
      </c>
      <c r="C3308" s="39">
        <f t="shared" si="102"/>
        <v>10553862.210140822</v>
      </c>
      <c r="D3308" s="39">
        <f t="shared" si="103"/>
        <v>10469932.03006758</v>
      </c>
    </row>
    <row r="3309" spans="2:4" x14ac:dyDescent="0.25">
      <c r="B3309" s="90">
        <v>3305</v>
      </c>
      <c r="C3309" s="39">
        <f t="shared" si="102"/>
        <v>10556525.122432029</v>
      </c>
      <c r="D3309" s="39">
        <f t="shared" si="103"/>
        <v>10473100.895694114</v>
      </c>
    </row>
    <row r="3310" spans="2:4" x14ac:dyDescent="0.25">
      <c r="B3310" s="90">
        <v>3306</v>
      </c>
      <c r="C3310" s="39">
        <f t="shared" si="102"/>
        <v>10559188.034723233</v>
      </c>
      <c r="D3310" s="39">
        <f t="shared" si="103"/>
        <v>10476269.761320649</v>
      </c>
    </row>
    <row r="3311" spans="2:4" x14ac:dyDescent="0.25">
      <c r="B3311" s="90">
        <v>3307</v>
      </c>
      <c r="C3311" s="39">
        <f t="shared" si="102"/>
        <v>10561850.947014438</v>
      </c>
      <c r="D3311" s="39">
        <f t="shared" si="103"/>
        <v>10479438.626947181</v>
      </c>
    </row>
    <row r="3312" spans="2:4" x14ac:dyDescent="0.25">
      <c r="B3312" s="90">
        <v>3308</v>
      </c>
      <c r="C3312" s="39">
        <f t="shared" si="102"/>
        <v>10564513.859305643</v>
      </c>
      <c r="D3312" s="39">
        <f t="shared" si="103"/>
        <v>10482607.492573716</v>
      </c>
    </row>
    <row r="3313" spans="2:4" x14ac:dyDescent="0.25">
      <c r="B3313" s="90">
        <v>3309</v>
      </c>
      <c r="C3313" s="39">
        <f t="shared" ref="C3313:C3376" si="104">($C$2*B3313)+$C$1</f>
        <v>10567176.771596847</v>
      </c>
      <c r="D3313" s="39">
        <f t="shared" ref="D3313:D3376" si="105">$D$2*B3313</f>
        <v>10485776.35820025</v>
      </c>
    </row>
    <row r="3314" spans="2:4" x14ac:dyDescent="0.25">
      <c r="B3314" s="90">
        <v>3310</v>
      </c>
      <c r="C3314" s="39">
        <f t="shared" si="104"/>
        <v>10569839.683888052</v>
      </c>
      <c r="D3314" s="39">
        <f t="shared" si="105"/>
        <v>10488945.223826783</v>
      </c>
    </row>
    <row r="3315" spans="2:4" x14ac:dyDescent="0.25">
      <c r="B3315" s="90">
        <v>3311</v>
      </c>
      <c r="C3315" s="39">
        <f t="shared" si="104"/>
        <v>10572502.596179258</v>
      </c>
      <c r="D3315" s="39">
        <f t="shared" si="105"/>
        <v>10492114.089453317</v>
      </c>
    </row>
    <row r="3316" spans="2:4" x14ac:dyDescent="0.25">
      <c r="B3316" s="90">
        <v>3312</v>
      </c>
      <c r="C3316" s="39">
        <f t="shared" si="104"/>
        <v>10575165.508470463</v>
      </c>
      <c r="D3316" s="39">
        <f t="shared" si="105"/>
        <v>10495282.95507985</v>
      </c>
    </row>
    <row r="3317" spans="2:4" x14ac:dyDescent="0.25">
      <c r="B3317" s="90">
        <v>3313</v>
      </c>
      <c r="C3317" s="39">
        <f t="shared" si="104"/>
        <v>10577828.420761667</v>
      </c>
      <c r="D3317" s="39">
        <f t="shared" si="105"/>
        <v>10498451.820706384</v>
      </c>
    </row>
    <row r="3318" spans="2:4" x14ac:dyDescent="0.25">
      <c r="B3318" s="90">
        <v>3314</v>
      </c>
      <c r="C3318" s="39">
        <f t="shared" si="104"/>
        <v>10580491.333052872</v>
      </c>
      <c r="D3318" s="39">
        <f t="shared" si="105"/>
        <v>10501620.686332919</v>
      </c>
    </row>
    <row r="3319" spans="2:4" x14ac:dyDescent="0.25">
      <c r="B3319" s="90">
        <v>3315</v>
      </c>
      <c r="C3319" s="39">
        <f t="shared" si="104"/>
        <v>10583154.245344076</v>
      </c>
      <c r="D3319" s="39">
        <f t="shared" si="105"/>
        <v>10504789.551959451</v>
      </c>
    </row>
    <row r="3320" spans="2:4" x14ac:dyDescent="0.25">
      <c r="B3320" s="90">
        <v>3316</v>
      </c>
      <c r="C3320" s="39">
        <f t="shared" si="104"/>
        <v>10585817.157635281</v>
      </c>
      <c r="D3320" s="39">
        <f t="shared" si="105"/>
        <v>10507958.417585986</v>
      </c>
    </row>
    <row r="3321" spans="2:4" x14ac:dyDescent="0.25">
      <c r="B3321" s="90">
        <v>3317</v>
      </c>
      <c r="C3321" s="39">
        <f t="shared" si="104"/>
        <v>10588480.069926487</v>
      </c>
      <c r="D3321" s="39">
        <f t="shared" si="105"/>
        <v>10511127.28321252</v>
      </c>
    </row>
    <row r="3322" spans="2:4" x14ac:dyDescent="0.25">
      <c r="B3322" s="90">
        <v>3318</v>
      </c>
      <c r="C3322" s="39">
        <f t="shared" si="104"/>
        <v>10591142.982217692</v>
      </c>
      <c r="D3322" s="39">
        <f t="shared" si="105"/>
        <v>10514296.148839053</v>
      </c>
    </row>
    <row r="3323" spans="2:4" x14ac:dyDescent="0.25">
      <c r="B3323" s="90">
        <v>3319</v>
      </c>
      <c r="C3323" s="39">
        <f t="shared" si="104"/>
        <v>10593805.894508896</v>
      </c>
      <c r="D3323" s="39">
        <f t="shared" si="105"/>
        <v>10517465.014465587</v>
      </c>
    </row>
    <row r="3324" spans="2:4" x14ac:dyDescent="0.25">
      <c r="B3324" s="90">
        <v>3320</v>
      </c>
      <c r="C3324" s="39">
        <f t="shared" si="104"/>
        <v>10596468.806800101</v>
      </c>
      <c r="D3324" s="39">
        <f t="shared" si="105"/>
        <v>10520633.880092122</v>
      </c>
    </row>
    <row r="3325" spans="2:4" x14ac:dyDescent="0.25">
      <c r="B3325" s="90">
        <v>3321</v>
      </c>
      <c r="C3325" s="39">
        <f t="shared" si="104"/>
        <v>10599131.719091306</v>
      </c>
      <c r="D3325" s="39">
        <f t="shared" si="105"/>
        <v>10523802.745718654</v>
      </c>
    </row>
    <row r="3326" spans="2:4" x14ac:dyDescent="0.25">
      <c r="B3326" s="90">
        <v>3322</v>
      </c>
      <c r="C3326" s="39">
        <f t="shared" si="104"/>
        <v>10601794.63138251</v>
      </c>
      <c r="D3326" s="39">
        <f t="shared" si="105"/>
        <v>10526971.611345189</v>
      </c>
    </row>
    <row r="3327" spans="2:4" x14ac:dyDescent="0.25">
      <c r="B3327" s="90">
        <v>3323</v>
      </c>
      <c r="C3327" s="39">
        <f t="shared" si="104"/>
        <v>10604457.543673715</v>
      </c>
      <c r="D3327" s="39">
        <f t="shared" si="105"/>
        <v>10530140.476971721</v>
      </c>
    </row>
    <row r="3328" spans="2:4" x14ac:dyDescent="0.25">
      <c r="B3328" s="90">
        <v>3324</v>
      </c>
      <c r="C3328" s="39">
        <f t="shared" si="104"/>
        <v>10607120.455964921</v>
      </c>
      <c r="D3328" s="39">
        <f t="shared" si="105"/>
        <v>10533309.342598256</v>
      </c>
    </row>
    <row r="3329" spans="2:4" x14ac:dyDescent="0.25">
      <c r="B3329" s="90">
        <v>3325</v>
      </c>
      <c r="C3329" s="39">
        <f t="shared" si="104"/>
        <v>10609783.368256126</v>
      </c>
      <c r="D3329" s="39">
        <f t="shared" si="105"/>
        <v>10536478.20822479</v>
      </c>
    </row>
    <row r="3330" spans="2:4" x14ac:dyDescent="0.25">
      <c r="B3330" s="90">
        <v>3326</v>
      </c>
      <c r="C3330" s="39">
        <f t="shared" si="104"/>
        <v>10612446.28054733</v>
      </c>
      <c r="D3330" s="39">
        <f t="shared" si="105"/>
        <v>10539647.073851323</v>
      </c>
    </row>
    <row r="3331" spans="2:4" x14ac:dyDescent="0.25">
      <c r="B3331" s="90">
        <v>3327</v>
      </c>
      <c r="C3331" s="39">
        <f t="shared" si="104"/>
        <v>10615109.192838535</v>
      </c>
      <c r="D3331" s="39">
        <f t="shared" si="105"/>
        <v>10542815.939477857</v>
      </c>
    </row>
    <row r="3332" spans="2:4" x14ac:dyDescent="0.25">
      <c r="B3332" s="90">
        <v>3328</v>
      </c>
      <c r="C3332" s="39">
        <f t="shared" si="104"/>
        <v>10617772.105129739</v>
      </c>
      <c r="D3332" s="39">
        <f t="shared" si="105"/>
        <v>10545984.805104392</v>
      </c>
    </row>
    <row r="3333" spans="2:4" x14ac:dyDescent="0.25">
      <c r="B3333" s="90">
        <v>3329</v>
      </c>
      <c r="C3333" s="39">
        <f t="shared" si="104"/>
        <v>10620435.017420944</v>
      </c>
      <c r="D3333" s="39">
        <f t="shared" si="105"/>
        <v>10549153.670730924</v>
      </c>
    </row>
    <row r="3334" spans="2:4" x14ac:dyDescent="0.25">
      <c r="B3334" s="90">
        <v>3330</v>
      </c>
      <c r="C3334" s="39">
        <f t="shared" si="104"/>
        <v>10623097.92971215</v>
      </c>
      <c r="D3334" s="39">
        <f t="shared" si="105"/>
        <v>10552322.536357459</v>
      </c>
    </row>
    <row r="3335" spans="2:4" x14ac:dyDescent="0.25">
      <c r="B3335" s="90">
        <v>3331</v>
      </c>
      <c r="C3335" s="39">
        <f t="shared" si="104"/>
        <v>10625760.842003355</v>
      </c>
      <c r="D3335" s="39">
        <f t="shared" si="105"/>
        <v>10555491.401983993</v>
      </c>
    </row>
    <row r="3336" spans="2:4" x14ac:dyDescent="0.25">
      <c r="B3336" s="90">
        <v>3332</v>
      </c>
      <c r="C3336" s="39">
        <f t="shared" si="104"/>
        <v>10628423.754294559</v>
      </c>
      <c r="D3336" s="39">
        <f t="shared" si="105"/>
        <v>10558660.267610526</v>
      </c>
    </row>
    <row r="3337" spans="2:4" x14ac:dyDescent="0.25">
      <c r="B3337" s="90">
        <v>3333</v>
      </c>
      <c r="C3337" s="39">
        <f t="shared" si="104"/>
        <v>10631086.666585764</v>
      </c>
      <c r="D3337" s="39">
        <f t="shared" si="105"/>
        <v>10561829.13323706</v>
      </c>
    </row>
    <row r="3338" spans="2:4" x14ac:dyDescent="0.25">
      <c r="B3338" s="90">
        <v>3334</v>
      </c>
      <c r="C3338" s="39">
        <f t="shared" si="104"/>
        <v>10633749.578876968</v>
      </c>
      <c r="D3338" s="39">
        <f t="shared" si="105"/>
        <v>10564997.998863593</v>
      </c>
    </row>
    <row r="3339" spans="2:4" x14ac:dyDescent="0.25">
      <c r="B3339" s="90">
        <v>3335</v>
      </c>
      <c r="C3339" s="39">
        <f t="shared" si="104"/>
        <v>10636412.491168173</v>
      </c>
      <c r="D3339" s="39">
        <f t="shared" si="105"/>
        <v>10568166.864490127</v>
      </c>
    </row>
    <row r="3340" spans="2:4" x14ac:dyDescent="0.25">
      <c r="B3340" s="90">
        <v>3336</v>
      </c>
      <c r="C3340" s="39">
        <f t="shared" si="104"/>
        <v>10639075.403459379</v>
      </c>
      <c r="D3340" s="39">
        <f t="shared" si="105"/>
        <v>10571335.730116662</v>
      </c>
    </row>
    <row r="3341" spans="2:4" x14ac:dyDescent="0.25">
      <c r="B3341" s="90">
        <v>3337</v>
      </c>
      <c r="C3341" s="39">
        <f t="shared" si="104"/>
        <v>10641738.315750584</v>
      </c>
      <c r="D3341" s="39">
        <f t="shared" si="105"/>
        <v>10574504.595743194</v>
      </c>
    </row>
    <row r="3342" spans="2:4" x14ac:dyDescent="0.25">
      <c r="B3342" s="90">
        <v>3338</v>
      </c>
      <c r="C3342" s="39">
        <f t="shared" si="104"/>
        <v>10644401.228041789</v>
      </c>
      <c r="D3342" s="39">
        <f t="shared" si="105"/>
        <v>10577673.461369729</v>
      </c>
    </row>
    <row r="3343" spans="2:4" x14ac:dyDescent="0.25">
      <c r="B3343" s="90">
        <v>3339</v>
      </c>
      <c r="C3343" s="39">
        <f t="shared" si="104"/>
        <v>10647064.140332993</v>
      </c>
      <c r="D3343" s="39">
        <f t="shared" si="105"/>
        <v>10580842.326996263</v>
      </c>
    </row>
    <row r="3344" spans="2:4" x14ac:dyDescent="0.25">
      <c r="B3344" s="90">
        <v>3340</v>
      </c>
      <c r="C3344" s="39">
        <f t="shared" si="104"/>
        <v>10649727.052624198</v>
      </c>
      <c r="D3344" s="39">
        <f t="shared" si="105"/>
        <v>10584011.192622796</v>
      </c>
    </row>
    <row r="3345" spans="2:4" x14ac:dyDescent="0.25">
      <c r="B3345" s="90">
        <v>3341</v>
      </c>
      <c r="C3345" s="39">
        <f t="shared" si="104"/>
        <v>10652389.964915402</v>
      </c>
      <c r="D3345" s="39">
        <f t="shared" si="105"/>
        <v>10587180.05824933</v>
      </c>
    </row>
    <row r="3346" spans="2:4" x14ac:dyDescent="0.25">
      <c r="B3346" s="90">
        <v>3342</v>
      </c>
      <c r="C3346" s="39">
        <f t="shared" si="104"/>
        <v>10655052.877206607</v>
      </c>
      <c r="D3346" s="39">
        <f t="shared" si="105"/>
        <v>10590348.923875865</v>
      </c>
    </row>
    <row r="3347" spans="2:4" x14ac:dyDescent="0.25">
      <c r="B3347" s="90">
        <v>3343</v>
      </c>
      <c r="C3347" s="39">
        <f t="shared" si="104"/>
        <v>10657715.789497813</v>
      </c>
      <c r="D3347" s="39">
        <f t="shared" si="105"/>
        <v>10593517.789502397</v>
      </c>
    </row>
    <row r="3348" spans="2:4" x14ac:dyDescent="0.25">
      <c r="B3348" s="90">
        <v>3344</v>
      </c>
      <c r="C3348" s="39">
        <f t="shared" si="104"/>
        <v>10660378.701789018</v>
      </c>
      <c r="D3348" s="39">
        <f t="shared" si="105"/>
        <v>10596686.655128932</v>
      </c>
    </row>
    <row r="3349" spans="2:4" x14ac:dyDescent="0.25">
      <c r="B3349" s="90">
        <v>3345</v>
      </c>
      <c r="C3349" s="39">
        <f t="shared" si="104"/>
        <v>10663041.614080222</v>
      </c>
      <c r="D3349" s="39">
        <f t="shared" si="105"/>
        <v>10599855.520755464</v>
      </c>
    </row>
    <row r="3350" spans="2:4" x14ac:dyDescent="0.25">
      <c r="B3350" s="90">
        <v>3346</v>
      </c>
      <c r="C3350" s="39">
        <f t="shared" si="104"/>
        <v>10665704.526371427</v>
      </c>
      <c r="D3350" s="39">
        <f t="shared" si="105"/>
        <v>10603024.386381999</v>
      </c>
    </row>
    <row r="3351" spans="2:4" x14ac:dyDescent="0.25">
      <c r="B3351" s="90">
        <v>3347</v>
      </c>
      <c r="C3351" s="39">
        <f t="shared" si="104"/>
        <v>10668367.438662631</v>
      </c>
      <c r="D3351" s="39">
        <f t="shared" si="105"/>
        <v>10606193.252008533</v>
      </c>
    </row>
    <row r="3352" spans="2:4" x14ac:dyDescent="0.25">
      <c r="B3352" s="90">
        <v>3348</v>
      </c>
      <c r="C3352" s="39">
        <f t="shared" si="104"/>
        <v>10671030.350953836</v>
      </c>
      <c r="D3352" s="39">
        <f t="shared" si="105"/>
        <v>10609362.117635066</v>
      </c>
    </row>
    <row r="3353" spans="2:4" x14ac:dyDescent="0.25">
      <c r="B3353" s="90">
        <v>3349</v>
      </c>
      <c r="C3353" s="39">
        <f t="shared" si="104"/>
        <v>10673693.263245042</v>
      </c>
      <c r="D3353" s="39">
        <f t="shared" si="105"/>
        <v>10612530.9832616</v>
      </c>
    </row>
    <row r="3354" spans="2:4" x14ac:dyDescent="0.25">
      <c r="B3354" s="90">
        <v>3350</v>
      </c>
      <c r="C3354" s="39">
        <f t="shared" si="104"/>
        <v>10676356.175536247</v>
      </c>
      <c r="D3354" s="39">
        <f t="shared" si="105"/>
        <v>10615699.848888135</v>
      </c>
    </row>
    <row r="3355" spans="2:4" x14ac:dyDescent="0.25">
      <c r="B3355" s="90">
        <v>3351</v>
      </c>
      <c r="C3355" s="39">
        <f t="shared" si="104"/>
        <v>10679019.087827452</v>
      </c>
      <c r="D3355" s="39">
        <f t="shared" si="105"/>
        <v>10618868.714514667</v>
      </c>
    </row>
    <row r="3356" spans="2:4" x14ac:dyDescent="0.25">
      <c r="B3356" s="90">
        <v>3352</v>
      </c>
      <c r="C3356" s="39">
        <f t="shared" si="104"/>
        <v>10681682.000118656</v>
      </c>
      <c r="D3356" s="39">
        <f t="shared" si="105"/>
        <v>10622037.580141202</v>
      </c>
    </row>
    <row r="3357" spans="2:4" x14ac:dyDescent="0.25">
      <c r="B3357" s="90">
        <v>3353</v>
      </c>
      <c r="C3357" s="39">
        <f t="shared" si="104"/>
        <v>10684344.912409861</v>
      </c>
      <c r="D3357" s="39">
        <f t="shared" si="105"/>
        <v>10625206.445767736</v>
      </c>
    </row>
    <row r="3358" spans="2:4" x14ac:dyDescent="0.25">
      <c r="B3358" s="90">
        <v>3354</v>
      </c>
      <c r="C3358" s="39">
        <f t="shared" si="104"/>
        <v>10687007.824701065</v>
      </c>
      <c r="D3358" s="39">
        <f t="shared" si="105"/>
        <v>10628375.311394269</v>
      </c>
    </row>
    <row r="3359" spans="2:4" x14ac:dyDescent="0.25">
      <c r="B3359" s="90">
        <v>3355</v>
      </c>
      <c r="C3359" s="39">
        <f t="shared" si="104"/>
        <v>10689670.73699227</v>
      </c>
      <c r="D3359" s="39">
        <f t="shared" si="105"/>
        <v>10631544.177020803</v>
      </c>
    </row>
    <row r="3360" spans="2:4" x14ac:dyDescent="0.25">
      <c r="B3360" s="90">
        <v>3356</v>
      </c>
      <c r="C3360" s="39">
        <f t="shared" si="104"/>
        <v>10692333.649283476</v>
      </c>
      <c r="D3360" s="39">
        <f t="shared" si="105"/>
        <v>10634713.042647336</v>
      </c>
    </row>
    <row r="3361" spans="2:4" x14ac:dyDescent="0.25">
      <c r="B3361" s="90">
        <v>3357</v>
      </c>
      <c r="C3361" s="39">
        <f t="shared" si="104"/>
        <v>10694996.561574681</v>
      </c>
      <c r="D3361" s="39">
        <f t="shared" si="105"/>
        <v>10637881.90827387</v>
      </c>
    </row>
    <row r="3362" spans="2:4" x14ac:dyDescent="0.25">
      <c r="B3362" s="90">
        <v>3358</v>
      </c>
      <c r="C3362" s="39">
        <f t="shared" si="104"/>
        <v>10697659.473865885</v>
      </c>
      <c r="D3362" s="39">
        <f t="shared" si="105"/>
        <v>10641050.773900405</v>
      </c>
    </row>
    <row r="3363" spans="2:4" x14ac:dyDescent="0.25">
      <c r="B3363" s="90">
        <v>3359</v>
      </c>
      <c r="C3363" s="39">
        <f t="shared" si="104"/>
        <v>10700322.38615709</v>
      </c>
      <c r="D3363" s="39">
        <f t="shared" si="105"/>
        <v>10644219.639526937</v>
      </c>
    </row>
    <row r="3364" spans="2:4" x14ac:dyDescent="0.25">
      <c r="B3364" s="90">
        <v>3360</v>
      </c>
      <c r="C3364" s="39">
        <f t="shared" si="104"/>
        <v>10702985.298448294</v>
      </c>
      <c r="D3364" s="39">
        <f t="shared" si="105"/>
        <v>10647388.505153472</v>
      </c>
    </row>
    <row r="3365" spans="2:4" x14ac:dyDescent="0.25">
      <c r="B3365" s="90">
        <v>3361</v>
      </c>
      <c r="C3365" s="39">
        <f t="shared" si="104"/>
        <v>10705648.210739499</v>
      </c>
      <c r="D3365" s="39">
        <f t="shared" si="105"/>
        <v>10650557.370780006</v>
      </c>
    </row>
    <row r="3366" spans="2:4" x14ac:dyDescent="0.25">
      <c r="B3366" s="90">
        <v>3362</v>
      </c>
      <c r="C3366" s="39">
        <f t="shared" si="104"/>
        <v>10708311.123030705</v>
      </c>
      <c r="D3366" s="39">
        <f t="shared" si="105"/>
        <v>10653726.236406539</v>
      </c>
    </row>
    <row r="3367" spans="2:4" x14ac:dyDescent="0.25">
      <c r="B3367" s="90">
        <v>3363</v>
      </c>
      <c r="C3367" s="39">
        <f t="shared" si="104"/>
        <v>10710974.03532191</v>
      </c>
      <c r="D3367" s="39">
        <f t="shared" si="105"/>
        <v>10656895.102033073</v>
      </c>
    </row>
    <row r="3368" spans="2:4" x14ac:dyDescent="0.25">
      <c r="B3368" s="90">
        <v>3364</v>
      </c>
      <c r="C3368" s="39">
        <f t="shared" si="104"/>
        <v>10713636.947613114</v>
      </c>
      <c r="D3368" s="39">
        <f t="shared" si="105"/>
        <v>10660063.967659608</v>
      </c>
    </row>
    <row r="3369" spans="2:4" x14ac:dyDescent="0.25">
      <c r="B3369" s="90">
        <v>3365</v>
      </c>
      <c r="C3369" s="39">
        <f t="shared" si="104"/>
        <v>10716299.859904319</v>
      </c>
      <c r="D3369" s="39">
        <f t="shared" si="105"/>
        <v>10663232.83328614</v>
      </c>
    </row>
    <row r="3370" spans="2:4" x14ac:dyDescent="0.25">
      <c r="B3370" s="90">
        <v>3366</v>
      </c>
      <c r="C3370" s="39">
        <f t="shared" si="104"/>
        <v>10718962.772195524</v>
      </c>
      <c r="D3370" s="39">
        <f t="shared" si="105"/>
        <v>10666401.698912675</v>
      </c>
    </row>
    <row r="3371" spans="2:4" x14ac:dyDescent="0.25">
      <c r="B3371" s="90">
        <v>3367</v>
      </c>
      <c r="C3371" s="39">
        <f t="shared" si="104"/>
        <v>10721625.684486728</v>
      </c>
      <c r="D3371" s="39">
        <f t="shared" si="105"/>
        <v>10669570.564539207</v>
      </c>
    </row>
    <row r="3372" spans="2:4" x14ac:dyDescent="0.25">
      <c r="B3372" s="90">
        <v>3368</v>
      </c>
      <c r="C3372" s="39">
        <f t="shared" si="104"/>
        <v>10724288.596777935</v>
      </c>
      <c r="D3372" s="39">
        <f t="shared" si="105"/>
        <v>10672739.430165742</v>
      </c>
    </row>
    <row r="3373" spans="2:4" x14ac:dyDescent="0.25">
      <c r="B3373" s="90">
        <v>3369</v>
      </c>
      <c r="C3373" s="39">
        <f t="shared" si="104"/>
        <v>10726951.509069139</v>
      </c>
      <c r="D3373" s="39">
        <f t="shared" si="105"/>
        <v>10675908.295792276</v>
      </c>
    </row>
    <row r="3374" spans="2:4" x14ac:dyDescent="0.25">
      <c r="B3374" s="90">
        <v>3370</v>
      </c>
      <c r="C3374" s="39">
        <f t="shared" si="104"/>
        <v>10729614.421360344</v>
      </c>
      <c r="D3374" s="39">
        <f t="shared" si="105"/>
        <v>10679077.161418809</v>
      </c>
    </row>
    <row r="3375" spans="2:4" x14ac:dyDescent="0.25">
      <c r="B3375" s="90">
        <v>3371</v>
      </c>
      <c r="C3375" s="39">
        <f t="shared" si="104"/>
        <v>10732277.333651548</v>
      </c>
      <c r="D3375" s="39">
        <f t="shared" si="105"/>
        <v>10682246.027045343</v>
      </c>
    </row>
    <row r="3376" spans="2:4" x14ac:dyDescent="0.25">
      <c r="B3376" s="90">
        <v>3372</v>
      </c>
      <c r="C3376" s="39">
        <f t="shared" si="104"/>
        <v>10734940.245942753</v>
      </c>
      <c r="D3376" s="39">
        <f t="shared" si="105"/>
        <v>10685414.892671878</v>
      </c>
    </row>
    <row r="3377" spans="2:4" x14ac:dyDescent="0.25">
      <c r="B3377" s="90">
        <v>3373</v>
      </c>
      <c r="C3377" s="39">
        <f t="shared" ref="C3377:C3440" si="106">($C$2*B3377)+$C$1</f>
        <v>10737603.158233957</v>
      </c>
      <c r="D3377" s="39">
        <f t="shared" ref="D3377:D3440" si="107">$D$2*B3377</f>
        <v>10688583.75829841</v>
      </c>
    </row>
    <row r="3378" spans="2:4" x14ac:dyDescent="0.25">
      <c r="B3378" s="90">
        <v>3374</v>
      </c>
      <c r="C3378" s="39">
        <f t="shared" si="106"/>
        <v>10740266.070525162</v>
      </c>
      <c r="D3378" s="39">
        <f t="shared" si="107"/>
        <v>10691752.623924945</v>
      </c>
    </row>
    <row r="3379" spans="2:4" x14ac:dyDescent="0.25">
      <c r="B3379" s="90">
        <v>3375</v>
      </c>
      <c r="C3379" s="39">
        <f t="shared" si="106"/>
        <v>10742928.982816368</v>
      </c>
      <c r="D3379" s="39">
        <f t="shared" si="107"/>
        <v>10694921.489551479</v>
      </c>
    </row>
    <row r="3380" spans="2:4" x14ac:dyDescent="0.25">
      <c r="B3380" s="90">
        <v>3376</v>
      </c>
      <c r="C3380" s="39">
        <f t="shared" si="106"/>
        <v>10745591.895107573</v>
      </c>
      <c r="D3380" s="39">
        <f t="shared" si="107"/>
        <v>10698090.355178012</v>
      </c>
    </row>
    <row r="3381" spans="2:4" x14ac:dyDescent="0.25">
      <c r="B3381" s="90">
        <v>3377</v>
      </c>
      <c r="C3381" s="39">
        <f t="shared" si="106"/>
        <v>10748254.807398777</v>
      </c>
      <c r="D3381" s="39">
        <f t="shared" si="107"/>
        <v>10701259.220804546</v>
      </c>
    </row>
    <row r="3382" spans="2:4" x14ac:dyDescent="0.25">
      <c r="B3382" s="90">
        <v>3378</v>
      </c>
      <c r="C3382" s="39">
        <f t="shared" si="106"/>
        <v>10750917.719689982</v>
      </c>
      <c r="D3382" s="39">
        <f t="shared" si="107"/>
        <v>10704428.086431079</v>
      </c>
    </row>
    <row r="3383" spans="2:4" x14ac:dyDescent="0.25">
      <c r="B3383" s="90">
        <v>3379</v>
      </c>
      <c r="C3383" s="39">
        <f t="shared" si="106"/>
        <v>10753580.631981187</v>
      </c>
      <c r="D3383" s="39">
        <f t="shared" si="107"/>
        <v>10707596.952057613</v>
      </c>
    </row>
    <row r="3384" spans="2:4" x14ac:dyDescent="0.25">
      <c r="B3384" s="90">
        <v>3380</v>
      </c>
      <c r="C3384" s="39">
        <f t="shared" si="106"/>
        <v>10756243.544272391</v>
      </c>
      <c r="D3384" s="39">
        <f t="shared" si="107"/>
        <v>10710765.817684148</v>
      </c>
    </row>
    <row r="3385" spans="2:4" x14ac:dyDescent="0.25">
      <c r="B3385" s="90">
        <v>3381</v>
      </c>
      <c r="C3385" s="39">
        <f t="shared" si="106"/>
        <v>10758906.456563598</v>
      </c>
      <c r="D3385" s="39">
        <f t="shared" si="107"/>
        <v>10713934.68331068</v>
      </c>
    </row>
    <row r="3386" spans="2:4" x14ac:dyDescent="0.25">
      <c r="B3386" s="90">
        <v>3382</v>
      </c>
      <c r="C3386" s="39">
        <f t="shared" si="106"/>
        <v>10761569.368854802</v>
      </c>
      <c r="D3386" s="39">
        <f t="shared" si="107"/>
        <v>10717103.548937215</v>
      </c>
    </row>
    <row r="3387" spans="2:4" x14ac:dyDescent="0.25">
      <c r="B3387" s="90">
        <v>3383</v>
      </c>
      <c r="C3387" s="39">
        <f t="shared" si="106"/>
        <v>10764232.281146007</v>
      </c>
      <c r="D3387" s="39">
        <f t="shared" si="107"/>
        <v>10720272.414563749</v>
      </c>
    </row>
    <row r="3388" spans="2:4" x14ac:dyDescent="0.25">
      <c r="B3388" s="90">
        <v>3384</v>
      </c>
      <c r="C3388" s="39">
        <f t="shared" si="106"/>
        <v>10766895.193437211</v>
      </c>
      <c r="D3388" s="39">
        <f t="shared" si="107"/>
        <v>10723441.280190282</v>
      </c>
    </row>
    <row r="3389" spans="2:4" x14ac:dyDescent="0.25">
      <c r="B3389" s="90">
        <v>3385</v>
      </c>
      <c r="C3389" s="39">
        <f t="shared" si="106"/>
        <v>10769558.105728416</v>
      </c>
      <c r="D3389" s="39">
        <f t="shared" si="107"/>
        <v>10726610.145816816</v>
      </c>
    </row>
    <row r="3390" spans="2:4" x14ac:dyDescent="0.25">
      <c r="B3390" s="90">
        <v>3386</v>
      </c>
      <c r="C3390" s="39">
        <f t="shared" si="106"/>
        <v>10772221.01801962</v>
      </c>
      <c r="D3390" s="39">
        <f t="shared" si="107"/>
        <v>10729779.01144335</v>
      </c>
    </row>
    <row r="3391" spans="2:4" x14ac:dyDescent="0.25">
      <c r="B3391" s="90">
        <v>3387</v>
      </c>
      <c r="C3391" s="39">
        <f t="shared" si="106"/>
        <v>10774883.930310827</v>
      </c>
      <c r="D3391" s="39">
        <f t="shared" si="107"/>
        <v>10732947.877069883</v>
      </c>
    </row>
    <row r="3392" spans="2:4" x14ac:dyDescent="0.25">
      <c r="B3392" s="90">
        <v>3388</v>
      </c>
      <c r="C3392" s="39">
        <f t="shared" si="106"/>
        <v>10777546.842602031</v>
      </c>
      <c r="D3392" s="39">
        <f t="shared" si="107"/>
        <v>10736116.742696417</v>
      </c>
    </row>
    <row r="3393" spans="2:4" x14ac:dyDescent="0.25">
      <c r="B3393" s="90">
        <v>3389</v>
      </c>
      <c r="C3393" s="39">
        <f t="shared" si="106"/>
        <v>10780209.754893236</v>
      </c>
      <c r="D3393" s="39">
        <f t="shared" si="107"/>
        <v>10739285.60832295</v>
      </c>
    </row>
    <row r="3394" spans="2:4" x14ac:dyDescent="0.25">
      <c r="B3394" s="90">
        <v>3390</v>
      </c>
      <c r="C3394" s="39">
        <f t="shared" si="106"/>
        <v>10782872.66718444</v>
      </c>
      <c r="D3394" s="39">
        <f t="shared" si="107"/>
        <v>10742454.473949485</v>
      </c>
    </row>
    <row r="3395" spans="2:4" x14ac:dyDescent="0.25">
      <c r="B3395" s="90">
        <v>3391</v>
      </c>
      <c r="C3395" s="39">
        <f t="shared" si="106"/>
        <v>10785535.579475645</v>
      </c>
      <c r="D3395" s="39">
        <f t="shared" si="107"/>
        <v>10745623.339576019</v>
      </c>
    </row>
    <row r="3396" spans="2:4" x14ac:dyDescent="0.25">
      <c r="B3396" s="90">
        <v>3392</v>
      </c>
      <c r="C3396" s="39">
        <f t="shared" si="106"/>
        <v>10788198.49176685</v>
      </c>
      <c r="D3396" s="39">
        <f t="shared" si="107"/>
        <v>10748792.205202552</v>
      </c>
    </row>
    <row r="3397" spans="2:4" x14ac:dyDescent="0.25">
      <c r="B3397" s="90">
        <v>3393</v>
      </c>
      <c r="C3397" s="39">
        <f t="shared" si="106"/>
        <v>10790861.404058054</v>
      </c>
      <c r="D3397" s="39">
        <f t="shared" si="107"/>
        <v>10751961.070829086</v>
      </c>
    </row>
    <row r="3398" spans="2:4" x14ac:dyDescent="0.25">
      <c r="B3398" s="90">
        <v>3394</v>
      </c>
      <c r="C3398" s="39">
        <f t="shared" si="106"/>
        <v>10793524.316349261</v>
      </c>
      <c r="D3398" s="39">
        <f t="shared" si="107"/>
        <v>10755129.93645562</v>
      </c>
    </row>
    <row r="3399" spans="2:4" x14ac:dyDescent="0.25">
      <c r="B3399" s="90">
        <v>3395</v>
      </c>
      <c r="C3399" s="39">
        <f t="shared" si="106"/>
        <v>10796187.228640465</v>
      </c>
      <c r="D3399" s="39">
        <f t="shared" si="107"/>
        <v>10758298.802082153</v>
      </c>
    </row>
    <row r="3400" spans="2:4" x14ac:dyDescent="0.25">
      <c r="B3400" s="90">
        <v>3396</v>
      </c>
      <c r="C3400" s="39">
        <f t="shared" si="106"/>
        <v>10798850.14093167</v>
      </c>
      <c r="D3400" s="39">
        <f t="shared" si="107"/>
        <v>10761467.667708687</v>
      </c>
    </row>
    <row r="3401" spans="2:4" x14ac:dyDescent="0.25">
      <c r="B3401" s="90">
        <v>3397</v>
      </c>
      <c r="C3401" s="39">
        <f t="shared" si="106"/>
        <v>10801513.053222874</v>
      </c>
      <c r="D3401" s="39">
        <f t="shared" si="107"/>
        <v>10764636.533335222</v>
      </c>
    </row>
    <row r="3402" spans="2:4" x14ac:dyDescent="0.25">
      <c r="B3402" s="90">
        <v>3398</v>
      </c>
      <c r="C3402" s="39">
        <f t="shared" si="106"/>
        <v>10804175.965514079</v>
      </c>
      <c r="D3402" s="39">
        <f t="shared" si="107"/>
        <v>10767805.398961755</v>
      </c>
    </row>
    <row r="3403" spans="2:4" x14ac:dyDescent="0.25">
      <c r="B3403" s="90">
        <v>3399</v>
      </c>
      <c r="C3403" s="39">
        <f t="shared" si="106"/>
        <v>10806838.877805283</v>
      </c>
      <c r="D3403" s="39">
        <f t="shared" si="107"/>
        <v>10770974.264588289</v>
      </c>
    </row>
    <row r="3404" spans="2:4" x14ac:dyDescent="0.25">
      <c r="B3404" s="90">
        <v>3400</v>
      </c>
      <c r="C3404" s="39">
        <f t="shared" si="106"/>
        <v>10809501.79009649</v>
      </c>
      <c r="D3404" s="39">
        <f t="shared" si="107"/>
        <v>10774143.130214823</v>
      </c>
    </row>
    <row r="3405" spans="2:4" x14ac:dyDescent="0.25">
      <c r="B3405" s="90">
        <v>3401</v>
      </c>
      <c r="C3405" s="39">
        <f t="shared" si="106"/>
        <v>10812164.702387694</v>
      </c>
      <c r="D3405" s="39">
        <f t="shared" si="107"/>
        <v>10777311.995841356</v>
      </c>
    </row>
    <row r="3406" spans="2:4" x14ac:dyDescent="0.25">
      <c r="B3406" s="90">
        <v>3402</v>
      </c>
      <c r="C3406" s="39">
        <f t="shared" si="106"/>
        <v>10814827.614678899</v>
      </c>
      <c r="D3406" s="39">
        <f t="shared" si="107"/>
        <v>10780480.86146789</v>
      </c>
    </row>
    <row r="3407" spans="2:4" x14ac:dyDescent="0.25">
      <c r="B3407" s="90">
        <v>3403</v>
      </c>
      <c r="C3407" s="39">
        <f t="shared" si="106"/>
        <v>10817490.526970103</v>
      </c>
      <c r="D3407" s="39">
        <f t="shared" si="107"/>
        <v>10783649.727094423</v>
      </c>
    </row>
    <row r="3408" spans="2:4" x14ac:dyDescent="0.25">
      <c r="B3408" s="90">
        <v>3404</v>
      </c>
      <c r="C3408" s="39">
        <f t="shared" si="106"/>
        <v>10820153.439261308</v>
      </c>
      <c r="D3408" s="39">
        <f t="shared" si="107"/>
        <v>10786818.592720957</v>
      </c>
    </row>
    <row r="3409" spans="2:4" x14ac:dyDescent="0.25">
      <c r="B3409" s="90">
        <v>3405</v>
      </c>
      <c r="C3409" s="39">
        <f t="shared" si="106"/>
        <v>10822816.351552512</v>
      </c>
      <c r="D3409" s="39">
        <f t="shared" si="107"/>
        <v>10789987.458347492</v>
      </c>
    </row>
    <row r="3410" spans="2:4" x14ac:dyDescent="0.25">
      <c r="B3410" s="90">
        <v>3406</v>
      </c>
      <c r="C3410" s="39">
        <f t="shared" si="106"/>
        <v>10825479.263843719</v>
      </c>
      <c r="D3410" s="39">
        <f t="shared" si="107"/>
        <v>10793156.323974025</v>
      </c>
    </row>
    <row r="3411" spans="2:4" x14ac:dyDescent="0.25">
      <c r="B3411" s="90">
        <v>3407</v>
      </c>
      <c r="C3411" s="39">
        <f t="shared" si="106"/>
        <v>10828142.176134923</v>
      </c>
      <c r="D3411" s="39">
        <f t="shared" si="107"/>
        <v>10796325.189600559</v>
      </c>
    </row>
    <row r="3412" spans="2:4" x14ac:dyDescent="0.25">
      <c r="B3412" s="90">
        <v>3408</v>
      </c>
      <c r="C3412" s="39">
        <f t="shared" si="106"/>
        <v>10830805.088426128</v>
      </c>
      <c r="D3412" s="39">
        <f t="shared" si="107"/>
        <v>10799494.055227093</v>
      </c>
    </row>
    <row r="3413" spans="2:4" x14ac:dyDescent="0.25">
      <c r="B3413" s="90">
        <v>3409</v>
      </c>
      <c r="C3413" s="39">
        <f t="shared" si="106"/>
        <v>10833468.000717333</v>
      </c>
      <c r="D3413" s="39">
        <f t="shared" si="107"/>
        <v>10802662.920853626</v>
      </c>
    </row>
    <row r="3414" spans="2:4" x14ac:dyDescent="0.25">
      <c r="B3414" s="90">
        <v>3410</v>
      </c>
      <c r="C3414" s="39">
        <f t="shared" si="106"/>
        <v>10836130.913008537</v>
      </c>
      <c r="D3414" s="39">
        <f t="shared" si="107"/>
        <v>10805831.78648016</v>
      </c>
    </row>
    <row r="3415" spans="2:4" x14ac:dyDescent="0.25">
      <c r="B3415" s="90">
        <v>3411</v>
      </c>
      <c r="C3415" s="39">
        <f t="shared" si="106"/>
        <v>10838793.825299742</v>
      </c>
      <c r="D3415" s="39">
        <f t="shared" si="107"/>
        <v>10809000.652106695</v>
      </c>
    </row>
    <row r="3416" spans="2:4" x14ac:dyDescent="0.25">
      <c r="B3416" s="90">
        <v>3412</v>
      </c>
      <c r="C3416" s="39">
        <f t="shared" si="106"/>
        <v>10841456.737590946</v>
      </c>
      <c r="D3416" s="39">
        <f t="shared" si="107"/>
        <v>10812169.517733227</v>
      </c>
    </row>
    <row r="3417" spans="2:4" x14ac:dyDescent="0.25">
      <c r="B3417" s="90">
        <v>3413</v>
      </c>
      <c r="C3417" s="39">
        <f t="shared" si="106"/>
        <v>10844119.649882153</v>
      </c>
      <c r="D3417" s="39">
        <f t="shared" si="107"/>
        <v>10815338.383359762</v>
      </c>
    </row>
    <row r="3418" spans="2:4" x14ac:dyDescent="0.25">
      <c r="B3418" s="90">
        <v>3414</v>
      </c>
      <c r="C3418" s="39">
        <f t="shared" si="106"/>
        <v>10846782.562173357</v>
      </c>
      <c r="D3418" s="39">
        <f t="shared" si="107"/>
        <v>10818507.248986294</v>
      </c>
    </row>
    <row r="3419" spans="2:4" x14ac:dyDescent="0.25">
      <c r="B3419" s="90">
        <v>3415</v>
      </c>
      <c r="C3419" s="39">
        <f t="shared" si="106"/>
        <v>10849445.474464562</v>
      </c>
      <c r="D3419" s="39">
        <f t="shared" si="107"/>
        <v>10821676.114612829</v>
      </c>
    </row>
    <row r="3420" spans="2:4" x14ac:dyDescent="0.25">
      <c r="B3420" s="90">
        <v>3416</v>
      </c>
      <c r="C3420" s="39">
        <f t="shared" si="106"/>
        <v>10852108.386755766</v>
      </c>
      <c r="D3420" s="39">
        <f t="shared" si="107"/>
        <v>10824844.980239363</v>
      </c>
    </row>
    <row r="3421" spans="2:4" x14ac:dyDescent="0.25">
      <c r="B3421" s="90">
        <v>3417</v>
      </c>
      <c r="C3421" s="39">
        <f t="shared" si="106"/>
        <v>10854771.299046971</v>
      </c>
      <c r="D3421" s="39">
        <f t="shared" si="107"/>
        <v>10828013.845865896</v>
      </c>
    </row>
    <row r="3422" spans="2:4" x14ac:dyDescent="0.25">
      <c r="B3422" s="90">
        <v>3418</v>
      </c>
      <c r="C3422" s="39">
        <f t="shared" si="106"/>
        <v>10857434.211338175</v>
      </c>
      <c r="D3422" s="39">
        <f t="shared" si="107"/>
        <v>10831182.71149243</v>
      </c>
    </row>
    <row r="3423" spans="2:4" x14ac:dyDescent="0.25">
      <c r="B3423" s="90">
        <v>3419</v>
      </c>
      <c r="C3423" s="39">
        <f t="shared" si="106"/>
        <v>10860097.123629382</v>
      </c>
      <c r="D3423" s="39">
        <f t="shared" si="107"/>
        <v>10834351.577118965</v>
      </c>
    </row>
    <row r="3424" spans="2:4" x14ac:dyDescent="0.25">
      <c r="B3424" s="90">
        <v>3420</v>
      </c>
      <c r="C3424" s="39">
        <f t="shared" si="106"/>
        <v>10862760.035920586</v>
      </c>
      <c r="D3424" s="39">
        <f t="shared" si="107"/>
        <v>10837520.442745497</v>
      </c>
    </row>
    <row r="3425" spans="2:4" x14ac:dyDescent="0.25">
      <c r="B3425" s="90">
        <v>3421</v>
      </c>
      <c r="C3425" s="39">
        <f t="shared" si="106"/>
        <v>10865422.948211791</v>
      </c>
      <c r="D3425" s="39">
        <f t="shared" si="107"/>
        <v>10840689.308372032</v>
      </c>
    </row>
    <row r="3426" spans="2:4" x14ac:dyDescent="0.25">
      <c r="B3426" s="90">
        <v>3422</v>
      </c>
      <c r="C3426" s="39">
        <f t="shared" si="106"/>
        <v>10868085.860502996</v>
      </c>
      <c r="D3426" s="39">
        <f t="shared" si="107"/>
        <v>10843858.173998566</v>
      </c>
    </row>
    <row r="3427" spans="2:4" x14ac:dyDescent="0.25">
      <c r="B3427" s="90">
        <v>3423</v>
      </c>
      <c r="C3427" s="39">
        <f t="shared" si="106"/>
        <v>10870748.7727942</v>
      </c>
      <c r="D3427" s="39">
        <f t="shared" si="107"/>
        <v>10847027.039625099</v>
      </c>
    </row>
    <row r="3428" spans="2:4" x14ac:dyDescent="0.25">
      <c r="B3428" s="90">
        <v>3424</v>
      </c>
      <c r="C3428" s="39">
        <f t="shared" si="106"/>
        <v>10873411.685085405</v>
      </c>
      <c r="D3428" s="39">
        <f t="shared" si="107"/>
        <v>10850195.905251633</v>
      </c>
    </row>
    <row r="3429" spans="2:4" x14ac:dyDescent="0.25">
      <c r="B3429" s="90">
        <v>3425</v>
      </c>
      <c r="C3429" s="39">
        <f t="shared" si="106"/>
        <v>10876074.597376611</v>
      </c>
      <c r="D3429" s="39">
        <f t="shared" si="107"/>
        <v>10853364.770878166</v>
      </c>
    </row>
    <row r="3430" spans="2:4" x14ac:dyDescent="0.25">
      <c r="B3430" s="90">
        <v>3426</v>
      </c>
      <c r="C3430" s="39">
        <f t="shared" si="106"/>
        <v>10878737.509667816</v>
      </c>
      <c r="D3430" s="39">
        <f t="shared" si="107"/>
        <v>10856533.6365047</v>
      </c>
    </row>
    <row r="3431" spans="2:4" x14ac:dyDescent="0.25">
      <c r="B3431" s="90">
        <v>3427</v>
      </c>
      <c r="C3431" s="39">
        <f t="shared" si="106"/>
        <v>10881400.42195902</v>
      </c>
      <c r="D3431" s="39">
        <f t="shared" si="107"/>
        <v>10859702.502131235</v>
      </c>
    </row>
    <row r="3432" spans="2:4" x14ac:dyDescent="0.25">
      <c r="B3432" s="90">
        <v>3428</v>
      </c>
      <c r="C3432" s="39">
        <f t="shared" si="106"/>
        <v>10884063.334250225</v>
      </c>
      <c r="D3432" s="39">
        <f t="shared" si="107"/>
        <v>10862871.367757767</v>
      </c>
    </row>
    <row r="3433" spans="2:4" x14ac:dyDescent="0.25">
      <c r="B3433" s="90">
        <v>3429</v>
      </c>
      <c r="C3433" s="39">
        <f t="shared" si="106"/>
        <v>10886726.246541429</v>
      </c>
      <c r="D3433" s="39">
        <f t="shared" si="107"/>
        <v>10866040.233384302</v>
      </c>
    </row>
    <row r="3434" spans="2:4" x14ac:dyDescent="0.25">
      <c r="B3434" s="90">
        <v>3430</v>
      </c>
      <c r="C3434" s="39">
        <f t="shared" si="106"/>
        <v>10889389.158832634</v>
      </c>
      <c r="D3434" s="39">
        <f t="shared" si="107"/>
        <v>10869209.099010836</v>
      </c>
    </row>
    <row r="3435" spans="2:4" x14ac:dyDescent="0.25">
      <c r="B3435" s="90">
        <v>3431</v>
      </c>
      <c r="C3435" s="39">
        <f t="shared" si="106"/>
        <v>10892052.071123838</v>
      </c>
      <c r="D3435" s="39">
        <f t="shared" si="107"/>
        <v>10872377.964637369</v>
      </c>
    </row>
    <row r="3436" spans="2:4" x14ac:dyDescent="0.25">
      <c r="B3436" s="90">
        <v>3432</v>
      </c>
      <c r="C3436" s="39">
        <f t="shared" si="106"/>
        <v>10894714.983415045</v>
      </c>
      <c r="D3436" s="39">
        <f t="shared" si="107"/>
        <v>10875546.830263903</v>
      </c>
    </row>
    <row r="3437" spans="2:4" x14ac:dyDescent="0.25">
      <c r="B3437" s="90">
        <v>3433</v>
      </c>
      <c r="C3437" s="39">
        <f t="shared" si="106"/>
        <v>10897377.895706249</v>
      </c>
      <c r="D3437" s="39">
        <f t="shared" si="107"/>
        <v>10878715.695890438</v>
      </c>
    </row>
    <row r="3438" spans="2:4" x14ac:dyDescent="0.25">
      <c r="B3438" s="90">
        <v>3434</v>
      </c>
      <c r="C3438" s="39">
        <f t="shared" si="106"/>
        <v>10900040.807997454</v>
      </c>
      <c r="D3438" s="39">
        <f t="shared" si="107"/>
        <v>10881884.56151697</v>
      </c>
    </row>
    <row r="3439" spans="2:4" x14ac:dyDescent="0.25">
      <c r="B3439" s="90">
        <v>3435</v>
      </c>
      <c r="C3439" s="39">
        <f t="shared" si="106"/>
        <v>10902703.720288659</v>
      </c>
      <c r="D3439" s="39">
        <f t="shared" si="107"/>
        <v>10885053.427143505</v>
      </c>
    </row>
    <row r="3440" spans="2:4" x14ac:dyDescent="0.25">
      <c r="B3440" s="90">
        <v>3436</v>
      </c>
      <c r="C3440" s="39">
        <f t="shared" si="106"/>
        <v>10905366.632579863</v>
      </c>
      <c r="D3440" s="39">
        <f t="shared" si="107"/>
        <v>10888222.292770037</v>
      </c>
    </row>
    <row r="3441" spans="2:4" x14ac:dyDescent="0.25">
      <c r="B3441" s="90">
        <v>3437</v>
      </c>
      <c r="C3441" s="39">
        <f t="shared" ref="C3441:C3504" si="108">($C$2*B3441)+$C$1</f>
        <v>10908029.544871068</v>
      </c>
      <c r="D3441" s="39">
        <f t="shared" ref="D3441:D3504" si="109">$D$2*B3441</f>
        <v>10891391.158396572</v>
      </c>
    </row>
    <row r="3442" spans="2:4" x14ac:dyDescent="0.25">
      <c r="B3442" s="90">
        <v>3438</v>
      </c>
      <c r="C3442" s="39">
        <f t="shared" si="108"/>
        <v>10910692.457162274</v>
      </c>
      <c r="D3442" s="39">
        <f t="shared" si="109"/>
        <v>10894560.024023106</v>
      </c>
    </row>
    <row r="3443" spans="2:4" x14ac:dyDescent="0.25">
      <c r="B3443" s="90">
        <v>3439</v>
      </c>
      <c r="C3443" s="39">
        <f t="shared" si="108"/>
        <v>10913355.369453479</v>
      </c>
      <c r="D3443" s="39">
        <f t="shared" si="109"/>
        <v>10897728.889649639</v>
      </c>
    </row>
    <row r="3444" spans="2:4" x14ac:dyDescent="0.25">
      <c r="B3444" s="90">
        <v>3440</v>
      </c>
      <c r="C3444" s="39">
        <f t="shared" si="108"/>
        <v>10916018.281744683</v>
      </c>
      <c r="D3444" s="39">
        <f t="shared" si="109"/>
        <v>10900897.755276173</v>
      </c>
    </row>
    <row r="3445" spans="2:4" x14ac:dyDescent="0.25">
      <c r="B3445" s="90">
        <v>3441</v>
      </c>
      <c r="C3445" s="39">
        <f t="shared" si="108"/>
        <v>10918681.194035888</v>
      </c>
      <c r="D3445" s="39">
        <f t="shared" si="109"/>
        <v>10904066.620902708</v>
      </c>
    </row>
    <row r="3446" spans="2:4" x14ac:dyDescent="0.25">
      <c r="B3446" s="90">
        <v>3442</v>
      </c>
      <c r="C3446" s="39">
        <f t="shared" si="108"/>
        <v>10921344.106327092</v>
      </c>
      <c r="D3446" s="39">
        <f t="shared" si="109"/>
        <v>10907235.48652924</v>
      </c>
    </row>
    <row r="3447" spans="2:4" x14ac:dyDescent="0.25">
      <c r="B3447" s="90">
        <v>3443</v>
      </c>
      <c r="C3447" s="39">
        <f t="shared" si="108"/>
        <v>10924007.018618297</v>
      </c>
      <c r="D3447" s="39">
        <f t="shared" si="109"/>
        <v>10910404.352155775</v>
      </c>
    </row>
    <row r="3448" spans="2:4" x14ac:dyDescent="0.25">
      <c r="B3448" s="90">
        <v>3444</v>
      </c>
      <c r="C3448" s="39">
        <f t="shared" si="108"/>
        <v>10926669.930909501</v>
      </c>
      <c r="D3448" s="39">
        <f t="shared" si="109"/>
        <v>10913573.217782309</v>
      </c>
    </row>
    <row r="3449" spans="2:4" x14ac:dyDescent="0.25">
      <c r="B3449" s="90">
        <v>3445</v>
      </c>
      <c r="C3449" s="39">
        <f t="shared" si="108"/>
        <v>10929332.843200708</v>
      </c>
      <c r="D3449" s="39">
        <f t="shared" si="109"/>
        <v>10916742.083408842</v>
      </c>
    </row>
    <row r="3450" spans="2:4" x14ac:dyDescent="0.25">
      <c r="B3450" s="90">
        <v>3446</v>
      </c>
      <c r="C3450" s="39">
        <f t="shared" si="108"/>
        <v>10931995.755491912</v>
      </c>
      <c r="D3450" s="39">
        <f t="shared" si="109"/>
        <v>10919910.949035376</v>
      </c>
    </row>
    <row r="3451" spans="2:4" x14ac:dyDescent="0.25">
      <c r="B3451" s="90">
        <v>3447</v>
      </c>
      <c r="C3451" s="39">
        <f t="shared" si="108"/>
        <v>10934658.667783117</v>
      </c>
      <c r="D3451" s="39">
        <f t="shared" si="109"/>
        <v>10923079.814661909</v>
      </c>
    </row>
    <row r="3452" spans="2:4" x14ac:dyDescent="0.25">
      <c r="B3452" s="90">
        <v>3448</v>
      </c>
      <c r="C3452" s="39">
        <f t="shared" si="108"/>
        <v>10937321.580074321</v>
      </c>
      <c r="D3452" s="39">
        <f t="shared" si="109"/>
        <v>10926248.680288443</v>
      </c>
    </row>
    <row r="3453" spans="2:4" x14ac:dyDescent="0.25">
      <c r="B3453" s="90">
        <v>3449</v>
      </c>
      <c r="C3453" s="39">
        <f t="shared" si="108"/>
        <v>10939984.492365526</v>
      </c>
      <c r="D3453" s="39">
        <f t="shared" si="109"/>
        <v>10929417.545914978</v>
      </c>
    </row>
    <row r="3454" spans="2:4" x14ac:dyDescent="0.25">
      <c r="B3454" s="90">
        <v>3450</v>
      </c>
      <c r="C3454" s="39">
        <f t="shared" si="108"/>
        <v>10942647.404656731</v>
      </c>
      <c r="D3454" s="39">
        <f t="shared" si="109"/>
        <v>10932586.41154151</v>
      </c>
    </row>
    <row r="3455" spans="2:4" x14ac:dyDescent="0.25">
      <c r="B3455" s="90">
        <v>3451</v>
      </c>
      <c r="C3455" s="39">
        <f t="shared" si="108"/>
        <v>10945310.316947937</v>
      </c>
      <c r="D3455" s="39">
        <f t="shared" si="109"/>
        <v>10935755.277168045</v>
      </c>
    </row>
    <row r="3456" spans="2:4" x14ac:dyDescent="0.25">
      <c r="B3456" s="90">
        <v>3452</v>
      </c>
      <c r="C3456" s="39">
        <f t="shared" si="108"/>
        <v>10947973.229239142</v>
      </c>
      <c r="D3456" s="39">
        <f t="shared" si="109"/>
        <v>10938924.142794579</v>
      </c>
    </row>
    <row r="3457" spans="2:4" x14ac:dyDescent="0.25">
      <c r="B3457" s="90">
        <v>3453</v>
      </c>
      <c r="C3457" s="39">
        <f t="shared" si="108"/>
        <v>10950636.141530346</v>
      </c>
      <c r="D3457" s="39">
        <f t="shared" si="109"/>
        <v>10942093.008421112</v>
      </c>
    </row>
    <row r="3458" spans="2:4" x14ac:dyDescent="0.25">
      <c r="B3458" s="90">
        <v>3454</v>
      </c>
      <c r="C3458" s="39">
        <f t="shared" si="108"/>
        <v>10953299.053821551</v>
      </c>
      <c r="D3458" s="39">
        <f t="shared" si="109"/>
        <v>10945261.874047646</v>
      </c>
    </row>
    <row r="3459" spans="2:4" x14ac:dyDescent="0.25">
      <c r="B3459" s="90">
        <v>3455</v>
      </c>
      <c r="C3459" s="39">
        <f t="shared" si="108"/>
        <v>10955961.966112755</v>
      </c>
      <c r="D3459" s="39">
        <f t="shared" si="109"/>
        <v>10948430.739674181</v>
      </c>
    </row>
    <row r="3460" spans="2:4" x14ac:dyDescent="0.25">
      <c r="B3460" s="90">
        <v>3456</v>
      </c>
      <c r="C3460" s="39">
        <f t="shared" si="108"/>
        <v>10958624.87840396</v>
      </c>
      <c r="D3460" s="39">
        <f t="shared" si="109"/>
        <v>10951599.605300713</v>
      </c>
    </row>
    <row r="3461" spans="2:4" x14ac:dyDescent="0.25">
      <c r="B3461" s="90">
        <v>3457</v>
      </c>
      <c r="C3461" s="39">
        <f t="shared" si="108"/>
        <v>10961287.790695166</v>
      </c>
      <c r="D3461" s="39">
        <f t="shared" si="109"/>
        <v>10954768.470927248</v>
      </c>
    </row>
    <row r="3462" spans="2:4" x14ac:dyDescent="0.25">
      <c r="B3462" s="90">
        <v>3458</v>
      </c>
      <c r="C3462" s="39">
        <f t="shared" si="108"/>
        <v>10963950.702986371</v>
      </c>
      <c r="D3462" s="39">
        <f t="shared" si="109"/>
        <v>10957937.33655378</v>
      </c>
    </row>
    <row r="3463" spans="2:4" x14ac:dyDescent="0.25">
      <c r="B3463" s="90">
        <v>3459</v>
      </c>
      <c r="C3463" s="39">
        <f t="shared" si="108"/>
        <v>10966613.615277575</v>
      </c>
      <c r="D3463" s="39">
        <f t="shared" si="109"/>
        <v>10961106.202180315</v>
      </c>
    </row>
    <row r="3464" spans="2:4" x14ac:dyDescent="0.25">
      <c r="B3464" s="90">
        <v>3460</v>
      </c>
      <c r="C3464" s="39">
        <f t="shared" si="108"/>
        <v>10969276.52756878</v>
      </c>
      <c r="D3464" s="39">
        <f t="shared" si="109"/>
        <v>10964275.067806849</v>
      </c>
    </row>
    <row r="3465" spans="2:4" x14ac:dyDescent="0.25">
      <c r="B3465" s="90">
        <v>3461</v>
      </c>
      <c r="C3465" s="39">
        <f t="shared" si="108"/>
        <v>10971939.439859984</v>
      </c>
      <c r="D3465" s="39">
        <f t="shared" si="109"/>
        <v>10967443.933433382</v>
      </c>
    </row>
    <row r="3466" spans="2:4" x14ac:dyDescent="0.25">
      <c r="B3466" s="90">
        <v>3462</v>
      </c>
      <c r="C3466" s="39">
        <f t="shared" si="108"/>
        <v>10974602.352151189</v>
      </c>
      <c r="D3466" s="39">
        <f t="shared" si="109"/>
        <v>10970612.799059916</v>
      </c>
    </row>
    <row r="3467" spans="2:4" x14ac:dyDescent="0.25">
      <c r="B3467" s="90">
        <v>3463</v>
      </c>
      <c r="C3467" s="39">
        <f t="shared" si="108"/>
        <v>10977265.264442394</v>
      </c>
      <c r="D3467" s="39">
        <f t="shared" si="109"/>
        <v>10973781.664686451</v>
      </c>
    </row>
    <row r="3468" spans="2:4" x14ac:dyDescent="0.25">
      <c r="B3468" s="90">
        <v>3464</v>
      </c>
      <c r="C3468" s="39">
        <f t="shared" si="108"/>
        <v>10979928.1767336</v>
      </c>
      <c r="D3468" s="39">
        <f t="shared" si="109"/>
        <v>10976950.530312983</v>
      </c>
    </row>
    <row r="3469" spans="2:4" x14ac:dyDescent="0.25">
      <c r="B3469" s="90">
        <v>3465</v>
      </c>
      <c r="C3469" s="39">
        <f t="shared" si="108"/>
        <v>10982591.089024805</v>
      </c>
      <c r="D3469" s="39">
        <f t="shared" si="109"/>
        <v>10980119.395939518</v>
      </c>
    </row>
    <row r="3470" spans="2:4" x14ac:dyDescent="0.25">
      <c r="B3470" s="90">
        <v>3466</v>
      </c>
      <c r="C3470" s="39">
        <f t="shared" si="108"/>
        <v>10985254.001316009</v>
      </c>
      <c r="D3470" s="39">
        <f t="shared" si="109"/>
        <v>10983288.261566052</v>
      </c>
    </row>
    <row r="3471" spans="2:4" x14ac:dyDescent="0.25">
      <c r="B3471" s="90">
        <v>3467</v>
      </c>
      <c r="C3471" s="39">
        <f t="shared" si="108"/>
        <v>10987916.913607214</v>
      </c>
      <c r="D3471" s="39">
        <f t="shared" si="109"/>
        <v>10986457.127192585</v>
      </c>
    </row>
    <row r="3472" spans="2:4" x14ac:dyDescent="0.25">
      <c r="B3472" s="90">
        <v>3468</v>
      </c>
      <c r="C3472" s="39">
        <f t="shared" si="108"/>
        <v>10990579.825898418</v>
      </c>
      <c r="D3472" s="39">
        <f t="shared" si="109"/>
        <v>10989625.992819119</v>
      </c>
    </row>
    <row r="3473" spans="2:4" x14ac:dyDescent="0.25">
      <c r="B3473" s="90">
        <v>3469</v>
      </c>
      <c r="C3473" s="39">
        <f t="shared" si="108"/>
        <v>10993242.738189623</v>
      </c>
      <c r="D3473" s="39">
        <f t="shared" si="109"/>
        <v>10992794.858445652</v>
      </c>
    </row>
    <row r="3474" spans="2:4" x14ac:dyDescent="0.25">
      <c r="B3474" s="90">
        <v>3470</v>
      </c>
      <c r="C3474" s="39">
        <f t="shared" si="108"/>
        <v>10995905.650480829</v>
      </c>
      <c r="D3474" s="39">
        <f t="shared" si="109"/>
        <v>10995963.724072186</v>
      </c>
    </row>
    <row r="3475" spans="2:4" x14ac:dyDescent="0.25">
      <c r="B3475" s="90">
        <v>3471</v>
      </c>
      <c r="C3475" s="39">
        <f t="shared" si="108"/>
        <v>10998568.562772034</v>
      </c>
      <c r="D3475" s="39">
        <f t="shared" si="109"/>
        <v>10999132.589698721</v>
      </c>
    </row>
    <row r="3476" spans="2:4" x14ac:dyDescent="0.25">
      <c r="B3476" s="90">
        <v>3472</v>
      </c>
      <c r="C3476" s="39">
        <f t="shared" si="108"/>
        <v>11001231.475063238</v>
      </c>
      <c r="D3476" s="39">
        <f t="shared" si="109"/>
        <v>11002301.455325253</v>
      </c>
    </row>
    <row r="3477" spans="2:4" x14ac:dyDescent="0.25">
      <c r="B3477" s="90">
        <v>3473</v>
      </c>
      <c r="C3477" s="39">
        <f t="shared" si="108"/>
        <v>11003894.387354443</v>
      </c>
      <c r="D3477" s="39">
        <f t="shared" si="109"/>
        <v>11005470.320951788</v>
      </c>
    </row>
    <row r="3478" spans="2:4" x14ac:dyDescent="0.25">
      <c r="B3478" s="90">
        <v>3474</v>
      </c>
      <c r="C3478" s="39">
        <f t="shared" si="108"/>
        <v>11006557.299645647</v>
      </c>
      <c r="D3478" s="39">
        <f t="shared" si="109"/>
        <v>11008639.186578322</v>
      </c>
    </row>
    <row r="3479" spans="2:4" x14ac:dyDescent="0.25">
      <c r="B3479" s="90">
        <v>3475</v>
      </c>
      <c r="C3479" s="39">
        <f t="shared" si="108"/>
        <v>11009220.211936852</v>
      </c>
      <c r="D3479" s="39">
        <f t="shared" si="109"/>
        <v>11011808.052204855</v>
      </c>
    </row>
    <row r="3480" spans="2:4" x14ac:dyDescent="0.25">
      <c r="B3480" s="90">
        <v>3476</v>
      </c>
      <c r="C3480" s="39">
        <f t="shared" si="108"/>
        <v>11011883.124228058</v>
      </c>
      <c r="D3480" s="39">
        <f t="shared" si="109"/>
        <v>11014976.917831389</v>
      </c>
    </row>
    <row r="3481" spans="2:4" x14ac:dyDescent="0.25">
      <c r="B3481" s="90">
        <v>3477</v>
      </c>
      <c r="C3481" s="39">
        <f t="shared" si="108"/>
        <v>11014546.036519263</v>
      </c>
      <c r="D3481" s="39">
        <f t="shared" si="109"/>
        <v>11018145.783457924</v>
      </c>
    </row>
    <row r="3482" spans="2:4" x14ac:dyDescent="0.25">
      <c r="B3482" s="90">
        <v>3478</v>
      </c>
      <c r="C3482" s="39">
        <f t="shared" si="108"/>
        <v>11017208.948810467</v>
      </c>
      <c r="D3482" s="39">
        <f t="shared" si="109"/>
        <v>11021314.649084456</v>
      </c>
    </row>
    <row r="3483" spans="2:4" x14ac:dyDescent="0.25">
      <c r="B3483" s="90">
        <v>3479</v>
      </c>
      <c r="C3483" s="39">
        <f t="shared" si="108"/>
        <v>11019871.861101672</v>
      </c>
      <c r="D3483" s="39">
        <f t="shared" si="109"/>
        <v>11024483.514710991</v>
      </c>
    </row>
    <row r="3484" spans="2:4" x14ac:dyDescent="0.25">
      <c r="B3484" s="90">
        <v>3480</v>
      </c>
      <c r="C3484" s="39">
        <f t="shared" si="108"/>
        <v>11022534.773392877</v>
      </c>
      <c r="D3484" s="39">
        <f t="shared" si="109"/>
        <v>11027652.380337523</v>
      </c>
    </row>
    <row r="3485" spans="2:4" x14ac:dyDescent="0.25">
      <c r="B3485" s="90">
        <v>3481</v>
      </c>
      <c r="C3485" s="39">
        <f t="shared" si="108"/>
        <v>11025197.685684081</v>
      </c>
      <c r="D3485" s="39">
        <f t="shared" si="109"/>
        <v>11030821.245964058</v>
      </c>
    </row>
    <row r="3486" spans="2:4" x14ac:dyDescent="0.25">
      <c r="B3486" s="90">
        <v>3482</v>
      </c>
      <c r="C3486" s="39">
        <f t="shared" si="108"/>
        <v>11027860.597975286</v>
      </c>
      <c r="D3486" s="39">
        <f t="shared" si="109"/>
        <v>11033990.111590592</v>
      </c>
    </row>
    <row r="3487" spans="2:4" x14ac:dyDescent="0.25">
      <c r="B3487" s="90">
        <v>3483</v>
      </c>
      <c r="C3487" s="39">
        <f t="shared" si="108"/>
        <v>11030523.510266492</v>
      </c>
      <c r="D3487" s="39">
        <f t="shared" si="109"/>
        <v>11037158.977217125</v>
      </c>
    </row>
    <row r="3488" spans="2:4" x14ac:dyDescent="0.25">
      <c r="B3488" s="90">
        <v>3484</v>
      </c>
      <c r="C3488" s="39">
        <f t="shared" si="108"/>
        <v>11033186.422557697</v>
      </c>
      <c r="D3488" s="39">
        <f t="shared" si="109"/>
        <v>11040327.842843659</v>
      </c>
    </row>
    <row r="3489" spans="2:4" x14ac:dyDescent="0.25">
      <c r="B3489" s="90">
        <v>3485</v>
      </c>
      <c r="C3489" s="39">
        <f t="shared" si="108"/>
        <v>11035849.334848901</v>
      </c>
      <c r="D3489" s="39">
        <f t="shared" si="109"/>
        <v>11043496.708470194</v>
      </c>
    </row>
    <row r="3490" spans="2:4" x14ac:dyDescent="0.25">
      <c r="B3490" s="90">
        <v>3486</v>
      </c>
      <c r="C3490" s="39">
        <f t="shared" si="108"/>
        <v>11038512.247140106</v>
      </c>
      <c r="D3490" s="39">
        <f t="shared" si="109"/>
        <v>11046665.574096726</v>
      </c>
    </row>
    <row r="3491" spans="2:4" x14ac:dyDescent="0.25">
      <c r="B3491" s="90">
        <v>3487</v>
      </c>
      <c r="C3491" s="39">
        <f t="shared" si="108"/>
        <v>11041175.15943131</v>
      </c>
      <c r="D3491" s="39">
        <f t="shared" si="109"/>
        <v>11049834.439723261</v>
      </c>
    </row>
    <row r="3492" spans="2:4" x14ac:dyDescent="0.25">
      <c r="B3492" s="90">
        <v>3488</v>
      </c>
      <c r="C3492" s="39">
        <f t="shared" si="108"/>
        <v>11043838.071722515</v>
      </c>
      <c r="D3492" s="39">
        <f t="shared" si="109"/>
        <v>11053003.305349795</v>
      </c>
    </row>
    <row r="3493" spans="2:4" x14ac:dyDescent="0.25">
      <c r="B3493" s="90">
        <v>3489</v>
      </c>
      <c r="C3493" s="39">
        <f t="shared" si="108"/>
        <v>11046500.984013721</v>
      </c>
      <c r="D3493" s="39">
        <f t="shared" si="109"/>
        <v>11056172.170976328</v>
      </c>
    </row>
    <row r="3494" spans="2:4" x14ac:dyDescent="0.25">
      <c r="B3494" s="90">
        <v>3490</v>
      </c>
      <c r="C3494" s="39">
        <f t="shared" si="108"/>
        <v>11049163.896304926</v>
      </c>
      <c r="D3494" s="39">
        <f t="shared" si="109"/>
        <v>11059341.036602862</v>
      </c>
    </row>
    <row r="3495" spans="2:4" x14ac:dyDescent="0.25">
      <c r="B3495" s="90">
        <v>3491</v>
      </c>
      <c r="C3495" s="39">
        <f t="shared" si="108"/>
        <v>11051826.80859613</v>
      </c>
      <c r="D3495" s="39">
        <f t="shared" si="109"/>
        <v>11062509.902229395</v>
      </c>
    </row>
    <row r="3496" spans="2:4" x14ac:dyDescent="0.25">
      <c r="B3496" s="90">
        <v>3492</v>
      </c>
      <c r="C3496" s="39">
        <f t="shared" si="108"/>
        <v>11054489.720887335</v>
      </c>
      <c r="D3496" s="39">
        <f t="shared" si="109"/>
        <v>11065678.767855929</v>
      </c>
    </row>
    <row r="3497" spans="2:4" x14ac:dyDescent="0.25">
      <c r="B3497" s="90">
        <v>3493</v>
      </c>
      <c r="C3497" s="39">
        <f t="shared" si="108"/>
        <v>11057152.63317854</v>
      </c>
      <c r="D3497" s="39">
        <f t="shared" si="109"/>
        <v>11068847.633482464</v>
      </c>
    </row>
    <row r="3498" spans="2:4" x14ac:dyDescent="0.25">
      <c r="B3498" s="90">
        <v>3494</v>
      </c>
      <c r="C3498" s="39">
        <f t="shared" si="108"/>
        <v>11059815.545469744</v>
      </c>
      <c r="D3498" s="39">
        <f t="shared" si="109"/>
        <v>11072016.499108996</v>
      </c>
    </row>
    <row r="3499" spans="2:4" x14ac:dyDescent="0.25">
      <c r="B3499" s="90">
        <v>3495</v>
      </c>
      <c r="C3499" s="39">
        <f t="shared" si="108"/>
        <v>11062478.457760951</v>
      </c>
      <c r="D3499" s="39">
        <f t="shared" si="109"/>
        <v>11075185.364735531</v>
      </c>
    </row>
    <row r="3500" spans="2:4" x14ac:dyDescent="0.25">
      <c r="B3500" s="90">
        <v>3496</v>
      </c>
      <c r="C3500" s="39">
        <f t="shared" si="108"/>
        <v>11065141.370052155</v>
      </c>
      <c r="D3500" s="39">
        <f t="shared" si="109"/>
        <v>11078354.230362065</v>
      </c>
    </row>
    <row r="3501" spans="2:4" x14ac:dyDescent="0.25">
      <c r="B3501" s="90">
        <v>3497</v>
      </c>
      <c r="C3501" s="39">
        <f t="shared" si="108"/>
        <v>11067804.28234336</v>
      </c>
      <c r="D3501" s="39">
        <f t="shared" si="109"/>
        <v>11081523.095988598</v>
      </c>
    </row>
    <row r="3502" spans="2:4" x14ac:dyDescent="0.25">
      <c r="B3502" s="90">
        <v>3498</v>
      </c>
      <c r="C3502" s="39">
        <f t="shared" si="108"/>
        <v>11070467.194634564</v>
      </c>
      <c r="D3502" s="39">
        <f t="shared" si="109"/>
        <v>11084691.961615132</v>
      </c>
    </row>
    <row r="3503" spans="2:4" x14ac:dyDescent="0.25">
      <c r="B3503" s="90">
        <v>3499</v>
      </c>
      <c r="C3503" s="39">
        <f t="shared" si="108"/>
        <v>11073130.106925769</v>
      </c>
      <c r="D3503" s="39">
        <f t="shared" si="109"/>
        <v>11087860.827241667</v>
      </c>
    </row>
    <row r="3504" spans="2:4" x14ac:dyDescent="0.25">
      <c r="B3504" s="90">
        <v>3500</v>
      </c>
      <c r="C3504" s="39">
        <f t="shared" si="108"/>
        <v>11075793.019216973</v>
      </c>
      <c r="D3504" s="39">
        <f t="shared" si="109"/>
        <v>11091029.692868199</v>
      </c>
    </row>
    <row r="3505" spans="2:4" x14ac:dyDescent="0.25">
      <c r="B3505" s="90">
        <v>3501</v>
      </c>
      <c r="C3505" s="39">
        <f t="shared" ref="C3505:C3568" si="110">($C$2*B3505)+$C$1</f>
        <v>11078455.931508178</v>
      </c>
      <c r="D3505" s="39">
        <f t="shared" ref="D3505:D3568" si="111">$D$2*B3505</f>
        <v>11094198.558494734</v>
      </c>
    </row>
    <row r="3506" spans="2:4" x14ac:dyDescent="0.25">
      <c r="B3506" s="90">
        <v>3502</v>
      </c>
      <c r="C3506" s="39">
        <f t="shared" si="110"/>
        <v>11081118.843799384</v>
      </c>
      <c r="D3506" s="39">
        <f t="shared" si="111"/>
        <v>11097367.424121266</v>
      </c>
    </row>
    <row r="3507" spans="2:4" x14ac:dyDescent="0.25">
      <c r="B3507" s="90">
        <v>3503</v>
      </c>
      <c r="C3507" s="39">
        <f t="shared" si="110"/>
        <v>11083781.756090589</v>
      </c>
      <c r="D3507" s="39">
        <f t="shared" si="111"/>
        <v>11100536.289747801</v>
      </c>
    </row>
    <row r="3508" spans="2:4" x14ac:dyDescent="0.25">
      <c r="B3508" s="90">
        <v>3504</v>
      </c>
      <c r="C3508" s="39">
        <f t="shared" si="110"/>
        <v>11086444.668381793</v>
      </c>
      <c r="D3508" s="39">
        <f t="shared" si="111"/>
        <v>11103705.155374335</v>
      </c>
    </row>
    <row r="3509" spans="2:4" x14ac:dyDescent="0.25">
      <c r="B3509" s="90">
        <v>3505</v>
      </c>
      <c r="C3509" s="39">
        <f t="shared" si="110"/>
        <v>11089107.580672998</v>
      </c>
      <c r="D3509" s="39">
        <f t="shared" si="111"/>
        <v>11106874.021000868</v>
      </c>
    </row>
    <row r="3510" spans="2:4" x14ac:dyDescent="0.25">
      <c r="B3510" s="90">
        <v>3506</v>
      </c>
      <c r="C3510" s="39">
        <f t="shared" si="110"/>
        <v>11091770.492964203</v>
      </c>
      <c r="D3510" s="39">
        <f t="shared" si="111"/>
        <v>11110042.886627402</v>
      </c>
    </row>
    <row r="3511" spans="2:4" x14ac:dyDescent="0.25">
      <c r="B3511" s="90">
        <v>3507</v>
      </c>
      <c r="C3511" s="39">
        <f t="shared" si="110"/>
        <v>11094433.405255407</v>
      </c>
      <c r="D3511" s="39">
        <f t="shared" si="111"/>
        <v>11113211.752253937</v>
      </c>
    </row>
    <row r="3512" spans="2:4" x14ac:dyDescent="0.25">
      <c r="B3512" s="90">
        <v>3508</v>
      </c>
      <c r="C3512" s="39">
        <f t="shared" si="110"/>
        <v>11097096.317546614</v>
      </c>
      <c r="D3512" s="39">
        <f t="shared" si="111"/>
        <v>11116380.617880469</v>
      </c>
    </row>
    <row r="3513" spans="2:4" x14ac:dyDescent="0.25">
      <c r="B3513" s="90">
        <v>3509</v>
      </c>
      <c r="C3513" s="39">
        <f t="shared" si="110"/>
        <v>11099759.229837818</v>
      </c>
      <c r="D3513" s="39">
        <f t="shared" si="111"/>
        <v>11119549.483507004</v>
      </c>
    </row>
    <row r="3514" spans="2:4" x14ac:dyDescent="0.25">
      <c r="B3514" s="90">
        <v>3510</v>
      </c>
      <c r="C3514" s="39">
        <f t="shared" si="110"/>
        <v>11102422.142129023</v>
      </c>
      <c r="D3514" s="39">
        <f t="shared" si="111"/>
        <v>11122718.349133538</v>
      </c>
    </row>
    <row r="3515" spans="2:4" x14ac:dyDescent="0.25">
      <c r="B3515" s="90">
        <v>3511</v>
      </c>
      <c r="C3515" s="39">
        <f t="shared" si="110"/>
        <v>11105085.054420227</v>
      </c>
      <c r="D3515" s="39">
        <f t="shared" si="111"/>
        <v>11125887.214760071</v>
      </c>
    </row>
    <row r="3516" spans="2:4" x14ac:dyDescent="0.25">
      <c r="B3516" s="90">
        <v>3512</v>
      </c>
      <c r="C3516" s="39">
        <f t="shared" si="110"/>
        <v>11107747.966711432</v>
      </c>
      <c r="D3516" s="39">
        <f t="shared" si="111"/>
        <v>11129056.080386605</v>
      </c>
    </row>
    <row r="3517" spans="2:4" x14ac:dyDescent="0.25">
      <c r="B3517" s="90">
        <v>3513</v>
      </c>
      <c r="C3517" s="39">
        <f t="shared" si="110"/>
        <v>11110410.879002636</v>
      </c>
      <c r="D3517" s="39">
        <f t="shared" si="111"/>
        <v>11132224.94601314</v>
      </c>
    </row>
    <row r="3518" spans="2:4" x14ac:dyDescent="0.25">
      <c r="B3518" s="90">
        <v>3514</v>
      </c>
      <c r="C3518" s="39">
        <f t="shared" si="110"/>
        <v>11113073.791293841</v>
      </c>
      <c r="D3518" s="39">
        <f t="shared" si="111"/>
        <v>11135393.811639672</v>
      </c>
    </row>
    <row r="3519" spans="2:4" x14ac:dyDescent="0.25">
      <c r="B3519" s="90">
        <v>3515</v>
      </c>
      <c r="C3519" s="39">
        <f t="shared" si="110"/>
        <v>11115736.703585047</v>
      </c>
      <c r="D3519" s="39">
        <f t="shared" si="111"/>
        <v>11138562.677266207</v>
      </c>
    </row>
    <row r="3520" spans="2:4" x14ac:dyDescent="0.25">
      <c r="B3520" s="90">
        <v>3516</v>
      </c>
      <c r="C3520" s="39">
        <f t="shared" si="110"/>
        <v>11118399.615876252</v>
      </c>
      <c r="D3520" s="39">
        <f t="shared" si="111"/>
        <v>11141731.542892739</v>
      </c>
    </row>
    <row r="3521" spans="2:4" x14ac:dyDescent="0.25">
      <c r="B3521" s="90">
        <v>3517</v>
      </c>
      <c r="C3521" s="39">
        <f t="shared" si="110"/>
        <v>11121062.528167456</v>
      </c>
      <c r="D3521" s="39">
        <f t="shared" si="111"/>
        <v>11144900.408519274</v>
      </c>
    </row>
    <row r="3522" spans="2:4" x14ac:dyDescent="0.25">
      <c r="B3522" s="90">
        <v>3518</v>
      </c>
      <c r="C3522" s="39">
        <f t="shared" si="110"/>
        <v>11123725.440458661</v>
      </c>
      <c r="D3522" s="39">
        <f t="shared" si="111"/>
        <v>11148069.274145808</v>
      </c>
    </row>
    <row r="3523" spans="2:4" x14ac:dyDescent="0.25">
      <c r="B3523" s="90">
        <v>3519</v>
      </c>
      <c r="C3523" s="39">
        <f t="shared" si="110"/>
        <v>11126388.352749866</v>
      </c>
      <c r="D3523" s="39">
        <f t="shared" si="111"/>
        <v>11151238.139772341</v>
      </c>
    </row>
    <row r="3524" spans="2:4" x14ac:dyDescent="0.25">
      <c r="B3524" s="90">
        <v>3520</v>
      </c>
      <c r="C3524" s="39">
        <f t="shared" si="110"/>
        <v>11129051.26504107</v>
      </c>
      <c r="D3524" s="39">
        <f t="shared" si="111"/>
        <v>11154407.005398875</v>
      </c>
    </row>
    <row r="3525" spans="2:4" x14ac:dyDescent="0.25">
      <c r="B3525" s="90">
        <v>3521</v>
      </c>
      <c r="C3525" s="39">
        <f t="shared" si="110"/>
        <v>11131714.177332276</v>
      </c>
      <c r="D3525" s="39">
        <f t="shared" si="111"/>
        <v>11157575.87102541</v>
      </c>
    </row>
    <row r="3526" spans="2:4" x14ac:dyDescent="0.25">
      <c r="B3526" s="90">
        <v>3522</v>
      </c>
      <c r="C3526" s="39">
        <f t="shared" si="110"/>
        <v>11134377.089623481</v>
      </c>
      <c r="D3526" s="39">
        <f t="shared" si="111"/>
        <v>11160744.736651942</v>
      </c>
    </row>
    <row r="3527" spans="2:4" x14ac:dyDescent="0.25">
      <c r="B3527" s="90">
        <v>3523</v>
      </c>
      <c r="C3527" s="39">
        <f t="shared" si="110"/>
        <v>11137040.001914686</v>
      </c>
      <c r="D3527" s="39">
        <f t="shared" si="111"/>
        <v>11163913.602278477</v>
      </c>
    </row>
    <row r="3528" spans="2:4" x14ac:dyDescent="0.25">
      <c r="B3528" s="90">
        <v>3524</v>
      </c>
      <c r="C3528" s="39">
        <f t="shared" si="110"/>
        <v>11139702.91420589</v>
      </c>
      <c r="D3528" s="39">
        <f t="shared" si="111"/>
        <v>11167082.467905011</v>
      </c>
    </row>
    <row r="3529" spans="2:4" x14ac:dyDescent="0.25">
      <c r="B3529" s="90">
        <v>3525</v>
      </c>
      <c r="C3529" s="39">
        <f t="shared" si="110"/>
        <v>11142365.826497095</v>
      </c>
      <c r="D3529" s="39">
        <f t="shared" si="111"/>
        <v>11170251.333531544</v>
      </c>
    </row>
    <row r="3530" spans="2:4" x14ac:dyDescent="0.25">
      <c r="B3530" s="90">
        <v>3526</v>
      </c>
      <c r="C3530" s="39">
        <f t="shared" si="110"/>
        <v>11145028.738788299</v>
      </c>
      <c r="D3530" s="39">
        <f t="shared" si="111"/>
        <v>11173420.199158078</v>
      </c>
    </row>
    <row r="3531" spans="2:4" x14ac:dyDescent="0.25">
      <c r="B3531" s="90">
        <v>3527</v>
      </c>
      <c r="C3531" s="39">
        <f t="shared" si="110"/>
        <v>11147691.651079506</v>
      </c>
      <c r="D3531" s="39">
        <f t="shared" si="111"/>
        <v>11176589.064784611</v>
      </c>
    </row>
    <row r="3532" spans="2:4" x14ac:dyDescent="0.25">
      <c r="B3532" s="90">
        <v>3528</v>
      </c>
      <c r="C3532" s="39">
        <f t="shared" si="110"/>
        <v>11150354.56337071</v>
      </c>
      <c r="D3532" s="39">
        <f t="shared" si="111"/>
        <v>11179757.930411145</v>
      </c>
    </row>
    <row r="3533" spans="2:4" x14ac:dyDescent="0.25">
      <c r="B3533" s="90">
        <v>3529</v>
      </c>
      <c r="C3533" s="39">
        <f t="shared" si="110"/>
        <v>11153017.475661915</v>
      </c>
      <c r="D3533" s="39">
        <f t="shared" si="111"/>
        <v>11182926.79603768</v>
      </c>
    </row>
    <row r="3534" spans="2:4" x14ac:dyDescent="0.25">
      <c r="B3534" s="90">
        <v>3530</v>
      </c>
      <c r="C3534" s="39">
        <f t="shared" si="110"/>
        <v>11155680.387953119</v>
      </c>
      <c r="D3534" s="39">
        <f t="shared" si="111"/>
        <v>11186095.661664212</v>
      </c>
    </row>
    <row r="3535" spans="2:4" x14ac:dyDescent="0.25">
      <c r="B3535" s="90">
        <v>3531</v>
      </c>
      <c r="C3535" s="39">
        <f t="shared" si="110"/>
        <v>11158343.300244324</v>
      </c>
      <c r="D3535" s="39">
        <f t="shared" si="111"/>
        <v>11189264.527290747</v>
      </c>
    </row>
    <row r="3536" spans="2:4" x14ac:dyDescent="0.25">
      <c r="B3536" s="90">
        <v>3532</v>
      </c>
      <c r="C3536" s="39">
        <f t="shared" si="110"/>
        <v>11161006.212535528</v>
      </c>
      <c r="D3536" s="39">
        <f t="shared" si="111"/>
        <v>11192433.392917281</v>
      </c>
    </row>
    <row r="3537" spans="2:4" x14ac:dyDescent="0.25">
      <c r="B3537" s="90">
        <v>3533</v>
      </c>
      <c r="C3537" s="39">
        <f t="shared" si="110"/>
        <v>11163669.124826733</v>
      </c>
      <c r="D3537" s="39">
        <f t="shared" si="111"/>
        <v>11195602.258543814</v>
      </c>
    </row>
    <row r="3538" spans="2:4" x14ac:dyDescent="0.25">
      <c r="B3538" s="90">
        <v>3534</v>
      </c>
      <c r="C3538" s="39">
        <f t="shared" si="110"/>
        <v>11166332.037117939</v>
      </c>
      <c r="D3538" s="39">
        <f t="shared" si="111"/>
        <v>11198771.124170348</v>
      </c>
    </row>
    <row r="3539" spans="2:4" x14ac:dyDescent="0.25">
      <c r="B3539" s="90">
        <v>3535</v>
      </c>
      <c r="C3539" s="39">
        <f t="shared" si="110"/>
        <v>11168994.949409144</v>
      </c>
      <c r="D3539" s="39">
        <f t="shared" si="111"/>
        <v>11201939.989796882</v>
      </c>
    </row>
    <row r="3540" spans="2:4" x14ac:dyDescent="0.25">
      <c r="B3540" s="90">
        <v>3536</v>
      </c>
      <c r="C3540" s="39">
        <f t="shared" si="110"/>
        <v>11171657.861700349</v>
      </c>
      <c r="D3540" s="39">
        <f t="shared" si="111"/>
        <v>11205108.855423415</v>
      </c>
    </row>
    <row r="3541" spans="2:4" x14ac:dyDescent="0.25">
      <c r="B3541" s="90">
        <v>3537</v>
      </c>
      <c r="C3541" s="39">
        <f t="shared" si="110"/>
        <v>11174320.773991553</v>
      </c>
      <c r="D3541" s="39">
        <f t="shared" si="111"/>
        <v>11208277.72104995</v>
      </c>
    </row>
    <row r="3542" spans="2:4" x14ac:dyDescent="0.25">
      <c r="B3542" s="90">
        <v>3538</v>
      </c>
      <c r="C3542" s="39">
        <f t="shared" si="110"/>
        <v>11176983.686282758</v>
      </c>
      <c r="D3542" s="39">
        <f t="shared" si="111"/>
        <v>11211446.586676482</v>
      </c>
    </row>
    <row r="3543" spans="2:4" x14ac:dyDescent="0.25">
      <c r="B3543" s="90">
        <v>3539</v>
      </c>
      <c r="C3543" s="39">
        <f t="shared" si="110"/>
        <v>11179646.598573962</v>
      </c>
      <c r="D3543" s="39">
        <f t="shared" si="111"/>
        <v>11214615.452303017</v>
      </c>
    </row>
    <row r="3544" spans="2:4" x14ac:dyDescent="0.25">
      <c r="B3544" s="90">
        <v>3540</v>
      </c>
      <c r="C3544" s="39">
        <f t="shared" si="110"/>
        <v>11182309.510865169</v>
      </c>
      <c r="D3544" s="39">
        <f t="shared" si="111"/>
        <v>11217784.317929551</v>
      </c>
    </row>
    <row r="3545" spans="2:4" x14ac:dyDescent="0.25">
      <c r="B3545" s="90">
        <v>3541</v>
      </c>
      <c r="C3545" s="39">
        <f t="shared" si="110"/>
        <v>11184972.423156373</v>
      </c>
      <c r="D3545" s="39">
        <f t="shared" si="111"/>
        <v>11220953.183556084</v>
      </c>
    </row>
    <row r="3546" spans="2:4" x14ac:dyDescent="0.25">
      <c r="B3546" s="90">
        <v>3542</v>
      </c>
      <c r="C3546" s="39">
        <f t="shared" si="110"/>
        <v>11187635.335447578</v>
      </c>
      <c r="D3546" s="39">
        <f t="shared" si="111"/>
        <v>11224122.049182618</v>
      </c>
    </row>
    <row r="3547" spans="2:4" x14ac:dyDescent="0.25">
      <c r="B3547" s="90">
        <v>3543</v>
      </c>
      <c r="C3547" s="39">
        <f t="shared" si="110"/>
        <v>11190298.247738782</v>
      </c>
      <c r="D3547" s="39">
        <f t="shared" si="111"/>
        <v>11227290.914809152</v>
      </c>
    </row>
    <row r="3548" spans="2:4" x14ac:dyDescent="0.25">
      <c r="B3548" s="90">
        <v>3544</v>
      </c>
      <c r="C3548" s="39">
        <f t="shared" si="110"/>
        <v>11192961.160029987</v>
      </c>
      <c r="D3548" s="39">
        <f t="shared" si="111"/>
        <v>11230459.780435685</v>
      </c>
    </row>
    <row r="3549" spans="2:4" x14ac:dyDescent="0.25">
      <c r="B3549" s="90">
        <v>3545</v>
      </c>
      <c r="C3549" s="39">
        <f t="shared" si="110"/>
        <v>11195624.072321191</v>
      </c>
      <c r="D3549" s="39">
        <f t="shared" si="111"/>
        <v>11233628.64606222</v>
      </c>
    </row>
    <row r="3550" spans="2:4" x14ac:dyDescent="0.25">
      <c r="B3550" s="90">
        <v>3546</v>
      </c>
      <c r="C3550" s="39">
        <f t="shared" si="110"/>
        <v>11198286.984612398</v>
      </c>
      <c r="D3550" s="39">
        <f t="shared" si="111"/>
        <v>11236797.511688754</v>
      </c>
    </row>
    <row r="3551" spans="2:4" x14ac:dyDescent="0.25">
      <c r="B3551" s="90">
        <v>3547</v>
      </c>
      <c r="C3551" s="39">
        <f t="shared" si="110"/>
        <v>11200949.896903602</v>
      </c>
      <c r="D3551" s="39">
        <f t="shared" si="111"/>
        <v>11239966.377315287</v>
      </c>
    </row>
    <row r="3552" spans="2:4" x14ac:dyDescent="0.25">
      <c r="B3552" s="90">
        <v>3548</v>
      </c>
      <c r="C3552" s="39">
        <f t="shared" si="110"/>
        <v>11203612.809194807</v>
      </c>
      <c r="D3552" s="39">
        <f t="shared" si="111"/>
        <v>11243135.242941821</v>
      </c>
    </row>
    <row r="3553" spans="2:4" x14ac:dyDescent="0.25">
      <c r="B3553" s="90">
        <v>3549</v>
      </c>
      <c r="C3553" s="39">
        <f t="shared" si="110"/>
        <v>11206275.721486012</v>
      </c>
      <c r="D3553" s="39">
        <f t="shared" si="111"/>
        <v>11246304.108568354</v>
      </c>
    </row>
    <row r="3554" spans="2:4" x14ac:dyDescent="0.25">
      <c r="B3554" s="90">
        <v>3550</v>
      </c>
      <c r="C3554" s="39">
        <f t="shared" si="110"/>
        <v>11208938.633777216</v>
      </c>
      <c r="D3554" s="39">
        <f t="shared" si="111"/>
        <v>11249472.974194888</v>
      </c>
    </row>
    <row r="3555" spans="2:4" x14ac:dyDescent="0.25">
      <c r="B3555" s="90">
        <v>3551</v>
      </c>
      <c r="C3555" s="39">
        <f t="shared" si="110"/>
        <v>11211601.546068421</v>
      </c>
      <c r="D3555" s="39">
        <f t="shared" si="111"/>
        <v>11252641.839821422</v>
      </c>
    </row>
    <row r="3556" spans="2:4" x14ac:dyDescent="0.25">
      <c r="B3556" s="90">
        <v>3552</v>
      </c>
      <c r="C3556" s="39">
        <f t="shared" si="110"/>
        <v>11214264.458359625</v>
      </c>
      <c r="D3556" s="39">
        <f t="shared" si="111"/>
        <v>11255810.705447955</v>
      </c>
    </row>
    <row r="3557" spans="2:4" x14ac:dyDescent="0.25">
      <c r="B3557" s="90">
        <v>3553</v>
      </c>
      <c r="C3557" s="39">
        <f t="shared" si="110"/>
        <v>11216927.370650832</v>
      </c>
      <c r="D3557" s="39">
        <f t="shared" si="111"/>
        <v>11258979.57107449</v>
      </c>
    </row>
    <row r="3558" spans="2:4" x14ac:dyDescent="0.25">
      <c r="B3558" s="90">
        <v>3554</v>
      </c>
      <c r="C3558" s="39">
        <f t="shared" si="110"/>
        <v>11219590.282942036</v>
      </c>
      <c r="D3558" s="39">
        <f t="shared" si="111"/>
        <v>11262148.436701024</v>
      </c>
    </row>
    <row r="3559" spans="2:4" x14ac:dyDescent="0.25">
      <c r="B3559" s="90">
        <v>3555</v>
      </c>
      <c r="C3559" s="39">
        <f t="shared" si="110"/>
        <v>11222253.195233241</v>
      </c>
      <c r="D3559" s="39">
        <f t="shared" si="111"/>
        <v>11265317.302327557</v>
      </c>
    </row>
    <row r="3560" spans="2:4" x14ac:dyDescent="0.25">
      <c r="B3560" s="90">
        <v>3556</v>
      </c>
      <c r="C3560" s="39">
        <f t="shared" si="110"/>
        <v>11224916.107524445</v>
      </c>
      <c r="D3560" s="39">
        <f t="shared" si="111"/>
        <v>11268486.167954091</v>
      </c>
    </row>
    <row r="3561" spans="2:4" x14ac:dyDescent="0.25">
      <c r="B3561" s="90">
        <v>3557</v>
      </c>
      <c r="C3561" s="39">
        <f t="shared" si="110"/>
        <v>11227579.01981565</v>
      </c>
      <c r="D3561" s="39">
        <f t="shared" si="111"/>
        <v>11271655.033580625</v>
      </c>
    </row>
    <row r="3562" spans="2:4" x14ac:dyDescent="0.25">
      <c r="B3562" s="90">
        <v>3558</v>
      </c>
      <c r="C3562" s="39">
        <f t="shared" si="110"/>
        <v>11230241.932106854</v>
      </c>
      <c r="D3562" s="39">
        <f t="shared" si="111"/>
        <v>11274823.899207158</v>
      </c>
    </row>
    <row r="3563" spans="2:4" x14ac:dyDescent="0.25">
      <c r="B3563" s="90">
        <v>3559</v>
      </c>
      <c r="C3563" s="39">
        <f t="shared" si="110"/>
        <v>11232904.844398061</v>
      </c>
      <c r="D3563" s="39">
        <f t="shared" si="111"/>
        <v>11277992.764833692</v>
      </c>
    </row>
    <row r="3564" spans="2:4" x14ac:dyDescent="0.25">
      <c r="B3564" s="90">
        <v>3560</v>
      </c>
      <c r="C3564" s="39">
        <f t="shared" si="110"/>
        <v>11235567.756689265</v>
      </c>
      <c r="D3564" s="39">
        <f t="shared" si="111"/>
        <v>11281161.630460225</v>
      </c>
    </row>
    <row r="3565" spans="2:4" x14ac:dyDescent="0.25">
      <c r="B3565" s="90">
        <v>3561</v>
      </c>
      <c r="C3565" s="39">
        <f t="shared" si="110"/>
        <v>11238230.66898047</v>
      </c>
      <c r="D3565" s="39">
        <f t="shared" si="111"/>
        <v>11284330.496086759</v>
      </c>
    </row>
    <row r="3566" spans="2:4" x14ac:dyDescent="0.25">
      <c r="B3566" s="90">
        <v>3562</v>
      </c>
      <c r="C3566" s="39">
        <f t="shared" si="110"/>
        <v>11240893.581271674</v>
      </c>
      <c r="D3566" s="39">
        <f t="shared" si="111"/>
        <v>11287499.361713294</v>
      </c>
    </row>
    <row r="3567" spans="2:4" x14ac:dyDescent="0.25">
      <c r="B3567" s="90">
        <v>3563</v>
      </c>
      <c r="C3567" s="39">
        <f t="shared" si="110"/>
        <v>11243556.493562879</v>
      </c>
      <c r="D3567" s="39">
        <f t="shared" si="111"/>
        <v>11290668.227339827</v>
      </c>
    </row>
    <row r="3568" spans="2:4" x14ac:dyDescent="0.25">
      <c r="B3568" s="90">
        <v>3564</v>
      </c>
      <c r="C3568" s="39">
        <f t="shared" si="110"/>
        <v>11246219.405854084</v>
      </c>
      <c r="D3568" s="39">
        <f t="shared" si="111"/>
        <v>11293837.092966361</v>
      </c>
    </row>
    <row r="3569" spans="2:4" x14ac:dyDescent="0.25">
      <c r="B3569" s="90">
        <v>3565</v>
      </c>
      <c r="C3569" s="39">
        <f t="shared" ref="C3569:C3632" si="112">($C$2*B3569)+$C$1</f>
        <v>11248882.31814529</v>
      </c>
      <c r="D3569" s="39">
        <f t="shared" ref="D3569:D3632" si="113">$D$2*B3569</f>
        <v>11297005.958592895</v>
      </c>
    </row>
    <row r="3570" spans="2:4" x14ac:dyDescent="0.25">
      <c r="B3570" s="90">
        <v>3566</v>
      </c>
      <c r="C3570" s="39">
        <f t="shared" si="112"/>
        <v>11251545.230436495</v>
      </c>
      <c r="D3570" s="39">
        <f t="shared" si="113"/>
        <v>11300174.824219428</v>
      </c>
    </row>
    <row r="3571" spans="2:4" x14ac:dyDescent="0.25">
      <c r="B3571" s="90">
        <v>3567</v>
      </c>
      <c r="C3571" s="39">
        <f t="shared" si="112"/>
        <v>11254208.142727699</v>
      </c>
      <c r="D3571" s="39">
        <f t="shared" si="113"/>
        <v>11303343.689845962</v>
      </c>
    </row>
    <row r="3572" spans="2:4" x14ac:dyDescent="0.25">
      <c r="B3572" s="90">
        <v>3568</v>
      </c>
      <c r="C3572" s="39">
        <f t="shared" si="112"/>
        <v>11256871.055018904</v>
      </c>
      <c r="D3572" s="39">
        <f t="shared" si="113"/>
        <v>11306512.555472497</v>
      </c>
    </row>
    <row r="3573" spans="2:4" x14ac:dyDescent="0.25">
      <c r="B3573" s="90">
        <v>3569</v>
      </c>
      <c r="C3573" s="39">
        <f t="shared" si="112"/>
        <v>11259533.967310108</v>
      </c>
      <c r="D3573" s="39">
        <f t="shared" si="113"/>
        <v>11309681.421099029</v>
      </c>
    </row>
    <row r="3574" spans="2:4" x14ac:dyDescent="0.25">
      <c r="B3574" s="90">
        <v>3570</v>
      </c>
      <c r="C3574" s="39">
        <f t="shared" si="112"/>
        <v>11262196.879601313</v>
      </c>
      <c r="D3574" s="39">
        <f t="shared" si="113"/>
        <v>11312850.286725564</v>
      </c>
    </row>
    <row r="3575" spans="2:4" x14ac:dyDescent="0.25">
      <c r="B3575" s="90">
        <v>3571</v>
      </c>
      <c r="C3575" s="39">
        <f t="shared" si="112"/>
        <v>11264859.791892517</v>
      </c>
      <c r="D3575" s="39">
        <f t="shared" si="113"/>
        <v>11316019.152352097</v>
      </c>
    </row>
    <row r="3576" spans="2:4" x14ac:dyDescent="0.25">
      <c r="B3576" s="90">
        <v>3572</v>
      </c>
      <c r="C3576" s="39">
        <f t="shared" si="112"/>
        <v>11267522.704183724</v>
      </c>
      <c r="D3576" s="39">
        <f t="shared" si="113"/>
        <v>11319188.017978631</v>
      </c>
    </row>
    <row r="3577" spans="2:4" x14ac:dyDescent="0.25">
      <c r="B3577" s="90">
        <v>3573</v>
      </c>
      <c r="C3577" s="39">
        <f t="shared" si="112"/>
        <v>11270185.616474928</v>
      </c>
      <c r="D3577" s="39">
        <f t="shared" si="113"/>
        <v>11322356.883605165</v>
      </c>
    </row>
    <row r="3578" spans="2:4" x14ac:dyDescent="0.25">
      <c r="B3578" s="90">
        <v>3574</v>
      </c>
      <c r="C3578" s="39">
        <f t="shared" si="112"/>
        <v>11272848.528766133</v>
      </c>
      <c r="D3578" s="39">
        <f t="shared" si="113"/>
        <v>11325525.749231698</v>
      </c>
    </row>
    <row r="3579" spans="2:4" x14ac:dyDescent="0.25">
      <c r="B3579" s="90">
        <v>3575</v>
      </c>
      <c r="C3579" s="39">
        <f t="shared" si="112"/>
        <v>11275511.441057337</v>
      </c>
      <c r="D3579" s="39">
        <f t="shared" si="113"/>
        <v>11328694.614858232</v>
      </c>
    </row>
    <row r="3580" spans="2:4" x14ac:dyDescent="0.25">
      <c r="B3580" s="90">
        <v>3576</v>
      </c>
      <c r="C3580" s="39">
        <f t="shared" si="112"/>
        <v>11278174.353348542</v>
      </c>
      <c r="D3580" s="39">
        <f t="shared" si="113"/>
        <v>11331863.480484767</v>
      </c>
    </row>
    <row r="3581" spans="2:4" x14ac:dyDescent="0.25">
      <c r="B3581" s="90">
        <v>3577</v>
      </c>
      <c r="C3581" s="39">
        <f t="shared" si="112"/>
        <v>11280837.265639747</v>
      </c>
      <c r="D3581" s="39">
        <f t="shared" si="113"/>
        <v>11335032.346111299</v>
      </c>
    </row>
    <row r="3582" spans="2:4" x14ac:dyDescent="0.25">
      <c r="B3582" s="90">
        <v>3578</v>
      </c>
      <c r="C3582" s="39">
        <f t="shared" si="112"/>
        <v>11283500.177930953</v>
      </c>
      <c r="D3582" s="39">
        <f t="shared" si="113"/>
        <v>11338201.211737834</v>
      </c>
    </row>
    <row r="3583" spans="2:4" x14ac:dyDescent="0.25">
      <c r="B3583" s="90">
        <v>3579</v>
      </c>
      <c r="C3583" s="39">
        <f t="shared" si="112"/>
        <v>11286163.090222158</v>
      </c>
      <c r="D3583" s="39">
        <f t="shared" si="113"/>
        <v>11341370.077364368</v>
      </c>
    </row>
    <row r="3584" spans="2:4" x14ac:dyDescent="0.25">
      <c r="B3584" s="90">
        <v>3580</v>
      </c>
      <c r="C3584" s="39">
        <f t="shared" si="112"/>
        <v>11288826.002513362</v>
      </c>
      <c r="D3584" s="39">
        <f t="shared" si="113"/>
        <v>11344538.942990901</v>
      </c>
    </row>
    <row r="3585" spans="2:4" x14ac:dyDescent="0.25">
      <c r="B3585" s="90">
        <v>3581</v>
      </c>
      <c r="C3585" s="39">
        <f t="shared" si="112"/>
        <v>11291488.914804567</v>
      </c>
      <c r="D3585" s="39">
        <f t="shared" si="113"/>
        <v>11347707.808617435</v>
      </c>
    </row>
    <row r="3586" spans="2:4" x14ac:dyDescent="0.25">
      <c r="B3586" s="90">
        <v>3582</v>
      </c>
      <c r="C3586" s="39">
        <f t="shared" si="112"/>
        <v>11294151.827095771</v>
      </c>
      <c r="D3586" s="39">
        <f t="shared" si="113"/>
        <v>11350876.674243968</v>
      </c>
    </row>
    <row r="3587" spans="2:4" x14ac:dyDescent="0.25">
      <c r="B3587" s="90">
        <v>3583</v>
      </c>
      <c r="C3587" s="39">
        <f t="shared" si="112"/>
        <v>11296814.739386976</v>
      </c>
      <c r="D3587" s="39">
        <f t="shared" si="113"/>
        <v>11354045.539870502</v>
      </c>
    </row>
    <row r="3588" spans="2:4" x14ac:dyDescent="0.25">
      <c r="B3588" s="90">
        <v>3584</v>
      </c>
      <c r="C3588" s="39">
        <f t="shared" si="112"/>
        <v>11299477.651678182</v>
      </c>
      <c r="D3588" s="39">
        <f t="shared" si="113"/>
        <v>11357214.405497037</v>
      </c>
    </row>
    <row r="3589" spans="2:4" x14ac:dyDescent="0.25">
      <c r="B3589" s="90">
        <v>3585</v>
      </c>
      <c r="C3589" s="39">
        <f t="shared" si="112"/>
        <v>11302140.563969387</v>
      </c>
      <c r="D3589" s="39">
        <f t="shared" si="113"/>
        <v>11360383.271123569</v>
      </c>
    </row>
    <row r="3590" spans="2:4" x14ac:dyDescent="0.25">
      <c r="B3590" s="90">
        <v>3586</v>
      </c>
      <c r="C3590" s="39">
        <f t="shared" si="112"/>
        <v>11304803.476260591</v>
      </c>
      <c r="D3590" s="39">
        <f t="shared" si="113"/>
        <v>11363552.136750104</v>
      </c>
    </row>
    <row r="3591" spans="2:4" x14ac:dyDescent="0.25">
      <c r="B3591" s="90">
        <v>3587</v>
      </c>
      <c r="C3591" s="39">
        <f t="shared" si="112"/>
        <v>11307466.388551796</v>
      </c>
      <c r="D3591" s="39">
        <f t="shared" si="113"/>
        <v>11366721.002376638</v>
      </c>
    </row>
    <row r="3592" spans="2:4" x14ac:dyDescent="0.25">
      <c r="B3592" s="90">
        <v>3588</v>
      </c>
      <c r="C3592" s="39">
        <f t="shared" si="112"/>
        <v>11310129.300843</v>
      </c>
      <c r="D3592" s="39">
        <f t="shared" si="113"/>
        <v>11369889.868003171</v>
      </c>
    </row>
    <row r="3593" spans="2:4" x14ac:dyDescent="0.25">
      <c r="B3593" s="90">
        <v>3589</v>
      </c>
      <c r="C3593" s="39">
        <f t="shared" si="112"/>
        <v>11312792.213134205</v>
      </c>
      <c r="D3593" s="39">
        <f t="shared" si="113"/>
        <v>11373058.733629705</v>
      </c>
    </row>
    <row r="3594" spans="2:4" x14ac:dyDescent="0.25">
      <c r="B3594" s="90">
        <v>3590</v>
      </c>
      <c r="C3594" s="39">
        <f t="shared" si="112"/>
        <v>11315455.12542541</v>
      </c>
      <c r="D3594" s="39">
        <f t="shared" si="113"/>
        <v>11376227.59925624</v>
      </c>
    </row>
    <row r="3595" spans="2:4" x14ac:dyDescent="0.25">
      <c r="B3595" s="90">
        <v>3591</v>
      </c>
      <c r="C3595" s="39">
        <f t="shared" si="112"/>
        <v>11318118.037716616</v>
      </c>
      <c r="D3595" s="39">
        <f t="shared" si="113"/>
        <v>11379396.464882772</v>
      </c>
    </row>
    <row r="3596" spans="2:4" x14ac:dyDescent="0.25">
      <c r="B3596" s="90">
        <v>3592</v>
      </c>
      <c r="C3596" s="39">
        <f t="shared" si="112"/>
        <v>11320780.950007821</v>
      </c>
      <c r="D3596" s="39">
        <f t="shared" si="113"/>
        <v>11382565.330509307</v>
      </c>
    </row>
    <row r="3597" spans="2:4" x14ac:dyDescent="0.25">
      <c r="B3597" s="90">
        <v>3593</v>
      </c>
      <c r="C3597" s="39">
        <f t="shared" si="112"/>
        <v>11323443.862299025</v>
      </c>
      <c r="D3597" s="39">
        <f t="shared" si="113"/>
        <v>11385734.196135839</v>
      </c>
    </row>
    <row r="3598" spans="2:4" x14ac:dyDescent="0.25">
      <c r="B3598" s="90">
        <v>3594</v>
      </c>
      <c r="C3598" s="39">
        <f t="shared" si="112"/>
        <v>11326106.77459023</v>
      </c>
      <c r="D3598" s="39">
        <f t="shared" si="113"/>
        <v>11388903.061762374</v>
      </c>
    </row>
    <row r="3599" spans="2:4" x14ac:dyDescent="0.25">
      <c r="B3599" s="90">
        <v>3595</v>
      </c>
      <c r="C3599" s="39">
        <f t="shared" si="112"/>
        <v>11328769.686881434</v>
      </c>
      <c r="D3599" s="39">
        <f t="shared" si="113"/>
        <v>11392071.927388908</v>
      </c>
    </row>
    <row r="3600" spans="2:4" x14ac:dyDescent="0.25">
      <c r="B3600" s="90">
        <v>3596</v>
      </c>
      <c r="C3600" s="39">
        <f t="shared" si="112"/>
        <v>11331432.599172639</v>
      </c>
      <c r="D3600" s="39">
        <f t="shared" si="113"/>
        <v>11395240.793015441</v>
      </c>
    </row>
    <row r="3601" spans="2:4" x14ac:dyDescent="0.25">
      <c r="B3601" s="90">
        <v>3597</v>
      </c>
      <c r="C3601" s="39">
        <f t="shared" si="112"/>
        <v>11334095.511463845</v>
      </c>
      <c r="D3601" s="39">
        <f t="shared" si="113"/>
        <v>11398409.658641975</v>
      </c>
    </row>
    <row r="3602" spans="2:4" x14ac:dyDescent="0.25">
      <c r="B3602" s="90">
        <v>3598</v>
      </c>
      <c r="C3602" s="39">
        <f t="shared" si="112"/>
        <v>11336758.42375505</v>
      </c>
      <c r="D3602" s="39">
        <f t="shared" si="113"/>
        <v>11401578.52426851</v>
      </c>
    </row>
    <row r="3603" spans="2:4" x14ac:dyDescent="0.25">
      <c r="B3603" s="90">
        <v>3599</v>
      </c>
      <c r="C3603" s="39">
        <f t="shared" si="112"/>
        <v>11339421.336046254</v>
      </c>
      <c r="D3603" s="39">
        <f t="shared" si="113"/>
        <v>11404747.389895042</v>
      </c>
    </row>
    <row r="3604" spans="2:4" x14ac:dyDescent="0.25">
      <c r="B3604" s="90">
        <v>3600</v>
      </c>
      <c r="C3604" s="39">
        <f t="shared" si="112"/>
        <v>11342084.248337459</v>
      </c>
      <c r="D3604" s="39">
        <f t="shared" si="113"/>
        <v>11407916.255521577</v>
      </c>
    </row>
    <row r="3605" spans="2:4" x14ac:dyDescent="0.25">
      <c r="B3605" s="90">
        <v>3601</v>
      </c>
      <c r="C3605" s="39">
        <f t="shared" si="112"/>
        <v>11344747.160628663</v>
      </c>
      <c r="D3605" s="39">
        <f t="shared" si="113"/>
        <v>11411085.121148111</v>
      </c>
    </row>
    <row r="3606" spans="2:4" x14ac:dyDescent="0.25">
      <c r="B3606" s="90">
        <v>3602</v>
      </c>
      <c r="C3606" s="39">
        <f t="shared" si="112"/>
        <v>11347410.072919868</v>
      </c>
      <c r="D3606" s="39">
        <f t="shared" si="113"/>
        <v>11414253.986774644</v>
      </c>
    </row>
    <row r="3607" spans="2:4" x14ac:dyDescent="0.25">
      <c r="B3607" s="90">
        <v>3603</v>
      </c>
      <c r="C3607" s="39">
        <f t="shared" si="112"/>
        <v>11350072.985211072</v>
      </c>
      <c r="D3607" s="39">
        <f t="shared" si="113"/>
        <v>11417422.852401178</v>
      </c>
    </row>
    <row r="3608" spans="2:4" x14ac:dyDescent="0.25">
      <c r="B3608" s="90">
        <v>3604</v>
      </c>
      <c r="C3608" s="39">
        <f t="shared" si="112"/>
        <v>11352735.897502279</v>
      </c>
      <c r="D3608" s="39">
        <f t="shared" si="113"/>
        <v>11420591.718027711</v>
      </c>
    </row>
    <row r="3609" spans="2:4" x14ac:dyDescent="0.25">
      <c r="B3609" s="90">
        <v>3605</v>
      </c>
      <c r="C3609" s="39">
        <f t="shared" si="112"/>
        <v>11355398.809793483</v>
      </c>
      <c r="D3609" s="39">
        <f t="shared" si="113"/>
        <v>11423760.583654245</v>
      </c>
    </row>
    <row r="3610" spans="2:4" x14ac:dyDescent="0.25">
      <c r="B3610" s="90">
        <v>3606</v>
      </c>
      <c r="C3610" s="39">
        <f t="shared" si="112"/>
        <v>11358061.722084688</v>
      </c>
      <c r="D3610" s="39">
        <f t="shared" si="113"/>
        <v>11426929.44928078</v>
      </c>
    </row>
    <row r="3611" spans="2:4" x14ac:dyDescent="0.25">
      <c r="B3611" s="90">
        <v>3607</v>
      </c>
      <c r="C3611" s="39">
        <f t="shared" si="112"/>
        <v>11360724.634375893</v>
      </c>
      <c r="D3611" s="39">
        <f t="shared" si="113"/>
        <v>11430098.314907312</v>
      </c>
    </row>
    <row r="3612" spans="2:4" x14ac:dyDescent="0.25">
      <c r="B3612" s="90">
        <v>3608</v>
      </c>
      <c r="C3612" s="39">
        <f t="shared" si="112"/>
        <v>11363387.546667097</v>
      </c>
      <c r="D3612" s="39">
        <f t="shared" si="113"/>
        <v>11433267.180533847</v>
      </c>
    </row>
    <row r="3613" spans="2:4" x14ac:dyDescent="0.25">
      <c r="B3613" s="90">
        <v>3609</v>
      </c>
      <c r="C3613" s="39">
        <f t="shared" si="112"/>
        <v>11366050.458958302</v>
      </c>
      <c r="D3613" s="39">
        <f t="shared" si="113"/>
        <v>11436436.046160381</v>
      </c>
    </row>
    <row r="3614" spans="2:4" x14ac:dyDescent="0.25">
      <c r="B3614" s="90">
        <v>3610</v>
      </c>
      <c r="C3614" s="39">
        <f t="shared" si="112"/>
        <v>11368713.371249508</v>
      </c>
      <c r="D3614" s="39">
        <f t="shared" si="113"/>
        <v>11439604.911786914</v>
      </c>
    </row>
    <row r="3615" spans="2:4" x14ac:dyDescent="0.25">
      <c r="B3615" s="90">
        <v>3611</v>
      </c>
      <c r="C3615" s="39">
        <f t="shared" si="112"/>
        <v>11371376.283540713</v>
      </c>
      <c r="D3615" s="39">
        <f t="shared" si="113"/>
        <v>11442773.777413448</v>
      </c>
    </row>
    <row r="3616" spans="2:4" x14ac:dyDescent="0.25">
      <c r="B3616" s="90">
        <v>3612</v>
      </c>
      <c r="C3616" s="39">
        <f t="shared" si="112"/>
        <v>11374039.195831917</v>
      </c>
      <c r="D3616" s="39">
        <f t="shared" si="113"/>
        <v>11445942.643039983</v>
      </c>
    </row>
    <row r="3617" spans="2:4" x14ac:dyDescent="0.25">
      <c r="B3617" s="90">
        <v>3613</v>
      </c>
      <c r="C3617" s="39">
        <f t="shared" si="112"/>
        <v>11376702.108123122</v>
      </c>
      <c r="D3617" s="39">
        <f t="shared" si="113"/>
        <v>11449111.508666515</v>
      </c>
    </row>
    <row r="3618" spans="2:4" x14ac:dyDescent="0.25">
      <c r="B3618" s="90">
        <v>3614</v>
      </c>
      <c r="C3618" s="39">
        <f t="shared" si="112"/>
        <v>11379365.020414326</v>
      </c>
      <c r="D3618" s="39">
        <f t="shared" si="113"/>
        <v>11452280.37429305</v>
      </c>
    </row>
    <row r="3619" spans="2:4" x14ac:dyDescent="0.25">
      <c r="B3619" s="90">
        <v>3615</v>
      </c>
      <c r="C3619" s="39">
        <f t="shared" si="112"/>
        <v>11382027.932705531</v>
      </c>
      <c r="D3619" s="39">
        <f t="shared" si="113"/>
        <v>11455449.239919584</v>
      </c>
    </row>
    <row r="3620" spans="2:4" x14ac:dyDescent="0.25">
      <c r="B3620" s="90">
        <v>3616</v>
      </c>
      <c r="C3620" s="39">
        <f t="shared" si="112"/>
        <v>11384690.844996737</v>
      </c>
      <c r="D3620" s="39">
        <f t="shared" si="113"/>
        <v>11458618.105546117</v>
      </c>
    </row>
    <row r="3621" spans="2:4" x14ac:dyDescent="0.25">
      <c r="B3621" s="90">
        <v>3617</v>
      </c>
      <c r="C3621" s="39">
        <f t="shared" si="112"/>
        <v>11387353.757287942</v>
      </c>
      <c r="D3621" s="39">
        <f t="shared" si="113"/>
        <v>11461786.971172651</v>
      </c>
    </row>
    <row r="3622" spans="2:4" x14ac:dyDescent="0.25">
      <c r="B3622" s="90">
        <v>3618</v>
      </c>
      <c r="C3622" s="39">
        <f t="shared" si="112"/>
        <v>11390016.669579146</v>
      </c>
      <c r="D3622" s="39">
        <f t="shared" si="113"/>
        <v>11464955.836799184</v>
      </c>
    </row>
    <row r="3623" spans="2:4" x14ac:dyDescent="0.25">
      <c r="B3623" s="90">
        <v>3619</v>
      </c>
      <c r="C3623" s="39">
        <f t="shared" si="112"/>
        <v>11392679.581870351</v>
      </c>
      <c r="D3623" s="39">
        <f t="shared" si="113"/>
        <v>11468124.702425718</v>
      </c>
    </row>
    <row r="3624" spans="2:4" x14ac:dyDescent="0.25">
      <c r="B3624" s="90">
        <v>3620</v>
      </c>
      <c r="C3624" s="39">
        <f t="shared" si="112"/>
        <v>11395342.494161556</v>
      </c>
      <c r="D3624" s="39">
        <f t="shared" si="113"/>
        <v>11471293.568052253</v>
      </c>
    </row>
    <row r="3625" spans="2:4" x14ac:dyDescent="0.25">
      <c r="B3625" s="90">
        <v>3621</v>
      </c>
      <c r="C3625" s="39">
        <f t="shared" si="112"/>
        <v>11398005.40645276</v>
      </c>
      <c r="D3625" s="39">
        <f t="shared" si="113"/>
        <v>11474462.433678785</v>
      </c>
    </row>
    <row r="3626" spans="2:4" x14ac:dyDescent="0.25">
      <c r="B3626" s="90">
        <v>3622</v>
      </c>
      <c r="C3626" s="39">
        <f t="shared" si="112"/>
        <v>11400668.318743965</v>
      </c>
      <c r="D3626" s="39">
        <f t="shared" si="113"/>
        <v>11477631.29930532</v>
      </c>
    </row>
    <row r="3627" spans="2:4" x14ac:dyDescent="0.25">
      <c r="B3627" s="90">
        <v>3623</v>
      </c>
      <c r="C3627" s="39">
        <f t="shared" si="112"/>
        <v>11403331.231035171</v>
      </c>
      <c r="D3627" s="39">
        <f t="shared" si="113"/>
        <v>11480800.164931854</v>
      </c>
    </row>
    <row r="3628" spans="2:4" x14ac:dyDescent="0.25">
      <c r="B3628" s="90">
        <v>3624</v>
      </c>
      <c r="C3628" s="39">
        <f t="shared" si="112"/>
        <v>11405994.143326376</v>
      </c>
      <c r="D3628" s="39">
        <f t="shared" si="113"/>
        <v>11483969.030558387</v>
      </c>
    </row>
    <row r="3629" spans="2:4" x14ac:dyDescent="0.25">
      <c r="B3629" s="90">
        <v>3625</v>
      </c>
      <c r="C3629" s="39">
        <f t="shared" si="112"/>
        <v>11408657.05561758</v>
      </c>
      <c r="D3629" s="39">
        <f t="shared" si="113"/>
        <v>11487137.896184921</v>
      </c>
    </row>
    <row r="3630" spans="2:4" x14ac:dyDescent="0.25">
      <c r="B3630" s="90">
        <v>3626</v>
      </c>
      <c r="C3630" s="39">
        <f t="shared" si="112"/>
        <v>11411319.967908785</v>
      </c>
      <c r="D3630" s="39">
        <f t="shared" si="113"/>
        <v>11490306.761811456</v>
      </c>
    </row>
    <row r="3631" spans="2:4" x14ac:dyDescent="0.25">
      <c r="B3631" s="90">
        <v>3627</v>
      </c>
      <c r="C3631" s="39">
        <f t="shared" si="112"/>
        <v>11413982.880199989</v>
      </c>
      <c r="D3631" s="39">
        <f t="shared" si="113"/>
        <v>11493475.627437988</v>
      </c>
    </row>
    <row r="3632" spans="2:4" x14ac:dyDescent="0.25">
      <c r="B3632" s="90">
        <v>3628</v>
      </c>
      <c r="C3632" s="39">
        <f t="shared" si="112"/>
        <v>11416645.792491194</v>
      </c>
      <c r="D3632" s="39">
        <f t="shared" si="113"/>
        <v>11496644.493064523</v>
      </c>
    </row>
    <row r="3633" spans="2:4" x14ac:dyDescent="0.25">
      <c r="B3633" s="90">
        <v>3629</v>
      </c>
      <c r="C3633" s="39">
        <f t="shared" ref="C3633:C3696" si="114">($C$2*B3633)+$C$1</f>
        <v>11419308.7047824</v>
      </c>
      <c r="D3633" s="39">
        <f t="shared" ref="D3633:D3696" si="115">$D$2*B3633</f>
        <v>11499813.358691055</v>
      </c>
    </row>
    <row r="3634" spans="2:4" x14ac:dyDescent="0.25">
      <c r="B3634" s="90">
        <v>3630</v>
      </c>
      <c r="C3634" s="39">
        <f t="shared" si="114"/>
        <v>11421971.617073605</v>
      </c>
      <c r="D3634" s="39">
        <f t="shared" si="115"/>
        <v>11502982.22431759</v>
      </c>
    </row>
    <row r="3635" spans="2:4" x14ac:dyDescent="0.25">
      <c r="B3635" s="90">
        <v>3631</v>
      </c>
      <c r="C3635" s="39">
        <f t="shared" si="114"/>
        <v>11424634.529364809</v>
      </c>
      <c r="D3635" s="39">
        <f t="shared" si="115"/>
        <v>11506151.089944124</v>
      </c>
    </row>
    <row r="3636" spans="2:4" x14ac:dyDescent="0.25">
      <c r="B3636" s="90">
        <v>3632</v>
      </c>
      <c r="C3636" s="39">
        <f t="shared" si="114"/>
        <v>11427297.441656014</v>
      </c>
      <c r="D3636" s="39">
        <f t="shared" si="115"/>
        <v>11509319.955570657</v>
      </c>
    </row>
    <row r="3637" spans="2:4" x14ac:dyDescent="0.25">
      <c r="B3637" s="90">
        <v>3633</v>
      </c>
      <c r="C3637" s="39">
        <f t="shared" si="114"/>
        <v>11429960.353947219</v>
      </c>
      <c r="D3637" s="39">
        <f t="shared" si="115"/>
        <v>11512488.821197191</v>
      </c>
    </row>
    <row r="3638" spans="2:4" x14ac:dyDescent="0.25">
      <c r="B3638" s="90">
        <v>3634</v>
      </c>
      <c r="C3638" s="39">
        <f t="shared" si="114"/>
        <v>11432623.266238423</v>
      </c>
      <c r="D3638" s="39">
        <f t="shared" si="115"/>
        <v>11515657.686823726</v>
      </c>
    </row>
    <row r="3639" spans="2:4" x14ac:dyDescent="0.25">
      <c r="B3639" s="90">
        <v>3635</v>
      </c>
      <c r="C3639" s="39">
        <f t="shared" si="114"/>
        <v>11435286.178529629</v>
      </c>
      <c r="D3639" s="39">
        <f t="shared" si="115"/>
        <v>11518826.552450258</v>
      </c>
    </row>
    <row r="3640" spans="2:4" x14ac:dyDescent="0.25">
      <c r="B3640" s="90">
        <v>3636</v>
      </c>
      <c r="C3640" s="39">
        <f t="shared" si="114"/>
        <v>11437949.090820834</v>
      </c>
      <c r="D3640" s="39">
        <f t="shared" si="115"/>
        <v>11521995.418076793</v>
      </c>
    </row>
    <row r="3641" spans="2:4" x14ac:dyDescent="0.25">
      <c r="B3641" s="90">
        <v>3637</v>
      </c>
      <c r="C3641" s="39">
        <f t="shared" si="114"/>
        <v>11440612.003112039</v>
      </c>
      <c r="D3641" s="39">
        <f t="shared" si="115"/>
        <v>11525164.283703327</v>
      </c>
    </row>
    <row r="3642" spans="2:4" x14ac:dyDescent="0.25">
      <c r="B3642" s="90">
        <v>3638</v>
      </c>
      <c r="C3642" s="39">
        <f t="shared" si="114"/>
        <v>11443274.915403243</v>
      </c>
      <c r="D3642" s="39">
        <f t="shared" si="115"/>
        <v>11528333.14932986</v>
      </c>
    </row>
    <row r="3643" spans="2:4" x14ac:dyDescent="0.25">
      <c r="B3643" s="90">
        <v>3639</v>
      </c>
      <c r="C3643" s="39">
        <f t="shared" si="114"/>
        <v>11445937.827694448</v>
      </c>
      <c r="D3643" s="39">
        <f t="shared" si="115"/>
        <v>11531502.014956394</v>
      </c>
    </row>
    <row r="3644" spans="2:4" x14ac:dyDescent="0.25">
      <c r="B3644" s="90">
        <v>3640</v>
      </c>
      <c r="C3644" s="39">
        <f t="shared" si="114"/>
        <v>11448600.739985652</v>
      </c>
      <c r="D3644" s="39">
        <f t="shared" si="115"/>
        <v>11534670.880582927</v>
      </c>
    </row>
    <row r="3645" spans="2:4" x14ac:dyDescent="0.25">
      <c r="B3645" s="90">
        <v>3641</v>
      </c>
      <c r="C3645" s="39">
        <f t="shared" si="114"/>
        <v>11451263.652276857</v>
      </c>
      <c r="D3645" s="39">
        <f t="shared" si="115"/>
        <v>11537839.746209461</v>
      </c>
    </row>
    <row r="3646" spans="2:4" x14ac:dyDescent="0.25">
      <c r="B3646" s="90">
        <v>3642</v>
      </c>
      <c r="C3646" s="39">
        <f t="shared" si="114"/>
        <v>11453926.564568063</v>
      </c>
      <c r="D3646" s="39">
        <f t="shared" si="115"/>
        <v>11541008.611835996</v>
      </c>
    </row>
    <row r="3647" spans="2:4" x14ac:dyDescent="0.25">
      <c r="B3647" s="90">
        <v>3643</v>
      </c>
      <c r="C3647" s="39">
        <f t="shared" si="114"/>
        <v>11456589.476859268</v>
      </c>
      <c r="D3647" s="39">
        <f t="shared" si="115"/>
        <v>11544177.477462528</v>
      </c>
    </row>
    <row r="3648" spans="2:4" x14ac:dyDescent="0.25">
      <c r="B3648" s="90">
        <v>3644</v>
      </c>
      <c r="C3648" s="39">
        <f t="shared" si="114"/>
        <v>11459252.389150472</v>
      </c>
      <c r="D3648" s="39">
        <f t="shared" si="115"/>
        <v>11547346.343089063</v>
      </c>
    </row>
    <row r="3649" spans="2:4" x14ac:dyDescent="0.25">
      <c r="B3649" s="90">
        <v>3645</v>
      </c>
      <c r="C3649" s="39">
        <f t="shared" si="114"/>
        <v>11461915.301441677</v>
      </c>
      <c r="D3649" s="39">
        <f t="shared" si="115"/>
        <v>11550515.208715597</v>
      </c>
    </row>
    <row r="3650" spans="2:4" x14ac:dyDescent="0.25">
      <c r="B3650" s="90">
        <v>3646</v>
      </c>
      <c r="C3650" s="39">
        <f t="shared" si="114"/>
        <v>11464578.213732881</v>
      </c>
      <c r="D3650" s="39">
        <f t="shared" si="115"/>
        <v>11553684.07434213</v>
      </c>
    </row>
    <row r="3651" spans="2:4" x14ac:dyDescent="0.25">
      <c r="B3651" s="90">
        <v>3647</v>
      </c>
      <c r="C3651" s="39">
        <f t="shared" si="114"/>
        <v>11467241.126024086</v>
      </c>
      <c r="D3651" s="39">
        <f t="shared" si="115"/>
        <v>11556852.939968664</v>
      </c>
    </row>
    <row r="3652" spans="2:4" x14ac:dyDescent="0.25">
      <c r="B3652" s="90">
        <v>3648</v>
      </c>
      <c r="C3652" s="39">
        <f t="shared" si="114"/>
        <v>11469904.038315292</v>
      </c>
      <c r="D3652" s="39">
        <f t="shared" si="115"/>
        <v>11560021.805595199</v>
      </c>
    </row>
    <row r="3653" spans="2:4" x14ac:dyDescent="0.25">
      <c r="B3653" s="90">
        <v>3649</v>
      </c>
      <c r="C3653" s="39">
        <f t="shared" si="114"/>
        <v>11472566.950606497</v>
      </c>
      <c r="D3653" s="39">
        <f t="shared" si="115"/>
        <v>11563190.671221731</v>
      </c>
    </row>
    <row r="3654" spans="2:4" x14ac:dyDescent="0.25">
      <c r="B3654" s="90">
        <v>3650</v>
      </c>
      <c r="C3654" s="39">
        <f t="shared" si="114"/>
        <v>11475229.862897702</v>
      </c>
      <c r="D3654" s="39">
        <f t="shared" si="115"/>
        <v>11566359.536848266</v>
      </c>
    </row>
    <row r="3655" spans="2:4" x14ac:dyDescent="0.25">
      <c r="B3655" s="90">
        <v>3651</v>
      </c>
      <c r="C3655" s="39">
        <f t="shared" si="114"/>
        <v>11477892.775188906</v>
      </c>
      <c r="D3655" s="39">
        <f t="shared" si="115"/>
        <v>11569528.402474798</v>
      </c>
    </row>
    <row r="3656" spans="2:4" x14ac:dyDescent="0.25">
      <c r="B3656" s="90">
        <v>3652</v>
      </c>
      <c r="C3656" s="39">
        <f t="shared" si="114"/>
        <v>11480555.687480111</v>
      </c>
      <c r="D3656" s="39">
        <f t="shared" si="115"/>
        <v>11572697.268101333</v>
      </c>
    </row>
    <row r="3657" spans="2:4" x14ac:dyDescent="0.25">
      <c r="B3657" s="90">
        <v>3653</v>
      </c>
      <c r="C3657" s="39">
        <f t="shared" si="114"/>
        <v>11483218.599771315</v>
      </c>
      <c r="D3657" s="39">
        <f t="shared" si="115"/>
        <v>11575866.133727867</v>
      </c>
    </row>
    <row r="3658" spans="2:4" x14ac:dyDescent="0.25">
      <c r="B3658" s="90">
        <v>3654</v>
      </c>
      <c r="C3658" s="39">
        <f t="shared" si="114"/>
        <v>11485881.512062522</v>
      </c>
      <c r="D3658" s="39">
        <f t="shared" si="115"/>
        <v>11579034.9993544</v>
      </c>
    </row>
    <row r="3659" spans="2:4" x14ac:dyDescent="0.25">
      <c r="B3659" s="90">
        <v>3655</v>
      </c>
      <c r="C3659" s="39">
        <f t="shared" si="114"/>
        <v>11488544.424353726</v>
      </c>
      <c r="D3659" s="39">
        <f t="shared" si="115"/>
        <v>11582203.864980934</v>
      </c>
    </row>
    <row r="3660" spans="2:4" x14ac:dyDescent="0.25">
      <c r="B3660" s="90">
        <v>3656</v>
      </c>
      <c r="C3660" s="39">
        <f t="shared" si="114"/>
        <v>11491207.336644931</v>
      </c>
      <c r="D3660" s="39">
        <f t="shared" si="115"/>
        <v>11585372.730607469</v>
      </c>
    </row>
    <row r="3661" spans="2:4" x14ac:dyDescent="0.25">
      <c r="B3661" s="90">
        <v>3657</v>
      </c>
      <c r="C3661" s="39">
        <f t="shared" si="114"/>
        <v>11493870.248936135</v>
      </c>
      <c r="D3661" s="39">
        <f t="shared" si="115"/>
        <v>11588541.596234001</v>
      </c>
    </row>
    <row r="3662" spans="2:4" x14ac:dyDescent="0.25">
      <c r="B3662" s="90">
        <v>3658</v>
      </c>
      <c r="C3662" s="39">
        <f t="shared" si="114"/>
        <v>11496533.16122734</v>
      </c>
      <c r="D3662" s="39">
        <f t="shared" si="115"/>
        <v>11591710.461860536</v>
      </c>
    </row>
    <row r="3663" spans="2:4" x14ac:dyDescent="0.25">
      <c r="B3663" s="90">
        <v>3659</v>
      </c>
      <c r="C3663" s="39">
        <f t="shared" si="114"/>
        <v>11499196.073518544</v>
      </c>
      <c r="D3663" s="39">
        <f t="shared" si="115"/>
        <v>11594879.32748707</v>
      </c>
    </row>
    <row r="3664" spans="2:4" x14ac:dyDescent="0.25">
      <c r="B3664" s="90">
        <v>3660</v>
      </c>
      <c r="C3664" s="39">
        <f t="shared" si="114"/>
        <v>11501858.985809749</v>
      </c>
      <c r="D3664" s="39">
        <f t="shared" si="115"/>
        <v>11598048.193113603</v>
      </c>
    </row>
    <row r="3665" spans="2:4" x14ac:dyDescent="0.25">
      <c r="B3665" s="90">
        <v>3661</v>
      </c>
      <c r="C3665" s="39">
        <f t="shared" si="114"/>
        <v>11504521.898100955</v>
      </c>
      <c r="D3665" s="39">
        <f t="shared" si="115"/>
        <v>11601217.058740137</v>
      </c>
    </row>
    <row r="3666" spans="2:4" x14ac:dyDescent="0.25">
      <c r="B3666" s="90">
        <v>3662</v>
      </c>
      <c r="C3666" s="39">
        <f t="shared" si="114"/>
        <v>11507184.81039216</v>
      </c>
      <c r="D3666" s="39">
        <f t="shared" si="115"/>
        <v>11604385.92436667</v>
      </c>
    </row>
    <row r="3667" spans="2:4" x14ac:dyDescent="0.25">
      <c r="B3667" s="90">
        <v>3663</v>
      </c>
      <c r="C3667" s="39">
        <f t="shared" si="114"/>
        <v>11509847.722683365</v>
      </c>
      <c r="D3667" s="39">
        <f t="shared" si="115"/>
        <v>11607554.789993204</v>
      </c>
    </row>
    <row r="3668" spans="2:4" x14ac:dyDescent="0.25">
      <c r="B3668" s="90">
        <v>3664</v>
      </c>
      <c r="C3668" s="39">
        <f t="shared" si="114"/>
        <v>11512510.634974569</v>
      </c>
      <c r="D3668" s="39">
        <f t="shared" si="115"/>
        <v>11610723.655619739</v>
      </c>
    </row>
    <row r="3669" spans="2:4" x14ac:dyDescent="0.25">
      <c r="B3669" s="90">
        <v>3665</v>
      </c>
      <c r="C3669" s="39">
        <f t="shared" si="114"/>
        <v>11515173.547265774</v>
      </c>
      <c r="D3669" s="39">
        <f t="shared" si="115"/>
        <v>11613892.521246271</v>
      </c>
    </row>
    <row r="3670" spans="2:4" x14ac:dyDescent="0.25">
      <c r="B3670" s="90">
        <v>3666</v>
      </c>
      <c r="C3670" s="39">
        <f t="shared" si="114"/>
        <v>11517836.459556978</v>
      </c>
      <c r="D3670" s="39">
        <f t="shared" si="115"/>
        <v>11617061.386872806</v>
      </c>
    </row>
    <row r="3671" spans="2:4" x14ac:dyDescent="0.25">
      <c r="B3671" s="90">
        <v>3667</v>
      </c>
      <c r="C3671" s="39">
        <f t="shared" si="114"/>
        <v>11520499.371848185</v>
      </c>
      <c r="D3671" s="39">
        <f t="shared" si="115"/>
        <v>11620230.25249934</v>
      </c>
    </row>
    <row r="3672" spans="2:4" x14ac:dyDescent="0.25">
      <c r="B3672" s="90">
        <v>3668</v>
      </c>
      <c r="C3672" s="39">
        <f t="shared" si="114"/>
        <v>11523162.284139389</v>
      </c>
      <c r="D3672" s="39">
        <f t="shared" si="115"/>
        <v>11623399.118125873</v>
      </c>
    </row>
    <row r="3673" spans="2:4" x14ac:dyDescent="0.25">
      <c r="B3673" s="90">
        <v>3669</v>
      </c>
      <c r="C3673" s="39">
        <f t="shared" si="114"/>
        <v>11525825.196430594</v>
      </c>
      <c r="D3673" s="39">
        <f t="shared" si="115"/>
        <v>11626567.983752407</v>
      </c>
    </row>
    <row r="3674" spans="2:4" x14ac:dyDescent="0.25">
      <c r="B3674" s="90">
        <v>3670</v>
      </c>
      <c r="C3674" s="39">
        <f t="shared" si="114"/>
        <v>11528488.108721798</v>
      </c>
      <c r="D3674" s="39">
        <f t="shared" si="115"/>
        <v>11629736.849378942</v>
      </c>
    </row>
    <row r="3675" spans="2:4" x14ac:dyDescent="0.25">
      <c r="B3675" s="90">
        <v>3671</v>
      </c>
      <c r="C3675" s="39">
        <f t="shared" si="114"/>
        <v>11531151.021013003</v>
      </c>
      <c r="D3675" s="39">
        <f t="shared" si="115"/>
        <v>11632905.715005474</v>
      </c>
    </row>
    <row r="3676" spans="2:4" x14ac:dyDescent="0.25">
      <c r="B3676" s="90">
        <v>3672</v>
      </c>
      <c r="C3676" s="39">
        <f t="shared" si="114"/>
        <v>11533813.933304207</v>
      </c>
      <c r="D3676" s="39">
        <f t="shared" si="115"/>
        <v>11636074.580632009</v>
      </c>
    </row>
    <row r="3677" spans="2:4" x14ac:dyDescent="0.25">
      <c r="B3677" s="90">
        <v>3673</v>
      </c>
      <c r="C3677" s="39">
        <f t="shared" si="114"/>
        <v>11536476.845595412</v>
      </c>
      <c r="D3677" s="39">
        <f t="shared" si="115"/>
        <v>11639243.446258541</v>
      </c>
    </row>
    <row r="3678" spans="2:4" x14ac:dyDescent="0.25">
      <c r="B3678" s="90">
        <v>3674</v>
      </c>
      <c r="C3678" s="39">
        <f t="shared" si="114"/>
        <v>11539139.757886618</v>
      </c>
      <c r="D3678" s="39">
        <f t="shared" si="115"/>
        <v>11642412.311885076</v>
      </c>
    </row>
    <row r="3679" spans="2:4" x14ac:dyDescent="0.25">
      <c r="B3679" s="90">
        <v>3675</v>
      </c>
      <c r="C3679" s="39">
        <f t="shared" si="114"/>
        <v>11541802.670177823</v>
      </c>
      <c r="D3679" s="39">
        <f t="shared" si="115"/>
        <v>11645581.17751161</v>
      </c>
    </row>
    <row r="3680" spans="2:4" x14ac:dyDescent="0.25">
      <c r="B3680" s="90">
        <v>3676</v>
      </c>
      <c r="C3680" s="39">
        <f t="shared" si="114"/>
        <v>11544465.582469027</v>
      </c>
      <c r="D3680" s="39">
        <f t="shared" si="115"/>
        <v>11648750.043138143</v>
      </c>
    </row>
    <row r="3681" spans="2:4" x14ac:dyDescent="0.25">
      <c r="B3681" s="90">
        <v>3677</v>
      </c>
      <c r="C3681" s="39">
        <f t="shared" si="114"/>
        <v>11547128.494760232</v>
      </c>
      <c r="D3681" s="39">
        <f t="shared" si="115"/>
        <v>11651918.908764677</v>
      </c>
    </row>
    <row r="3682" spans="2:4" x14ac:dyDescent="0.25">
      <c r="B3682" s="90">
        <v>3678</v>
      </c>
      <c r="C3682" s="39">
        <f t="shared" si="114"/>
        <v>11549791.407051437</v>
      </c>
      <c r="D3682" s="39">
        <f t="shared" si="115"/>
        <v>11655087.774391212</v>
      </c>
    </row>
    <row r="3683" spans="2:4" x14ac:dyDescent="0.25">
      <c r="B3683" s="90">
        <v>3679</v>
      </c>
      <c r="C3683" s="39">
        <f t="shared" si="114"/>
        <v>11552454.319342641</v>
      </c>
      <c r="D3683" s="39">
        <f t="shared" si="115"/>
        <v>11658256.640017744</v>
      </c>
    </row>
    <row r="3684" spans="2:4" x14ac:dyDescent="0.25">
      <c r="B3684" s="90">
        <v>3680</v>
      </c>
      <c r="C3684" s="39">
        <f t="shared" si="114"/>
        <v>11555117.231633848</v>
      </c>
      <c r="D3684" s="39">
        <f t="shared" si="115"/>
        <v>11661425.505644279</v>
      </c>
    </row>
    <row r="3685" spans="2:4" x14ac:dyDescent="0.25">
      <c r="B3685" s="90">
        <v>3681</v>
      </c>
      <c r="C3685" s="39">
        <f t="shared" si="114"/>
        <v>11557780.143925052</v>
      </c>
      <c r="D3685" s="39">
        <f t="shared" si="115"/>
        <v>11664594.371270813</v>
      </c>
    </row>
    <row r="3686" spans="2:4" x14ac:dyDescent="0.25">
      <c r="B3686" s="90">
        <v>3682</v>
      </c>
      <c r="C3686" s="39">
        <f t="shared" si="114"/>
        <v>11560443.056216257</v>
      </c>
      <c r="D3686" s="39">
        <f t="shared" si="115"/>
        <v>11667763.236897346</v>
      </c>
    </row>
    <row r="3687" spans="2:4" x14ac:dyDescent="0.25">
      <c r="B3687" s="90">
        <v>3683</v>
      </c>
      <c r="C3687" s="39">
        <f t="shared" si="114"/>
        <v>11563105.968507461</v>
      </c>
      <c r="D3687" s="39">
        <f t="shared" si="115"/>
        <v>11670932.10252388</v>
      </c>
    </row>
    <row r="3688" spans="2:4" x14ac:dyDescent="0.25">
      <c r="B3688" s="90">
        <v>3684</v>
      </c>
      <c r="C3688" s="39">
        <f t="shared" si="114"/>
        <v>11565768.880798666</v>
      </c>
      <c r="D3688" s="39">
        <f t="shared" si="115"/>
        <v>11674100.968150413</v>
      </c>
    </row>
    <row r="3689" spans="2:4" x14ac:dyDescent="0.25">
      <c r="B3689" s="90">
        <v>3685</v>
      </c>
      <c r="C3689" s="39">
        <f t="shared" si="114"/>
        <v>11568431.79308987</v>
      </c>
      <c r="D3689" s="39">
        <f t="shared" si="115"/>
        <v>11677269.833776947</v>
      </c>
    </row>
    <row r="3690" spans="2:4" x14ac:dyDescent="0.25">
      <c r="B3690" s="90">
        <v>3686</v>
      </c>
      <c r="C3690" s="39">
        <f t="shared" si="114"/>
        <v>11571094.705381077</v>
      </c>
      <c r="D3690" s="39">
        <f t="shared" si="115"/>
        <v>11680438.699403482</v>
      </c>
    </row>
    <row r="3691" spans="2:4" x14ac:dyDescent="0.25">
      <c r="B3691" s="90">
        <v>3687</v>
      </c>
      <c r="C3691" s="39">
        <f t="shared" si="114"/>
        <v>11573757.617672281</v>
      </c>
      <c r="D3691" s="39">
        <f t="shared" si="115"/>
        <v>11683607.565030014</v>
      </c>
    </row>
    <row r="3692" spans="2:4" x14ac:dyDescent="0.25">
      <c r="B3692" s="90">
        <v>3688</v>
      </c>
      <c r="C3692" s="39">
        <f t="shared" si="114"/>
        <v>11576420.529963486</v>
      </c>
      <c r="D3692" s="39">
        <f t="shared" si="115"/>
        <v>11686776.430656549</v>
      </c>
    </row>
    <row r="3693" spans="2:4" x14ac:dyDescent="0.25">
      <c r="B3693" s="90">
        <v>3689</v>
      </c>
      <c r="C3693" s="39">
        <f t="shared" si="114"/>
        <v>11579083.44225469</v>
      </c>
      <c r="D3693" s="39">
        <f t="shared" si="115"/>
        <v>11689945.296283083</v>
      </c>
    </row>
    <row r="3694" spans="2:4" x14ac:dyDescent="0.25">
      <c r="B3694" s="90">
        <v>3690</v>
      </c>
      <c r="C3694" s="39">
        <f t="shared" si="114"/>
        <v>11581746.354545895</v>
      </c>
      <c r="D3694" s="39">
        <f t="shared" si="115"/>
        <v>11693114.161909616</v>
      </c>
    </row>
    <row r="3695" spans="2:4" x14ac:dyDescent="0.25">
      <c r="B3695" s="90">
        <v>3691</v>
      </c>
      <c r="C3695" s="39">
        <f t="shared" si="114"/>
        <v>11584409.2668371</v>
      </c>
      <c r="D3695" s="39">
        <f t="shared" si="115"/>
        <v>11696283.02753615</v>
      </c>
    </row>
    <row r="3696" spans="2:4" x14ac:dyDescent="0.25">
      <c r="B3696" s="90">
        <v>3692</v>
      </c>
      <c r="C3696" s="39">
        <f t="shared" si="114"/>
        <v>11587072.179128304</v>
      </c>
      <c r="D3696" s="39">
        <f t="shared" si="115"/>
        <v>11699451.893162685</v>
      </c>
    </row>
    <row r="3697" spans="2:4" x14ac:dyDescent="0.25">
      <c r="B3697" s="90">
        <v>3693</v>
      </c>
      <c r="C3697" s="39">
        <f t="shared" ref="C3697:C3760" si="116">($C$2*B3697)+$C$1</f>
        <v>11589735.091419511</v>
      </c>
      <c r="D3697" s="39">
        <f t="shared" ref="D3697:D3760" si="117">$D$2*B3697</f>
        <v>11702620.758789217</v>
      </c>
    </row>
    <row r="3698" spans="2:4" x14ac:dyDescent="0.25">
      <c r="B3698" s="90">
        <v>3694</v>
      </c>
      <c r="C3698" s="39">
        <f t="shared" si="116"/>
        <v>11592398.003710715</v>
      </c>
      <c r="D3698" s="39">
        <f t="shared" si="117"/>
        <v>11705789.624415752</v>
      </c>
    </row>
    <row r="3699" spans="2:4" x14ac:dyDescent="0.25">
      <c r="B3699" s="90">
        <v>3695</v>
      </c>
      <c r="C3699" s="39">
        <f t="shared" si="116"/>
        <v>11595060.91600192</v>
      </c>
      <c r="D3699" s="39">
        <f t="shared" si="117"/>
        <v>11708958.490042284</v>
      </c>
    </row>
    <row r="3700" spans="2:4" x14ac:dyDescent="0.25">
      <c r="B3700" s="90">
        <v>3696</v>
      </c>
      <c r="C3700" s="39">
        <f t="shared" si="116"/>
        <v>11597723.828293124</v>
      </c>
      <c r="D3700" s="39">
        <f t="shared" si="117"/>
        <v>11712127.355668819</v>
      </c>
    </row>
    <row r="3701" spans="2:4" x14ac:dyDescent="0.25">
      <c r="B3701" s="90">
        <v>3697</v>
      </c>
      <c r="C3701" s="39">
        <f t="shared" si="116"/>
        <v>11600386.740584329</v>
      </c>
      <c r="D3701" s="39">
        <f t="shared" si="117"/>
        <v>11715296.221295353</v>
      </c>
    </row>
    <row r="3702" spans="2:4" x14ac:dyDescent="0.25">
      <c r="B3702" s="90">
        <v>3698</v>
      </c>
      <c r="C3702" s="39">
        <f t="shared" si="116"/>
        <v>11603049.652875533</v>
      </c>
      <c r="D3702" s="39">
        <f t="shared" si="117"/>
        <v>11718465.086921886</v>
      </c>
    </row>
    <row r="3703" spans="2:4" x14ac:dyDescent="0.25">
      <c r="B3703" s="90">
        <v>3699</v>
      </c>
      <c r="C3703" s="39">
        <f t="shared" si="116"/>
        <v>11605712.56516674</v>
      </c>
      <c r="D3703" s="39">
        <f t="shared" si="117"/>
        <v>11721633.95254842</v>
      </c>
    </row>
    <row r="3704" spans="2:4" x14ac:dyDescent="0.25">
      <c r="B3704" s="90">
        <v>3700</v>
      </c>
      <c r="C3704" s="39">
        <f t="shared" si="116"/>
        <v>11608375.477457944</v>
      </c>
      <c r="D3704" s="39">
        <f t="shared" si="117"/>
        <v>11724802.818174955</v>
      </c>
    </row>
    <row r="3705" spans="2:4" x14ac:dyDescent="0.25">
      <c r="B3705" s="90">
        <v>3701</v>
      </c>
      <c r="C3705" s="39">
        <f t="shared" si="116"/>
        <v>11611038.389749149</v>
      </c>
      <c r="D3705" s="39">
        <f t="shared" si="117"/>
        <v>11727971.683801487</v>
      </c>
    </row>
    <row r="3706" spans="2:4" x14ac:dyDescent="0.25">
      <c r="B3706" s="90">
        <v>3702</v>
      </c>
      <c r="C3706" s="39">
        <f t="shared" si="116"/>
        <v>11613701.302040353</v>
      </c>
      <c r="D3706" s="39">
        <f t="shared" si="117"/>
        <v>11731140.549428022</v>
      </c>
    </row>
    <row r="3707" spans="2:4" x14ac:dyDescent="0.25">
      <c r="B3707" s="90">
        <v>3703</v>
      </c>
      <c r="C3707" s="39">
        <f t="shared" si="116"/>
        <v>11616364.214331558</v>
      </c>
      <c r="D3707" s="39">
        <f t="shared" si="117"/>
        <v>11734309.415054556</v>
      </c>
    </row>
    <row r="3708" spans="2:4" x14ac:dyDescent="0.25">
      <c r="B3708" s="90">
        <v>3704</v>
      </c>
      <c r="C3708" s="39">
        <f t="shared" si="116"/>
        <v>11619027.126622763</v>
      </c>
      <c r="D3708" s="39">
        <f t="shared" si="117"/>
        <v>11737478.280681089</v>
      </c>
    </row>
    <row r="3709" spans="2:4" x14ac:dyDescent="0.25">
      <c r="B3709" s="90">
        <v>3705</v>
      </c>
      <c r="C3709" s="39">
        <f t="shared" si="116"/>
        <v>11621690.038913969</v>
      </c>
      <c r="D3709" s="39">
        <f t="shared" si="117"/>
        <v>11740647.146307623</v>
      </c>
    </row>
    <row r="3710" spans="2:4" x14ac:dyDescent="0.25">
      <c r="B3710" s="90">
        <v>3706</v>
      </c>
      <c r="C3710" s="39">
        <f t="shared" si="116"/>
        <v>11624352.951205174</v>
      </c>
      <c r="D3710" s="39">
        <f t="shared" si="117"/>
        <v>11743816.011934156</v>
      </c>
    </row>
    <row r="3711" spans="2:4" x14ac:dyDescent="0.25">
      <c r="B3711" s="90">
        <v>3707</v>
      </c>
      <c r="C3711" s="39">
        <f t="shared" si="116"/>
        <v>11627015.863496378</v>
      </c>
      <c r="D3711" s="39">
        <f t="shared" si="117"/>
        <v>11746984.87756069</v>
      </c>
    </row>
    <row r="3712" spans="2:4" x14ac:dyDescent="0.25">
      <c r="B3712" s="90">
        <v>3708</v>
      </c>
      <c r="C3712" s="39">
        <f t="shared" si="116"/>
        <v>11629678.775787583</v>
      </c>
      <c r="D3712" s="39">
        <f t="shared" si="117"/>
        <v>11750153.743187224</v>
      </c>
    </row>
    <row r="3713" spans="2:4" x14ac:dyDescent="0.25">
      <c r="B3713" s="90">
        <v>3709</v>
      </c>
      <c r="C3713" s="39">
        <f t="shared" si="116"/>
        <v>11632341.688078787</v>
      </c>
      <c r="D3713" s="39">
        <f t="shared" si="117"/>
        <v>11753322.608813757</v>
      </c>
    </row>
    <row r="3714" spans="2:4" x14ac:dyDescent="0.25">
      <c r="B3714" s="90">
        <v>3710</v>
      </c>
      <c r="C3714" s="39">
        <f t="shared" si="116"/>
        <v>11635004.600369992</v>
      </c>
      <c r="D3714" s="39">
        <f t="shared" si="117"/>
        <v>11756491.474440292</v>
      </c>
    </row>
    <row r="3715" spans="2:4" x14ac:dyDescent="0.25">
      <c r="B3715" s="90">
        <v>3711</v>
      </c>
      <c r="C3715" s="39">
        <f t="shared" si="116"/>
        <v>11637667.512661196</v>
      </c>
      <c r="D3715" s="39">
        <f t="shared" si="117"/>
        <v>11759660.340066826</v>
      </c>
    </row>
    <row r="3716" spans="2:4" x14ac:dyDescent="0.25">
      <c r="B3716" s="90">
        <v>3712</v>
      </c>
      <c r="C3716" s="39">
        <f t="shared" si="116"/>
        <v>11640330.424952403</v>
      </c>
      <c r="D3716" s="39">
        <f t="shared" si="117"/>
        <v>11762829.205693359</v>
      </c>
    </row>
    <row r="3717" spans="2:4" x14ac:dyDescent="0.25">
      <c r="B3717" s="90">
        <v>3713</v>
      </c>
      <c r="C3717" s="39">
        <f t="shared" si="116"/>
        <v>11642993.337243607</v>
      </c>
      <c r="D3717" s="39">
        <f t="shared" si="117"/>
        <v>11765998.071319893</v>
      </c>
    </row>
    <row r="3718" spans="2:4" x14ac:dyDescent="0.25">
      <c r="B3718" s="90">
        <v>3714</v>
      </c>
      <c r="C3718" s="39">
        <f t="shared" si="116"/>
        <v>11645656.249534812</v>
      </c>
      <c r="D3718" s="39">
        <f t="shared" si="117"/>
        <v>11769166.936946427</v>
      </c>
    </row>
    <row r="3719" spans="2:4" x14ac:dyDescent="0.25">
      <c r="B3719" s="90">
        <v>3715</v>
      </c>
      <c r="C3719" s="39">
        <f t="shared" si="116"/>
        <v>11648319.161826016</v>
      </c>
      <c r="D3719" s="39">
        <f t="shared" si="117"/>
        <v>11772335.80257296</v>
      </c>
    </row>
    <row r="3720" spans="2:4" x14ac:dyDescent="0.25">
      <c r="B3720" s="90">
        <v>3716</v>
      </c>
      <c r="C3720" s="39">
        <f t="shared" si="116"/>
        <v>11650982.074117221</v>
      </c>
      <c r="D3720" s="39">
        <f t="shared" si="117"/>
        <v>11775504.668199494</v>
      </c>
    </row>
    <row r="3721" spans="2:4" x14ac:dyDescent="0.25">
      <c r="B3721" s="90">
        <v>3717</v>
      </c>
      <c r="C3721" s="39">
        <f t="shared" si="116"/>
        <v>11653644.986408425</v>
      </c>
      <c r="D3721" s="39">
        <f t="shared" si="117"/>
        <v>11778673.533826027</v>
      </c>
    </row>
    <row r="3722" spans="2:4" x14ac:dyDescent="0.25">
      <c r="B3722" s="90">
        <v>3718</v>
      </c>
      <c r="C3722" s="39">
        <f t="shared" si="116"/>
        <v>11656307.898699632</v>
      </c>
      <c r="D3722" s="39">
        <f t="shared" si="117"/>
        <v>11781842.399452562</v>
      </c>
    </row>
    <row r="3723" spans="2:4" x14ac:dyDescent="0.25">
      <c r="B3723" s="90">
        <v>3719</v>
      </c>
      <c r="C3723" s="39">
        <f t="shared" si="116"/>
        <v>11658970.810990836</v>
      </c>
      <c r="D3723" s="39">
        <f t="shared" si="117"/>
        <v>11785011.265079096</v>
      </c>
    </row>
    <row r="3724" spans="2:4" x14ac:dyDescent="0.25">
      <c r="B3724" s="90">
        <v>3720</v>
      </c>
      <c r="C3724" s="39">
        <f t="shared" si="116"/>
        <v>11661633.723282041</v>
      </c>
      <c r="D3724" s="39">
        <f t="shared" si="117"/>
        <v>11788180.130705629</v>
      </c>
    </row>
    <row r="3725" spans="2:4" x14ac:dyDescent="0.25">
      <c r="B3725" s="90">
        <v>3721</v>
      </c>
      <c r="C3725" s="39">
        <f t="shared" si="116"/>
        <v>11664296.635573246</v>
      </c>
      <c r="D3725" s="39">
        <f t="shared" si="117"/>
        <v>11791348.996332163</v>
      </c>
    </row>
    <row r="3726" spans="2:4" x14ac:dyDescent="0.25">
      <c r="B3726" s="90">
        <v>3722</v>
      </c>
      <c r="C3726" s="39">
        <f t="shared" si="116"/>
        <v>11666959.54786445</v>
      </c>
      <c r="D3726" s="39">
        <f t="shared" si="117"/>
        <v>11794517.861958697</v>
      </c>
    </row>
    <row r="3727" spans="2:4" x14ac:dyDescent="0.25">
      <c r="B3727" s="90">
        <v>3723</v>
      </c>
      <c r="C3727" s="39">
        <f t="shared" si="116"/>
        <v>11669622.460155655</v>
      </c>
      <c r="D3727" s="39">
        <f t="shared" si="117"/>
        <v>11797686.72758523</v>
      </c>
    </row>
    <row r="3728" spans="2:4" x14ac:dyDescent="0.25">
      <c r="B3728" s="90">
        <v>3724</v>
      </c>
      <c r="C3728" s="39">
        <f t="shared" si="116"/>
        <v>11672285.372446861</v>
      </c>
      <c r="D3728" s="39">
        <f t="shared" si="117"/>
        <v>11800855.593211764</v>
      </c>
    </row>
    <row r="3729" spans="2:4" x14ac:dyDescent="0.25">
      <c r="B3729" s="90">
        <v>3725</v>
      </c>
      <c r="C3729" s="39">
        <f t="shared" si="116"/>
        <v>11674948.284738066</v>
      </c>
      <c r="D3729" s="39">
        <f t="shared" si="117"/>
        <v>11804024.458838299</v>
      </c>
    </row>
    <row r="3730" spans="2:4" x14ac:dyDescent="0.25">
      <c r="B3730" s="90">
        <v>3726</v>
      </c>
      <c r="C3730" s="39">
        <f t="shared" si="116"/>
        <v>11677611.19702927</v>
      </c>
      <c r="D3730" s="39">
        <f t="shared" si="117"/>
        <v>11807193.324464832</v>
      </c>
    </row>
    <row r="3731" spans="2:4" x14ac:dyDescent="0.25">
      <c r="B3731" s="90">
        <v>3727</v>
      </c>
      <c r="C3731" s="39">
        <f t="shared" si="116"/>
        <v>11680274.109320475</v>
      </c>
      <c r="D3731" s="39">
        <f t="shared" si="117"/>
        <v>11810362.190091366</v>
      </c>
    </row>
    <row r="3732" spans="2:4" x14ac:dyDescent="0.25">
      <c r="B3732" s="90">
        <v>3728</v>
      </c>
      <c r="C3732" s="39">
        <f t="shared" si="116"/>
        <v>11682937.021611679</v>
      </c>
      <c r="D3732" s="39">
        <f t="shared" si="117"/>
        <v>11813531.0557179</v>
      </c>
    </row>
    <row r="3733" spans="2:4" x14ac:dyDescent="0.25">
      <c r="B3733" s="90">
        <v>3729</v>
      </c>
      <c r="C3733" s="39">
        <f t="shared" si="116"/>
        <v>11685599.933902884</v>
      </c>
      <c r="D3733" s="39">
        <f t="shared" si="117"/>
        <v>11816699.921344433</v>
      </c>
    </row>
    <row r="3734" spans="2:4" x14ac:dyDescent="0.25">
      <c r="B3734" s="90">
        <v>3730</v>
      </c>
      <c r="C3734" s="39">
        <f t="shared" si="116"/>
        <v>11688262.846194088</v>
      </c>
      <c r="D3734" s="39">
        <f t="shared" si="117"/>
        <v>11819868.786970967</v>
      </c>
    </row>
    <row r="3735" spans="2:4" x14ac:dyDescent="0.25">
      <c r="B3735" s="90">
        <v>3731</v>
      </c>
      <c r="C3735" s="39">
        <f t="shared" si="116"/>
        <v>11690925.758485295</v>
      </c>
      <c r="D3735" s="39">
        <f t="shared" si="117"/>
        <v>11823037.6525975</v>
      </c>
    </row>
    <row r="3736" spans="2:4" x14ac:dyDescent="0.25">
      <c r="B3736" s="90">
        <v>3732</v>
      </c>
      <c r="C3736" s="39">
        <f t="shared" si="116"/>
        <v>11693588.670776499</v>
      </c>
      <c r="D3736" s="39">
        <f t="shared" si="117"/>
        <v>11826206.518224034</v>
      </c>
    </row>
    <row r="3737" spans="2:4" x14ac:dyDescent="0.25">
      <c r="B3737" s="90">
        <v>3733</v>
      </c>
      <c r="C3737" s="39">
        <f t="shared" si="116"/>
        <v>11696251.583067704</v>
      </c>
      <c r="D3737" s="39">
        <f t="shared" si="117"/>
        <v>11829375.383850569</v>
      </c>
    </row>
    <row r="3738" spans="2:4" x14ac:dyDescent="0.25">
      <c r="B3738" s="90">
        <v>3734</v>
      </c>
      <c r="C3738" s="39">
        <f t="shared" si="116"/>
        <v>11698914.495358909</v>
      </c>
      <c r="D3738" s="39">
        <f t="shared" si="117"/>
        <v>11832544.249477101</v>
      </c>
    </row>
    <row r="3739" spans="2:4" x14ac:dyDescent="0.25">
      <c r="B3739" s="90">
        <v>3735</v>
      </c>
      <c r="C3739" s="39">
        <f t="shared" si="116"/>
        <v>11701577.407650113</v>
      </c>
      <c r="D3739" s="39">
        <f t="shared" si="117"/>
        <v>11835713.115103636</v>
      </c>
    </row>
    <row r="3740" spans="2:4" x14ac:dyDescent="0.25">
      <c r="B3740" s="90">
        <v>3736</v>
      </c>
      <c r="C3740" s="39">
        <f t="shared" si="116"/>
        <v>11704240.319941318</v>
      </c>
      <c r="D3740" s="39">
        <f t="shared" si="117"/>
        <v>11838881.98073017</v>
      </c>
    </row>
    <row r="3741" spans="2:4" x14ac:dyDescent="0.25">
      <c r="B3741" s="90">
        <v>3737</v>
      </c>
      <c r="C3741" s="39">
        <f t="shared" si="116"/>
        <v>11706903.232232524</v>
      </c>
      <c r="D3741" s="39">
        <f t="shared" si="117"/>
        <v>11842050.846356703</v>
      </c>
    </row>
    <row r="3742" spans="2:4" x14ac:dyDescent="0.25">
      <c r="B3742" s="90">
        <v>3738</v>
      </c>
      <c r="C3742" s="39">
        <f t="shared" si="116"/>
        <v>11709566.144523729</v>
      </c>
      <c r="D3742" s="39">
        <f t="shared" si="117"/>
        <v>11845219.711983237</v>
      </c>
    </row>
    <row r="3743" spans="2:4" x14ac:dyDescent="0.25">
      <c r="B3743" s="90">
        <v>3739</v>
      </c>
      <c r="C3743" s="39">
        <f t="shared" si="116"/>
        <v>11712229.056814933</v>
      </c>
      <c r="D3743" s="39">
        <f t="shared" si="117"/>
        <v>11848388.577609772</v>
      </c>
    </row>
    <row r="3744" spans="2:4" x14ac:dyDescent="0.25">
      <c r="B3744" s="90">
        <v>3740</v>
      </c>
      <c r="C3744" s="39">
        <f t="shared" si="116"/>
        <v>11714891.969106138</v>
      </c>
      <c r="D3744" s="39">
        <f t="shared" si="117"/>
        <v>11851557.443236304</v>
      </c>
    </row>
    <row r="3745" spans="2:4" x14ac:dyDescent="0.25">
      <c r="B3745" s="90">
        <v>3741</v>
      </c>
      <c r="C3745" s="39">
        <f t="shared" si="116"/>
        <v>11717554.881397342</v>
      </c>
      <c r="D3745" s="39">
        <f t="shared" si="117"/>
        <v>11854726.308862839</v>
      </c>
    </row>
    <row r="3746" spans="2:4" x14ac:dyDescent="0.25">
      <c r="B3746" s="90">
        <v>3742</v>
      </c>
      <c r="C3746" s="39">
        <f t="shared" si="116"/>
        <v>11720217.793688547</v>
      </c>
      <c r="D3746" s="39">
        <f t="shared" si="117"/>
        <v>11857895.174489371</v>
      </c>
    </row>
    <row r="3747" spans="2:4" x14ac:dyDescent="0.25">
      <c r="B3747" s="90">
        <v>3743</v>
      </c>
      <c r="C3747" s="39">
        <f t="shared" si="116"/>
        <v>11722880.705979751</v>
      </c>
      <c r="D3747" s="39">
        <f t="shared" si="117"/>
        <v>11861064.040115906</v>
      </c>
    </row>
    <row r="3748" spans="2:4" x14ac:dyDescent="0.25">
      <c r="B3748" s="90">
        <v>3744</v>
      </c>
      <c r="C3748" s="39">
        <f t="shared" si="116"/>
        <v>11725543.618270958</v>
      </c>
      <c r="D3748" s="39">
        <f t="shared" si="117"/>
        <v>11864232.90574244</v>
      </c>
    </row>
    <row r="3749" spans="2:4" x14ac:dyDescent="0.25">
      <c r="B3749" s="90">
        <v>3745</v>
      </c>
      <c r="C3749" s="39">
        <f t="shared" si="116"/>
        <v>11728206.530562162</v>
      </c>
      <c r="D3749" s="39">
        <f t="shared" si="117"/>
        <v>11867401.771368973</v>
      </c>
    </row>
    <row r="3750" spans="2:4" x14ac:dyDescent="0.25">
      <c r="B3750" s="90">
        <v>3746</v>
      </c>
      <c r="C3750" s="39">
        <f t="shared" si="116"/>
        <v>11730869.442853367</v>
      </c>
      <c r="D3750" s="39">
        <f t="shared" si="117"/>
        <v>11870570.636995507</v>
      </c>
    </row>
    <row r="3751" spans="2:4" x14ac:dyDescent="0.25">
      <c r="B3751" s="90">
        <v>3747</v>
      </c>
      <c r="C3751" s="39">
        <f t="shared" si="116"/>
        <v>11733532.355144572</v>
      </c>
      <c r="D3751" s="39">
        <f t="shared" si="117"/>
        <v>11873739.502622042</v>
      </c>
    </row>
    <row r="3752" spans="2:4" x14ac:dyDescent="0.25">
      <c r="B3752" s="90">
        <v>3748</v>
      </c>
      <c r="C3752" s="39">
        <f t="shared" si="116"/>
        <v>11736195.267435776</v>
      </c>
      <c r="D3752" s="39">
        <f t="shared" si="117"/>
        <v>11876908.368248574</v>
      </c>
    </row>
    <row r="3753" spans="2:4" x14ac:dyDescent="0.25">
      <c r="B3753" s="90">
        <v>3749</v>
      </c>
      <c r="C3753" s="39">
        <f t="shared" si="116"/>
        <v>11738858.179726981</v>
      </c>
      <c r="D3753" s="39">
        <f t="shared" si="117"/>
        <v>11880077.233875109</v>
      </c>
    </row>
    <row r="3754" spans="2:4" x14ac:dyDescent="0.25">
      <c r="B3754" s="90">
        <v>3750</v>
      </c>
      <c r="C3754" s="39">
        <f t="shared" si="116"/>
        <v>11741521.092018187</v>
      </c>
      <c r="D3754" s="39">
        <f t="shared" si="117"/>
        <v>11883246.099501643</v>
      </c>
    </row>
    <row r="3755" spans="2:4" x14ac:dyDescent="0.25">
      <c r="B3755" s="90">
        <v>3751</v>
      </c>
      <c r="C3755" s="39">
        <f t="shared" si="116"/>
        <v>11744184.004309392</v>
      </c>
      <c r="D3755" s="39">
        <f t="shared" si="117"/>
        <v>11886414.965128176</v>
      </c>
    </row>
    <row r="3756" spans="2:4" x14ac:dyDescent="0.25">
      <c r="B3756" s="90">
        <v>3752</v>
      </c>
      <c r="C3756" s="39">
        <f t="shared" si="116"/>
        <v>11746846.916600596</v>
      </c>
      <c r="D3756" s="39">
        <f t="shared" si="117"/>
        <v>11889583.83075471</v>
      </c>
    </row>
    <row r="3757" spans="2:4" x14ac:dyDescent="0.25">
      <c r="B3757" s="90">
        <v>3753</v>
      </c>
      <c r="C3757" s="39">
        <f t="shared" si="116"/>
        <v>11749509.828891801</v>
      </c>
      <c r="D3757" s="39">
        <f t="shared" si="117"/>
        <v>11892752.696381243</v>
      </c>
    </row>
    <row r="3758" spans="2:4" x14ac:dyDescent="0.25">
      <c r="B3758" s="90">
        <v>3754</v>
      </c>
      <c r="C3758" s="39">
        <f t="shared" si="116"/>
        <v>11752172.741183005</v>
      </c>
      <c r="D3758" s="39">
        <f t="shared" si="117"/>
        <v>11895921.562007777</v>
      </c>
    </row>
    <row r="3759" spans="2:4" x14ac:dyDescent="0.25">
      <c r="B3759" s="90">
        <v>3755</v>
      </c>
      <c r="C3759" s="39">
        <f t="shared" si="116"/>
        <v>11754835.65347421</v>
      </c>
      <c r="D3759" s="39">
        <f t="shared" si="117"/>
        <v>11899090.427634312</v>
      </c>
    </row>
    <row r="3760" spans="2:4" x14ac:dyDescent="0.25">
      <c r="B3760" s="90">
        <v>3756</v>
      </c>
      <c r="C3760" s="39">
        <f t="shared" si="116"/>
        <v>11757498.565765416</v>
      </c>
      <c r="D3760" s="39">
        <f t="shared" si="117"/>
        <v>11902259.293260844</v>
      </c>
    </row>
    <row r="3761" spans="2:4" x14ac:dyDescent="0.25">
      <c r="B3761" s="90">
        <v>3757</v>
      </c>
      <c r="C3761" s="39">
        <f t="shared" ref="C3761:C3824" si="118">($C$2*B3761)+$C$1</f>
        <v>11760161.478056621</v>
      </c>
      <c r="D3761" s="39">
        <f t="shared" ref="D3761:D3824" si="119">$D$2*B3761</f>
        <v>11905428.158887379</v>
      </c>
    </row>
    <row r="3762" spans="2:4" x14ac:dyDescent="0.25">
      <c r="B3762" s="90">
        <v>3758</v>
      </c>
      <c r="C3762" s="39">
        <f t="shared" si="118"/>
        <v>11762824.390347825</v>
      </c>
      <c r="D3762" s="39">
        <f t="shared" si="119"/>
        <v>11908597.024513913</v>
      </c>
    </row>
    <row r="3763" spans="2:4" x14ac:dyDescent="0.25">
      <c r="B3763" s="90">
        <v>3759</v>
      </c>
      <c r="C3763" s="39">
        <f t="shared" si="118"/>
        <v>11765487.30263903</v>
      </c>
      <c r="D3763" s="39">
        <f t="shared" si="119"/>
        <v>11911765.890140446</v>
      </c>
    </row>
    <row r="3764" spans="2:4" x14ac:dyDescent="0.25">
      <c r="B3764" s="90">
        <v>3760</v>
      </c>
      <c r="C3764" s="39">
        <f t="shared" si="118"/>
        <v>11768150.214930234</v>
      </c>
      <c r="D3764" s="39">
        <f t="shared" si="119"/>
        <v>11914934.75576698</v>
      </c>
    </row>
    <row r="3765" spans="2:4" x14ac:dyDescent="0.25">
      <c r="B3765" s="90">
        <v>3761</v>
      </c>
      <c r="C3765" s="39">
        <f t="shared" si="118"/>
        <v>11770813.127221439</v>
      </c>
      <c r="D3765" s="39">
        <f t="shared" si="119"/>
        <v>11918103.621393515</v>
      </c>
    </row>
    <row r="3766" spans="2:4" x14ac:dyDescent="0.25">
      <c r="B3766" s="90">
        <v>3762</v>
      </c>
      <c r="C3766" s="39">
        <f t="shared" si="118"/>
        <v>11773476.039512644</v>
      </c>
      <c r="D3766" s="39">
        <f t="shared" si="119"/>
        <v>11921272.487020047</v>
      </c>
    </row>
    <row r="3767" spans="2:4" x14ac:dyDescent="0.25">
      <c r="B3767" s="90">
        <v>3763</v>
      </c>
      <c r="C3767" s="39">
        <f t="shared" si="118"/>
        <v>11776138.95180385</v>
      </c>
      <c r="D3767" s="39">
        <f t="shared" si="119"/>
        <v>11924441.352646582</v>
      </c>
    </row>
    <row r="3768" spans="2:4" x14ac:dyDescent="0.25">
      <c r="B3768" s="90">
        <v>3764</v>
      </c>
      <c r="C3768" s="39">
        <f t="shared" si="118"/>
        <v>11778801.864095055</v>
      </c>
      <c r="D3768" s="39">
        <f t="shared" si="119"/>
        <v>11927610.218273114</v>
      </c>
    </row>
    <row r="3769" spans="2:4" x14ac:dyDescent="0.25">
      <c r="B3769" s="90">
        <v>3765</v>
      </c>
      <c r="C3769" s="39">
        <f t="shared" si="118"/>
        <v>11781464.776386259</v>
      </c>
      <c r="D3769" s="39">
        <f t="shared" si="119"/>
        <v>11930779.083899649</v>
      </c>
    </row>
    <row r="3770" spans="2:4" x14ac:dyDescent="0.25">
      <c r="B3770" s="90">
        <v>3766</v>
      </c>
      <c r="C3770" s="39">
        <f t="shared" si="118"/>
        <v>11784127.688677464</v>
      </c>
      <c r="D3770" s="39">
        <f t="shared" si="119"/>
        <v>11933947.949526183</v>
      </c>
    </row>
    <row r="3771" spans="2:4" x14ac:dyDescent="0.25">
      <c r="B3771" s="90">
        <v>3767</v>
      </c>
      <c r="C3771" s="39">
        <f t="shared" si="118"/>
        <v>11786790.600968668</v>
      </c>
      <c r="D3771" s="39">
        <f t="shared" si="119"/>
        <v>11937116.815152716</v>
      </c>
    </row>
    <row r="3772" spans="2:4" x14ac:dyDescent="0.25">
      <c r="B3772" s="90">
        <v>3768</v>
      </c>
      <c r="C3772" s="39">
        <f t="shared" si="118"/>
        <v>11789453.513259873</v>
      </c>
      <c r="D3772" s="39">
        <f t="shared" si="119"/>
        <v>11940285.68077925</v>
      </c>
    </row>
    <row r="3773" spans="2:4" x14ac:dyDescent="0.25">
      <c r="B3773" s="90">
        <v>3769</v>
      </c>
      <c r="C3773" s="39">
        <f t="shared" si="118"/>
        <v>11792116.425551079</v>
      </c>
      <c r="D3773" s="39">
        <f t="shared" si="119"/>
        <v>11943454.546405785</v>
      </c>
    </row>
    <row r="3774" spans="2:4" x14ac:dyDescent="0.25">
      <c r="B3774" s="90">
        <v>3770</v>
      </c>
      <c r="C3774" s="39">
        <f t="shared" si="118"/>
        <v>11794779.337842284</v>
      </c>
      <c r="D3774" s="39">
        <f t="shared" si="119"/>
        <v>11946623.412032317</v>
      </c>
    </row>
    <row r="3775" spans="2:4" x14ac:dyDescent="0.25">
      <c r="B3775" s="90">
        <v>3771</v>
      </c>
      <c r="C3775" s="39">
        <f t="shared" si="118"/>
        <v>11797442.250133488</v>
      </c>
      <c r="D3775" s="39">
        <f t="shared" si="119"/>
        <v>11949792.277658852</v>
      </c>
    </row>
    <row r="3776" spans="2:4" x14ac:dyDescent="0.25">
      <c r="B3776" s="90">
        <v>3772</v>
      </c>
      <c r="C3776" s="39">
        <f t="shared" si="118"/>
        <v>11800105.162424693</v>
      </c>
      <c r="D3776" s="39">
        <f t="shared" si="119"/>
        <v>11952961.143285386</v>
      </c>
    </row>
    <row r="3777" spans="2:4" x14ac:dyDescent="0.25">
      <c r="B3777" s="90">
        <v>3773</v>
      </c>
      <c r="C3777" s="39">
        <f t="shared" si="118"/>
        <v>11802768.074715897</v>
      </c>
      <c r="D3777" s="39">
        <f t="shared" si="119"/>
        <v>11956130.008911919</v>
      </c>
    </row>
    <row r="3778" spans="2:4" x14ac:dyDescent="0.25">
      <c r="B3778" s="90">
        <v>3774</v>
      </c>
      <c r="C3778" s="39">
        <f t="shared" si="118"/>
        <v>11805430.987007102</v>
      </c>
      <c r="D3778" s="39">
        <f t="shared" si="119"/>
        <v>11959298.874538453</v>
      </c>
    </row>
    <row r="3779" spans="2:4" x14ac:dyDescent="0.25">
      <c r="B3779" s="90">
        <v>3775</v>
      </c>
      <c r="C3779" s="39">
        <f t="shared" si="118"/>
        <v>11808093.899298308</v>
      </c>
      <c r="D3779" s="39">
        <f t="shared" si="119"/>
        <v>11962467.740164986</v>
      </c>
    </row>
    <row r="3780" spans="2:4" x14ac:dyDescent="0.25">
      <c r="B3780" s="90">
        <v>3776</v>
      </c>
      <c r="C3780" s="39">
        <f t="shared" si="118"/>
        <v>11810756.811589513</v>
      </c>
      <c r="D3780" s="39">
        <f t="shared" si="119"/>
        <v>11965636.60579152</v>
      </c>
    </row>
    <row r="3781" spans="2:4" x14ac:dyDescent="0.25">
      <c r="B3781" s="90">
        <v>3777</v>
      </c>
      <c r="C3781" s="39">
        <f t="shared" si="118"/>
        <v>11813419.723880718</v>
      </c>
      <c r="D3781" s="39">
        <f t="shared" si="119"/>
        <v>11968805.471418055</v>
      </c>
    </row>
    <row r="3782" spans="2:4" x14ac:dyDescent="0.25">
      <c r="B3782" s="90">
        <v>3778</v>
      </c>
      <c r="C3782" s="39">
        <f t="shared" si="118"/>
        <v>11816082.636171922</v>
      </c>
      <c r="D3782" s="39">
        <f t="shared" si="119"/>
        <v>11971974.337044587</v>
      </c>
    </row>
    <row r="3783" spans="2:4" x14ac:dyDescent="0.25">
      <c r="B3783" s="90">
        <v>3779</v>
      </c>
      <c r="C3783" s="39">
        <f t="shared" si="118"/>
        <v>11818745.548463127</v>
      </c>
      <c r="D3783" s="39">
        <f t="shared" si="119"/>
        <v>11975143.202671122</v>
      </c>
    </row>
    <row r="3784" spans="2:4" x14ac:dyDescent="0.25">
      <c r="B3784" s="90">
        <v>3780</v>
      </c>
      <c r="C3784" s="39">
        <f t="shared" si="118"/>
        <v>11821408.460754331</v>
      </c>
      <c r="D3784" s="39">
        <f t="shared" si="119"/>
        <v>11978312.068297656</v>
      </c>
    </row>
    <row r="3785" spans="2:4" x14ac:dyDescent="0.25">
      <c r="B3785" s="90">
        <v>3781</v>
      </c>
      <c r="C3785" s="39">
        <f t="shared" si="118"/>
        <v>11824071.373045536</v>
      </c>
      <c r="D3785" s="39">
        <f t="shared" si="119"/>
        <v>11981480.933924189</v>
      </c>
    </row>
    <row r="3786" spans="2:4" x14ac:dyDescent="0.25">
      <c r="B3786" s="90">
        <v>3782</v>
      </c>
      <c r="C3786" s="39">
        <f t="shared" si="118"/>
        <v>11826734.285336742</v>
      </c>
      <c r="D3786" s="39">
        <f t="shared" si="119"/>
        <v>11984649.799550723</v>
      </c>
    </row>
    <row r="3787" spans="2:4" x14ac:dyDescent="0.25">
      <c r="B3787" s="90">
        <v>3783</v>
      </c>
      <c r="C3787" s="39">
        <f t="shared" si="118"/>
        <v>11829397.197627947</v>
      </c>
      <c r="D3787" s="39">
        <f t="shared" si="119"/>
        <v>11987818.665177258</v>
      </c>
    </row>
    <row r="3788" spans="2:4" x14ac:dyDescent="0.25">
      <c r="B3788" s="90">
        <v>3784</v>
      </c>
      <c r="C3788" s="39">
        <f t="shared" si="118"/>
        <v>11832060.109919151</v>
      </c>
      <c r="D3788" s="39">
        <f t="shared" si="119"/>
        <v>11990987.53080379</v>
      </c>
    </row>
    <row r="3789" spans="2:4" x14ac:dyDescent="0.25">
      <c r="B3789" s="90">
        <v>3785</v>
      </c>
      <c r="C3789" s="39">
        <f t="shared" si="118"/>
        <v>11834723.022210356</v>
      </c>
      <c r="D3789" s="39">
        <f t="shared" si="119"/>
        <v>11994156.396430325</v>
      </c>
    </row>
    <row r="3790" spans="2:4" x14ac:dyDescent="0.25">
      <c r="B3790" s="90">
        <v>3786</v>
      </c>
      <c r="C3790" s="39">
        <f t="shared" si="118"/>
        <v>11837385.93450156</v>
      </c>
      <c r="D3790" s="39">
        <f t="shared" si="119"/>
        <v>11997325.262056857</v>
      </c>
    </row>
    <row r="3791" spans="2:4" x14ac:dyDescent="0.25">
      <c r="B3791" s="90">
        <v>3787</v>
      </c>
      <c r="C3791" s="39">
        <f t="shared" si="118"/>
        <v>11840048.846792765</v>
      </c>
      <c r="D3791" s="39">
        <f t="shared" si="119"/>
        <v>12000494.127683392</v>
      </c>
    </row>
    <row r="3792" spans="2:4" x14ac:dyDescent="0.25">
      <c r="B3792" s="90">
        <v>3788</v>
      </c>
      <c r="C3792" s="39">
        <f t="shared" si="118"/>
        <v>11842711.759083971</v>
      </c>
      <c r="D3792" s="39">
        <f t="shared" si="119"/>
        <v>12003662.993309926</v>
      </c>
    </row>
    <row r="3793" spans="2:4" x14ac:dyDescent="0.25">
      <c r="B3793" s="90">
        <v>3789</v>
      </c>
      <c r="C3793" s="39">
        <f t="shared" si="118"/>
        <v>11845374.671375176</v>
      </c>
      <c r="D3793" s="39">
        <f t="shared" si="119"/>
        <v>12006831.858936459</v>
      </c>
    </row>
    <row r="3794" spans="2:4" x14ac:dyDescent="0.25">
      <c r="B3794" s="90">
        <v>3790</v>
      </c>
      <c r="C3794" s="39">
        <f t="shared" si="118"/>
        <v>11848037.58366638</v>
      </c>
      <c r="D3794" s="39">
        <f t="shared" si="119"/>
        <v>12010000.724562993</v>
      </c>
    </row>
    <row r="3795" spans="2:4" x14ac:dyDescent="0.25">
      <c r="B3795" s="90">
        <v>3791</v>
      </c>
      <c r="C3795" s="39">
        <f t="shared" si="118"/>
        <v>11850700.495957585</v>
      </c>
      <c r="D3795" s="39">
        <f t="shared" si="119"/>
        <v>12013169.590189528</v>
      </c>
    </row>
    <row r="3796" spans="2:4" x14ac:dyDescent="0.25">
      <c r="B3796" s="90">
        <v>3792</v>
      </c>
      <c r="C3796" s="39">
        <f t="shared" si="118"/>
        <v>11853363.40824879</v>
      </c>
      <c r="D3796" s="39">
        <f t="shared" si="119"/>
        <v>12016338.45581606</v>
      </c>
    </row>
    <row r="3797" spans="2:4" x14ac:dyDescent="0.25">
      <c r="B3797" s="90">
        <v>3793</v>
      </c>
      <c r="C3797" s="39">
        <f t="shared" si="118"/>
        <v>11856026.320539994</v>
      </c>
      <c r="D3797" s="39">
        <f t="shared" si="119"/>
        <v>12019507.321442595</v>
      </c>
    </row>
    <row r="3798" spans="2:4" x14ac:dyDescent="0.25">
      <c r="B3798" s="90">
        <v>3794</v>
      </c>
      <c r="C3798" s="39">
        <f t="shared" si="118"/>
        <v>11858689.232831201</v>
      </c>
      <c r="D3798" s="39">
        <f t="shared" si="119"/>
        <v>12022676.187069129</v>
      </c>
    </row>
    <row r="3799" spans="2:4" x14ac:dyDescent="0.25">
      <c r="B3799" s="90">
        <v>3795</v>
      </c>
      <c r="C3799" s="39">
        <f t="shared" si="118"/>
        <v>11861352.145122405</v>
      </c>
      <c r="D3799" s="39">
        <f t="shared" si="119"/>
        <v>12025845.052695662</v>
      </c>
    </row>
    <row r="3800" spans="2:4" x14ac:dyDescent="0.25">
      <c r="B3800" s="90">
        <v>3796</v>
      </c>
      <c r="C3800" s="39">
        <f t="shared" si="118"/>
        <v>11864015.05741361</v>
      </c>
      <c r="D3800" s="39">
        <f t="shared" si="119"/>
        <v>12029013.918322196</v>
      </c>
    </row>
    <row r="3801" spans="2:4" x14ac:dyDescent="0.25">
      <c r="B3801" s="90">
        <v>3797</v>
      </c>
      <c r="C3801" s="39">
        <f t="shared" si="118"/>
        <v>11866677.969704814</v>
      </c>
      <c r="D3801" s="39">
        <f t="shared" si="119"/>
        <v>12032182.783948729</v>
      </c>
    </row>
    <row r="3802" spans="2:4" x14ac:dyDescent="0.25">
      <c r="B3802" s="90">
        <v>3798</v>
      </c>
      <c r="C3802" s="39">
        <f t="shared" si="118"/>
        <v>11869340.881996019</v>
      </c>
      <c r="D3802" s="39">
        <f t="shared" si="119"/>
        <v>12035351.649575263</v>
      </c>
    </row>
    <row r="3803" spans="2:4" x14ac:dyDescent="0.25">
      <c r="B3803" s="90">
        <v>3799</v>
      </c>
      <c r="C3803" s="39">
        <f t="shared" si="118"/>
        <v>11872003.794287223</v>
      </c>
      <c r="D3803" s="39">
        <f t="shared" si="119"/>
        <v>12038520.515201798</v>
      </c>
    </row>
    <row r="3804" spans="2:4" x14ac:dyDescent="0.25">
      <c r="B3804" s="90">
        <v>3800</v>
      </c>
      <c r="C3804" s="39">
        <f t="shared" si="118"/>
        <v>11874666.706578428</v>
      </c>
      <c r="D3804" s="39">
        <f t="shared" si="119"/>
        <v>12041689.38082833</v>
      </c>
    </row>
    <row r="3805" spans="2:4" x14ac:dyDescent="0.25">
      <c r="B3805" s="90">
        <v>3801</v>
      </c>
      <c r="C3805" s="39">
        <f t="shared" si="118"/>
        <v>11877329.618869634</v>
      </c>
      <c r="D3805" s="39">
        <f t="shared" si="119"/>
        <v>12044858.246454865</v>
      </c>
    </row>
    <row r="3806" spans="2:4" x14ac:dyDescent="0.25">
      <c r="B3806" s="90">
        <v>3802</v>
      </c>
      <c r="C3806" s="39">
        <f t="shared" si="118"/>
        <v>11879992.531160839</v>
      </c>
      <c r="D3806" s="39">
        <f t="shared" si="119"/>
        <v>12048027.112081399</v>
      </c>
    </row>
    <row r="3807" spans="2:4" x14ac:dyDescent="0.25">
      <c r="B3807" s="90">
        <v>3803</v>
      </c>
      <c r="C3807" s="39">
        <f t="shared" si="118"/>
        <v>11882655.443452043</v>
      </c>
      <c r="D3807" s="39">
        <f t="shared" si="119"/>
        <v>12051195.977707932</v>
      </c>
    </row>
    <row r="3808" spans="2:4" x14ac:dyDescent="0.25">
      <c r="B3808" s="90">
        <v>3804</v>
      </c>
      <c r="C3808" s="39">
        <f t="shared" si="118"/>
        <v>11885318.355743248</v>
      </c>
      <c r="D3808" s="39">
        <f t="shared" si="119"/>
        <v>12054364.843334466</v>
      </c>
    </row>
    <row r="3809" spans="2:4" x14ac:dyDescent="0.25">
      <c r="B3809" s="90">
        <v>3805</v>
      </c>
      <c r="C3809" s="39">
        <f t="shared" si="118"/>
        <v>11887981.268034453</v>
      </c>
      <c r="D3809" s="39">
        <f t="shared" si="119"/>
        <v>12057533.708961001</v>
      </c>
    </row>
    <row r="3810" spans="2:4" x14ac:dyDescent="0.25">
      <c r="B3810" s="90">
        <v>3806</v>
      </c>
      <c r="C3810" s="39">
        <f t="shared" si="118"/>
        <v>11890644.180325657</v>
      </c>
      <c r="D3810" s="39">
        <f t="shared" si="119"/>
        <v>12060702.574587533</v>
      </c>
    </row>
    <row r="3811" spans="2:4" x14ac:dyDescent="0.25">
      <c r="B3811" s="90">
        <v>3807</v>
      </c>
      <c r="C3811" s="39">
        <f t="shared" si="118"/>
        <v>11893307.092616864</v>
      </c>
      <c r="D3811" s="39">
        <f t="shared" si="119"/>
        <v>12063871.440214068</v>
      </c>
    </row>
    <row r="3812" spans="2:4" x14ac:dyDescent="0.25">
      <c r="B3812" s="90">
        <v>3808</v>
      </c>
      <c r="C3812" s="39">
        <f t="shared" si="118"/>
        <v>11895970.004908068</v>
      </c>
      <c r="D3812" s="39">
        <f t="shared" si="119"/>
        <v>12067040.3058406</v>
      </c>
    </row>
    <row r="3813" spans="2:4" x14ac:dyDescent="0.25">
      <c r="B3813" s="90">
        <v>3809</v>
      </c>
      <c r="C3813" s="39">
        <f t="shared" si="118"/>
        <v>11898632.917199273</v>
      </c>
      <c r="D3813" s="39">
        <f t="shared" si="119"/>
        <v>12070209.171467135</v>
      </c>
    </row>
    <row r="3814" spans="2:4" x14ac:dyDescent="0.25">
      <c r="B3814" s="90">
        <v>3810</v>
      </c>
      <c r="C3814" s="39">
        <f t="shared" si="118"/>
        <v>11901295.829490477</v>
      </c>
      <c r="D3814" s="39">
        <f t="shared" si="119"/>
        <v>12073378.037093669</v>
      </c>
    </row>
    <row r="3815" spans="2:4" x14ac:dyDescent="0.25">
      <c r="B3815" s="90">
        <v>3811</v>
      </c>
      <c r="C3815" s="39">
        <f t="shared" si="118"/>
        <v>11903958.741781682</v>
      </c>
      <c r="D3815" s="39">
        <f t="shared" si="119"/>
        <v>12076546.902720202</v>
      </c>
    </row>
    <row r="3816" spans="2:4" x14ac:dyDescent="0.25">
      <c r="B3816" s="90">
        <v>3812</v>
      </c>
      <c r="C3816" s="39">
        <f t="shared" si="118"/>
        <v>11906621.654072886</v>
      </c>
      <c r="D3816" s="39">
        <f t="shared" si="119"/>
        <v>12079715.768346736</v>
      </c>
    </row>
    <row r="3817" spans="2:4" x14ac:dyDescent="0.25">
      <c r="B3817" s="90">
        <v>3813</v>
      </c>
      <c r="C3817" s="39">
        <f t="shared" si="118"/>
        <v>11909284.566364093</v>
      </c>
      <c r="D3817" s="39">
        <f t="shared" si="119"/>
        <v>12082884.633973271</v>
      </c>
    </row>
    <row r="3818" spans="2:4" x14ac:dyDescent="0.25">
      <c r="B3818" s="90">
        <v>3814</v>
      </c>
      <c r="C3818" s="39">
        <f t="shared" si="118"/>
        <v>11911947.478655297</v>
      </c>
      <c r="D3818" s="39">
        <f t="shared" si="119"/>
        <v>12086053.499599803</v>
      </c>
    </row>
    <row r="3819" spans="2:4" x14ac:dyDescent="0.25">
      <c r="B3819" s="90">
        <v>3815</v>
      </c>
      <c r="C3819" s="39">
        <f t="shared" si="118"/>
        <v>11914610.390946502</v>
      </c>
      <c r="D3819" s="39">
        <f t="shared" si="119"/>
        <v>12089222.365226338</v>
      </c>
    </row>
    <row r="3820" spans="2:4" x14ac:dyDescent="0.25">
      <c r="B3820" s="90">
        <v>3816</v>
      </c>
      <c r="C3820" s="39">
        <f t="shared" si="118"/>
        <v>11917273.303237706</v>
      </c>
      <c r="D3820" s="39">
        <f t="shared" si="119"/>
        <v>12092391.230852872</v>
      </c>
    </row>
    <row r="3821" spans="2:4" x14ac:dyDescent="0.25">
      <c r="B3821" s="90">
        <v>3817</v>
      </c>
      <c r="C3821" s="39">
        <f t="shared" si="118"/>
        <v>11919936.215528911</v>
      </c>
      <c r="D3821" s="39">
        <f t="shared" si="119"/>
        <v>12095560.096479405</v>
      </c>
    </row>
    <row r="3822" spans="2:4" x14ac:dyDescent="0.25">
      <c r="B3822" s="90">
        <v>3818</v>
      </c>
      <c r="C3822" s="39">
        <f t="shared" si="118"/>
        <v>11922599.127820116</v>
      </c>
      <c r="D3822" s="39">
        <f t="shared" si="119"/>
        <v>12098728.962105939</v>
      </c>
    </row>
    <row r="3823" spans="2:4" x14ac:dyDescent="0.25">
      <c r="B3823" s="90">
        <v>3819</v>
      </c>
      <c r="C3823" s="39">
        <f t="shared" si="118"/>
        <v>11925262.04011132</v>
      </c>
      <c r="D3823" s="39">
        <f t="shared" si="119"/>
        <v>12101897.827732472</v>
      </c>
    </row>
    <row r="3824" spans="2:4" x14ac:dyDescent="0.25">
      <c r="B3824" s="90">
        <v>3820</v>
      </c>
      <c r="C3824" s="39">
        <f t="shared" si="118"/>
        <v>11927924.952402527</v>
      </c>
      <c r="D3824" s="39">
        <f t="shared" si="119"/>
        <v>12105066.693359006</v>
      </c>
    </row>
    <row r="3825" spans="2:4" x14ac:dyDescent="0.25">
      <c r="B3825" s="90">
        <v>3821</v>
      </c>
      <c r="C3825" s="39">
        <f t="shared" ref="C3825:C3888" si="120">($C$2*B3825)+$C$1</f>
        <v>11930587.864693731</v>
      </c>
      <c r="D3825" s="39">
        <f t="shared" ref="D3825:D3888" si="121">$D$2*B3825</f>
        <v>12108235.558985541</v>
      </c>
    </row>
    <row r="3826" spans="2:4" x14ac:dyDescent="0.25">
      <c r="B3826" s="90">
        <v>3822</v>
      </c>
      <c r="C3826" s="39">
        <f t="shared" si="120"/>
        <v>11933250.776984936</v>
      </c>
      <c r="D3826" s="39">
        <f t="shared" si="121"/>
        <v>12111404.424612073</v>
      </c>
    </row>
    <row r="3827" spans="2:4" x14ac:dyDescent="0.25">
      <c r="B3827" s="90">
        <v>3823</v>
      </c>
      <c r="C3827" s="39">
        <f t="shared" si="120"/>
        <v>11935913.68927614</v>
      </c>
      <c r="D3827" s="39">
        <f t="shared" si="121"/>
        <v>12114573.290238608</v>
      </c>
    </row>
    <row r="3828" spans="2:4" x14ac:dyDescent="0.25">
      <c r="B3828" s="90">
        <v>3824</v>
      </c>
      <c r="C3828" s="39">
        <f t="shared" si="120"/>
        <v>11938576.601567345</v>
      </c>
      <c r="D3828" s="39">
        <f t="shared" si="121"/>
        <v>12117742.155865142</v>
      </c>
    </row>
    <row r="3829" spans="2:4" x14ac:dyDescent="0.25">
      <c r="B3829" s="90">
        <v>3825</v>
      </c>
      <c r="C3829" s="39">
        <f t="shared" si="120"/>
        <v>11941239.513858549</v>
      </c>
      <c r="D3829" s="39">
        <f t="shared" si="121"/>
        <v>12120911.021491675</v>
      </c>
    </row>
    <row r="3830" spans="2:4" x14ac:dyDescent="0.25">
      <c r="B3830" s="90">
        <v>3826</v>
      </c>
      <c r="C3830" s="39">
        <f t="shared" si="120"/>
        <v>11943902.426149756</v>
      </c>
      <c r="D3830" s="39">
        <f t="shared" si="121"/>
        <v>12124079.887118209</v>
      </c>
    </row>
    <row r="3831" spans="2:4" x14ac:dyDescent="0.25">
      <c r="B3831" s="90">
        <v>3827</v>
      </c>
      <c r="C3831" s="39">
        <f t="shared" si="120"/>
        <v>11946565.33844096</v>
      </c>
      <c r="D3831" s="39">
        <f t="shared" si="121"/>
        <v>12127248.752744744</v>
      </c>
    </row>
    <row r="3832" spans="2:4" x14ac:dyDescent="0.25">
      <c r="B3832" s="90">
        <v>3828</v>
      </c>
      <c r="C3832" s="39">
        <f t="shared" si="120"/>
        <v>11949228.250732165</v>
      </c>
      <c r="D3832" s="39">
        <f t="shared" si="121"/>
        <v>12130417.618371276</v>
      </c>
    </row>
    <row r="3833" spans="2:4" x14ac:dyDescent="0.25">
      <c r="B3833" s="90">
        <v>3829</v>
      </c>
      <c r="C3833" s="39">
        <f t="shared" si="120"/>
        <v>11951891.163023369</v>
      </c>
      <c r="D3833" s="39">
        <f t="shared" si="121"/>
        <v>12133586.483997811</v>
      </c>
    </row>
    <row r="3834" spans="2:4" x14ac:dyDescent="0.25">
      <c r="B3834" s="90">
        <v>3830</v>
      </c>
      <c r="C3834" s="39">
        <f t="shared" si="120"/>
        <v>11954554.075314574</v>
      </c>
      <c r="D3834" s="39">
        <f t="shared" si="121"/>
        <v>12136755.349624345</v>
      </c>
    </row>
    <row r="3835" spans="2:4" x14ac:dyDescent="0.25">
      <c r="B3835" s="90">
        <v>3831</v>
      </c>
      <c r="C3835" s="39">
        <f t="shared" si="120"/>
        <v>11957216.987605779</v>
      </c>
      <c r="D3835" s="39">
        <f t="shared" si="121"/>
        <v>12139924.215250878</v>
      </c>
    </row>
    <row r="3836" spans="2:4" x14ac:dyDescent="0.25">
      <c r="B3836" s="90">
        <v>3832</v>
      </c>
      <c r="C3836" s="39">
        <f t="shared" si="120"/>
        <v>11959879.899896983</v>
      </c>
      <c r="D3836" s="39">
        <f t="shared" si="121"/>
        <v>12143093.080877412</v>
      </c>
    </row>
    <row r="3837" spans="2:4" x14ac:dyDescent="0.25">
      <c r="B3837" s="90">
        <v>3833</v>
      </c>
      <c r="C3837" s="39">
        <f t="shared" si="120"/>
        <v>11962542.812188189</v>
      </c>
      <c r="D3837" s="39">
        <f t="shared" si="121"/>
        <v>12146261.946503945</v>
      </c>
    </row>
    <row r="3838" spans="2:4" x14ac:dyDescent="0.25">
      <c r="B3838" s="90">
        <v>3834</v>
      </c>
      <c r="C3838" s="39">
        <f t="shared" si="120"/>
        <v>11965205.724479394</v>
      </c>
      <c r="D3838" s="39">
        <f t="shared" si="121"/>
        <v>12149430.812130479</v>
      </c>
    </row>
    <row r="3839" spans="2:4" x14ac:dyDescent="0.25">
      <c r="B3839" s="90">
        <v>3835</v>
      </c>
      <c r="C3839" s="39">
        <f t="shared" si="120"/>
        <v>11967868.636770599</v>
      </c>
      <c r="D3839" s="39">
        <f t="shared" si="121"/>
        <v>12152599.677757014</v>
      </c>
    </row>
    <row r="3840" spans="2:4" x14ac:dyDescent="0.25">
      <c r="B3840" s="90">
        <v>3836</v>
      </c>
      <c r="C3840" s="39">
        <f t="shared" si="120"/>
        <v>11970531.549061803</v>
      </c>
      <c r="D3840" s="39">
        <f t="shared" si="121"/>
        <v>12155768.543383546</v>
      </c>
    </row>
    <row r="3841" spans="2:4" x14ac:dyDescent="0.25">
      <c r="B3841" s="90">
        <v>3837</v>
      </c>
      <c r="C3841" s="39">
        <f t="shared" si="120"/>
        <v>11973194.461353008</v>
      </c>
      <c r="D3841" s="39">
        <f t="shared" si="121"/>
        <v>12158937.409010081</v>
      </c>
    </row>
    <row r="3842" spans="2:4" x14ac:dyDescent="0.25">
      <c r="B3842" s="90">
        <v>3838</v>
      </c>
      <c r="C3842" s="39">
        <f t="shared" si="120"/>
        <v>11975857.373644212</v>
      </c>
      <c r="D3842" s="39">
        <f t="shared" si="121"/>
        <v>12162106.274636615</v>
      </c>
    </row>
    <row r="3843" spans="2:4" x14ac:dyDescent="0.25">
      <c r="B3843" s="90">
        <v>3839</v>
      </c>
      <c r="C3843" s="39">
        <f t="shared" si="120"/>
        <v>11978520.285935419</v>
      </c>
      <c r="D3843" s="39">
        <f t="shared" si="121"/>
        <v>12165275.140263148</v>
      </c>
    </row>
    <row r="3844" spans="2:4" x14ac:dyDescent="0.25">
      <c r="B3844" s="90">
        <v>3840</v>
      </c>
      <c r="C3844" s="39">
        <f t="shared" si="120"/>
        <v>11981183.198226623</v>
      </c>
      <c r="D3844" s="39">
        <f t="shared" si="121"/>
        <v>12168444.005889682</v>
      </c>
    </row>
    <row r="3845" spans="2:4" x14ac:dyDescent="0.25">
      <c r="B3845" s="90">
        <v>3841</v>
      </c>
      <c r="C3845" s="39">
        <f t="shared" si="120"/>
        <v>11983846.110517828</v>
      </c>
      <c r="D3845" s="39">
        <f t="shared" si="121"/>
        <v>12171612.871516217</v>
      </c>
    </row>
    <row r="3846" spans="2:4" x14ac:dyDescent="0.25">
      <c r="B3846" s="90">
        <v>3842</v>
      </c>
      <c r="C3846" s="39">
        <f t="shared" si="120"/>
        <v>11986509.022809032</v>
      </c>
      <c r="D3846" s="39">
        <f t="shared" si="121"/>
        <v>12174781.737142749</v>
      </c>
    </row>
    <row r="3847" spans="2:4" x14ac:dyDescent="0.25">
      <c r="B3847" s="90">
        <v>3843</v>
      </c>
      <c r="C3847" s="39">
        <f t="shared" si="120"/>
        <v>11989171.935100237</v>
      </c>
      <c r="D3847" s="39">
        <f t="shared" si="121"/>
        <v>12177950.602769284</v>
      </c>
    </row>
    <row r="3848" spans="2:4" x14ac:dyDescent="0.25">
      <c r="B3848" s="90">
        <v>3844</v>
      </c>
      <c r="C3848" s="39">
        <f t="shared" si="120"/>
        <v>11991834.847391441</v>
      </c>
      <c r="D3848" s="39">
        <f t="shared" si="121"/>
        <v>12181119.468395816</v>
      </c>
    </row>
    <row r="3849" spans="2:4" x14ac:dyDescent="0.25">
      <c r="B3849" s="90">
        <v>3845</v>
      </c>
      <c r="C3849" s="39">
        <f t="shared" si="120"/>
        <v>11994497.759682648</v>
      </c>
      <c r="D3849" s="39">
        <f t="shared" si="121"/>
        <v>12184288.334022351</v>
      </c>
    </row>
    <row r="3850" spans="2:4" x14ac:dyDescent="0.25">
      <c r="B3850" s="90">
        <v>3846</v>
      </c>
      <c r="C3850" s="39">
        <f t="shared" si="120"/>
        <v>11997160.671973852</v>
      </c>
      <c r="D3850" s="39">
        <f t="shared" si="121"/>
        <v>12187457.199648885</v>
      </c>
    </row>
    <row r="3851" spans="2:4" x14ac:dyDescent="0.25">
      <c r="B3851" s="90">
        <v>3847</v>
      </c>
      <c r="C3851" s="39">
        <f t="shared" si="120"/>
        <v>11999823.584265057</v>
      </c>
      <c r="D3851" s="39">
        <f t="shared" si="121"/>
        <v>12190626.065275418</v>
      </c>
    </row>
    <row r="3852" spans="2:4" x14ac:dyDescent="0.25">
      <c r="B3852" s="90">
        <v>3848</v>
      </c>
      <c r="C3852" s="39">
        <f t="shared" si="120"/>
        <v>12002486.496556262</v>
      </c>
      <c r="D3852" s="39">
        <f t="shared" si="121"/>
        <v>12193794.930901952</v>
      </c>
    </row>
    <row r="3853" spans="2:4" x14ac:dyDescent="0.25">
      <c r="B3853" s="90">
        <v>3849</v>
      </c>
      <c r="C3853" s="39">
        <f t="shared" si="120"/>
        <v>12005149.408847466</v>
      </c>
      <c r="D3853" s="39">
        <f t="shared" si="121"/>
        <v>12196963.796528487</v>
      </c>
    </row>
    <row r="3854" spans="2:4" x14ac:dyDescent="0.25">
      <c r="B3854" s="90">
        <v>3850</v>
      </c>
      <c r="C3854" s="39">
        <f t="shared" si="120"/>
        <v>12007812.321138671</v>
      </c>
      <c r="D3854" s="39">
        <f t="shared" si="121"/>
        <v>12200132.662155019</v>
      </c>
    </row>
    <row r="3855" spans="2:4" x14ac:dyDescent="0.25">
      <c r="B3855" s="90">
        <v>3851</v>
      </c>
      <c r="C3855" s="39">
        <f t="shared" si="120"/>
        <v>12010475.233429875</v>
      </c>
      <c r="D3855" s="39">
        <f t="shared" si="121"/>
        <v>12203301.527781554</v>
      </c>
    </row>
    <row r="3856" spans="2:4" x14ac:dyDescent="0.25">
      <c r="B3856" s="90">
        <v>3852</v>
      </c>
      <c r="C3856" s="39">
        <f t="shared" si="120"/>
        <v>12013138.145721082</v>
      </c>
      <c r="D3856" s="39">
        <f t="shared" si="121"/>
        <v>12206470.393408088</v>
      </c>
    </row>
    <row r="3857" spans="2:4" x14ac:dyDescent="0.25">
      <c r="B3857" s="90">
        <v>3853</v>
      </c>
      <c r="C3857" s="39">
        <f t="shared" si="120"/>
        <v>12015801.058012286</v>
      </c>
      <c r="D3857" s="39">
        <f t="shared" si="121"/>
        <v>12209639.259034621</v>
      </c>
    </row>
    <row r="3858" spans="2:4" x14ac:dyDescent="0.25">
      <c r="B3858" s="90">
        <v>3854</v>
      </c>
      <c r="C3858" s="39">
        <f t="shared" si="120"/>
        <v>12018463.970303491</v>
      </c>
      <c r="D3858" s="39">
        <f t="shared" si="121"/>
        <v>12212808.124661155</v>
      </c>
    </row>
    <row r="3859" spans="2:4" x14ac:dyDescent="0.25">
      <c r="B3859" s="90">
        <v>3855</v>
      </c>
      <c r="C3859" s="39">
        <f t="shared" si="120"/>
        <v>12021126.882594695</v>
      </c>
      <c r="D3859" s="39">
        <f t="shared" si="121"/>
        <v>12215976.990287688</v>
      </c>
    </row>
    <row r="3860" spans="2:4" x14ac:dyDescent="0.25">
      <c r="B3860" s="90">
        <v>3856</v>
      </c>
      <c r="C3860" s="39">
        <f t="shared" si="120"/>
        <v>12023789.7948859</v>
      </c>
      <c r="D3860" s="39">
        <f t="shared" si="121"/>
        <v>12219145.855914222</v>
      </c>
    </row>
    <row r="3861" spans="2:4" x14ac:dyDescent="0.25">
      <c r="B3861" s="90">
        <v>3857</v>
      </c>
      <c r="C3861" s="39">
        <f t="shared" si="120"/>
        <v>12026452.707177104</v>
      </c>
      <c r="D3861" s="39">
        <f t="shared" si="121"/>
        <v>12222314.721540757</v>
      </c>
    </row>
    <row r="3862" spans="2:4" x14ac:dyDescent="0.25">
      <c r="B3862" s="90">
        <v>3858</v>
      </c>
      <c r="C3862" s="39">
        <f t="shared" si="120"/>
        <v>12029115.619468311</v>
      </c>
      <c r="D3862" s="39">
        <f t="shared" si="121"/>
        <v>12225483.587167289</v>
      </c>
    </row>
    <row r="3863" spans="2:4" x14ac:dyDescent="0.25">
      <c r="B3863" s="90">
        <v>3859</v>
      </c>
      <c r="C3863" s="39">
        <f t="shared" si="120"/>
        <v>12031778.531759515</v>
      </c>
      <c r="D3863" s="39">
        <f t="shared" si="121"/>
        <v>12228652.452793824</v>
      </c>
    </row>
    <row r="3864" spans="2:4" x14ac:dyDescent="0.25">
      <c r="B3864" s="90">
        <v>3860</v>
      </c>
      <c r="C3864" s="39">
        <f t="shared" si="120"/>
        <v>12034441.44405072</v>
      </c>
      <c r="D3864" s="39">
        <f t="shared" si="121"/>
        <v>12231821.318420358</v>
      </c>
    </row>
    <row r="3865" spans="2:4" x14ac:dyDescent="0.25">
      <c r="B3865" s="90">
        <v>3861</v>
      </c>
      <c r="C3865" s="39">
        <f t="shared" si="120"/>
        <v>12037104.356341925</v>
      </c>
      <c r="D3865" s="39">
        <f t="shared" si="121"/>
        <v>12234990.184046891</v>
      </c>
    </row>
    <row r="3866" spans="2:4" x14ac:dyDescent="0.25">
      <c r="B3866" s="90">
        <v>3862</v>
      </c>
      <c r="C3866" s="39">
        <f t="shared" si="120"/>
        <v>12039767.268633129</v>
      </c>
      <c r="D3866" s="39">
        <f t="shared" si="121"/>
        <v>12238159.049673425</v>
      </c>
    </row>
    <row r="3867" spans="2:4" x14ac:dyDescent="0.25">
      <c r="B3867" s="90">
        <v>3863</v>
      </c>
      <c r="C3867" s="39">
        <f t="shared" si="120"/>
        <v>12042430.180924334</v>
      </c>
      <c r="D3867" s="39">
        <f t="shared" si="121"/>
        <v>12241327.915299959</v>
      </c>
    </row>
    <row r="3868" spans="2:4" x14ac:dyDescent="0.25">
      <c r="B3868" s="90">
        <v>3864</v>
      </c>
      <c r="C3868" s="39">
        <f t="shared" si="120"/>
        <v>12045093.09321554</v>
      </c>
      <c r="D3868" s="39">
        <f t="shared" si="121"/>
        <v>12244496.780926492</v>
      </c>
    </row>
    <row r="3869" spans="2:4" x14ac:dyDescent="0.25">
      <c r="B3869" s="90">
        <v>3865</v>
      </c>
      <c r="C3869" s="39">
        <f t="shared" si="120"/>
        <v>12047756.005506745</v>
      </c>
      <c r="D3869" s="39">
        <f t="shared" si="121"/>
        <v>12247665.646553027</v>
      </c>
    </row>
    <row r="3870" spans="2:4" x14ac:dyDescent="0.25">
      <c r="B3870" s="90">
        <v>3866</v>
      </c>
      <c r="C3870" s="39">
        <f t="shared" si="120"/>
        <v>12050418.917797949</v>
      </c>
      <c r="D3870" s="39">
        <f t="shared" si="121"/>
        <v>12250834.512179559</v>
      </c>
    </row>
    <row r="3871" spans="2:4" x14ac:dyDescent="0.25">
      <c r="B3871" s="90">
        <v>3867</v>
      </c>
      <c r="C3871" s="39">
        <f t="shared" si="120"/>
        <v>12053081.830089154</v>
      </c>
      <c r="D3871" s="39">
        <f t="shared" si="121"/>
        <v>12254003.377806094</v>
      </c>
    </row>
    <row r="3872" spans="2:4" x14ac:dyDescent="0.25">
      <c r="B3872" s="90">
        <v>3868</v>
      </c>
      <c r="C3872" s="39">
        <f t="shared" si="120"/>
        <v>12055744.742380358</v>
      </c>
      <c r="D3872" s="39">
        <f t="shared" si="121"/>
        <v>12257172.243432628</v>
      </c>
    </row>
    <row r="3873" spans="2:4" x14ac:dyDescent="0.25">
      <c r="B3873" s="90">
        <v>3869</v>
      </c>
      <c r="C3873" s="39">
        <f t="shared" si="120"/>
        <v>12058407.654671563</v>
      </c>
      <c r="D3873" s="39">
        <f t="shared" si="121"/>
        <v>12260341.109059161</v>
      </c>
    </row>
    <row r="3874" spans="2:4" x14ac:dyDescent="0.25">
      <c r="B3874" s="90">
        <v>3870</v>
      </c>
      <c r="C3874" s="39">
        <f t="shared" si="120"/>
        <v>12061070.566962767</v>
      </c>
      <c r="D3874" s="39">
        <f t="shared" si="121"/>
        <v>12263509.974685695</v>
      </c>
    </row>
    <row r="3875" spans="2:4" x14ac:dyDescent="0.25">
      <c r="B3875" s="90">
        <v>3871</v>
      </c>
      <c r="C3875" s="39">
        <f t="shared" si="120"/>
        <v>12063733.479253974</v>
      </c>
      <c r="D3875" s="39">
        <f t="shared" si="121"/>
        <v>12266678.840312229</v>
      </c>
    </row>
    <row r="3876" spans="2:4" x14ac:dyDescent="0.25">
      <c r="B3876" s="90">
        <v>3872</v>
      </c>
      <c r="C3876" s="39">
        <f t="shared" si="120"/>
        <v>12066396.391545178</v>
      </c>
      <c r="D3876" s="39">
        <f t="shared" si="121"/>
        <v>12269847.705938762</v>
      </c>
    </row>
    <row r="3877" spans="2:4" x14ac:dyDescent="0.25">
      <c r="B3877" s="90">
        <v>3873</v>
      </c>
      <c r="C3877" s="39">
        <f t="shared" si="120"/>
        <v>12069059.303836383</v>
      </c>
      <c r="D3877" s="39">
        <f t="shared" si="121"/>
        <v>12273016.571565297</v>
      </c>
    </row>
    <row r="3878" spans="2:4" x14ac:dyDescent="0.25">
      <c r="B3878" s="90">
        <v>3874</v>
      </c>
      <c r="C3878" s="39">
        <f t="shared" si="120"/>
        <v>12071722.216127587</v>
      </c>
      <c r="D3878" s="39">
        <f t="shared" si="121"/>
        <v>12276185.437191831</v>
      </c>
    </row>
    <row r="3879" spans="2:4" x14ac:dyDescent="0.25">
      <c r="B3879" s="90">
        <v>3875</v>
      </c>
      <c r="C3879" s="39">
        <f t="shared" si="120"/>
        <v>12074385.128418792</v>
      </c>
      <c r="D3879" s="39">
        <f t="shared" si="121"/>
        <v>12279354.302818364</v>
      </c>
    </row>
    <row r="3880" spans="2:4" x14ac:dyDescent="0.25">
      <c r="B3880" s="90">
        <v>3876</v>
      </c>
      <c r="C3880" s="39">
        <f t="shared" si="120"/>
        <v>12077048.040709997</v>
      </c>
      <c r="D3880" s="39">
        <f t="shared" si="121"/>
        <v>12282523.168444898</v>
      </c>
    </row>
    <row r="3881" spans="2:4" x14ac:dyDescent="0.25">
      <c r="B3881" s="90">
        <v>3877</v>
      </c>
      <c r="C3881" s="39">
        <f t="shared" si="120"/>
        <v>12079710.953001203</v>
      </c>
      <c r="D3881" s="39">
        <f t="shared" si="121"/>
        <v>12285692.034071431</v>
      </c>
    </row>
    <row r="3882" spans="2:4" x14ac:dyDescent="0.25">
      <c r="B3882" s="90">
        <v>3878</v>
      </c>
      <c r="C3882" s="39">
        <f t="shared" si="120"/>
        <v>12082373.865292408</v>
      </c>
      <c r="D3882" s="39">
        <f t="shared" si="121"/>
        <v>12288860.899697965</v>
      </c>
    </row>
    <row r="3883" spans="2:4" x14ac:dyDescent="0.25">
      <c r="B3883" s="90">
        <v>3879</v>
      </c>
      <c r="C3883" s="39">
        <f t="shared" si="120"/>
        <v>12085036.777583612</v>
      </c>
      <c r="D3883" s="39">
        <f t="shared" si="121"/>
        <v>12292029.765324499</v>
      </c>
    </row>
    <row r="3884" spans="2:4" x14ac:dyDescent="0.25">
      <c r="B3884" s="90">
        <v>3880</v>
      </c>
      <c r="C3884" s="39">
        <f t="shared" si="120"/>
        <v>12087699.689874817</v>
      </c>
      <c r="D3884" s="39">
        <f t="shared" si="121"/>
        <v>12295198.630951032</v>
      </c>
    </row>
    <row r="3885" spans="2:4" x14ac:dyDescent="0.25">
      <c r="B3885" s="90">
        <v>3881</v>
      </c>
      <c r="C3885" s="39">
        <f t="shared" si="120"/>
        <v>12090362.602166021</v>
      </c>
      <c r="D3885" s="39">
        <f t="shared" si="121"/>
        <v>12298367.496577566</v>
      </c>
    </row>
    <row r="3886" spans="2:4" x14ac:dyDescent="0.25">
      <c r="B3886" s="90">
        <v>3882</v>
      </c>
      <c r="C3886" s="39">
        <f t="shared" si="120"/>
        <v>12093025.514457226</v>
      </c>
      <c r="D3886" s="39">
        <f t="shared" si="121"/>
        <v>12301536.362204101</v>
      </c>
    </row>
    <row r="3887" spans="2:4" x14ac:dyDescent="0.25">
      <c r="B3887" s="90">
        <v>3883</v>
      </c>
      <c r="C3887" s="39">
        <f t="shared" si="120"/>
        <v>12095688.426748432</v>
      </c>
      <c r="D3887" s="39">
        <f t="shared" si="121"/>
        <v>12304705.227830634</v>
      </c>
    </row>
    <row r="3888" spans="2:4" x14ac:dyDescent="0.25">
      <c r="B3888" s="90">
        <v>3884</v>
      </c>
      <c r="C3888" s="39">
        <f t="shared" si="120"/>
        <v>12098351.339039637</v>
      </c>
      <c r="D3888" s="39">
        <f t="shared" si="121"/>
        <v>12307874.093457168</v>
      </c>
    </row>
    <row r="3889" spans="2:4" x14ac:dyDescent="0.25">
      <c r="B3889" s="90">
        <v>3885</v>
      </c>
      <c r="C3889" s="39">
        <f t="shared" ref="C3889:C3952" si="122">($C$2*B3889)+$C$1</f>
        <v>12101014.251330841</v>
      </c>
      <c r="D3889" s="39">
        <f t="shared" ref="D3889:D3952" si="123">$D$2*B3889</f>
        <v>12311042.959083702</v>
      </c>
    </row>
    <row r="3890" spans="2:4" x14ac:dyDescent="0.25">
      <c r="B3890" s="90">
        <v>3886</v>
      </c>
      <c r="C3890" s="39">
        <f t="shared" si="122"/>
        <v>12103677.163622046</v>
      </c>
      <c r="D3890" s="39">
        <f t="shared" si="123"/>
        <v>12314211.824710235</v>
      </c>
    </row>
    <row r="3891" spans="2:4" x14ac:dyDescent="0.25">
      <c r="B3891" s="90">
        <v>3887</v>
      </c>
      <c r="C3891" s="39">
        <f t="shared" si="122"/>
        <v>12106340.07591325</v>
      </c>
      <c r="D3891" s="39">
        <f t="shared" si="123"/>
        <v>12317380.690336769</v>
      </c>
    </row>
    <row r="3892" spans="2:4" x14ac:dyDescent="0.25">
      <c r="B3892" s="90">
        <v>3888</v>
      </c>
      <c r="C3892" s="39">
        <f t="shared" si="122"/>
        <v>12109002.988204455</v>
      </c>
      <c r="D3892" s="39">
        <f t="shared" si="123"/>
        <v>12320549.555963302</v>
      </c>
    </row>
    <row r="3893" spans="2:4" x14ac:dyDescent="0.25">
      <c r="B3893" s="90">
        <v>3889</v>
      </c>
      <c r="C3893" s="39">
        <f t="shared" si="122"/>
        <v>12111665.90049566</v>
      </c>
      <c r="D3893" s="39">
        <f t="shared" si="123"/>
        <v>12323718.421589836</v>
      </c>
    </row>
    <row r="3894" spans="2:4" x14ac:dyDescent="0.25">
      <c r="B3894" s="90">
        <v>3890</v>
      </c>
      <c r="C3894" s="39">
        <f t="shared" si="122"/>
        <v>12114328.812786866</v>
      </c>
      <c r="D3894" s="39">
        <f t="shared" si="123"/>
        <v>12326887.287216371</v>
      </c>
    </row>
    <row r="3895" spans="2:4" x14ac:dyDescent="0.25">
      <c r="B3895" s="90">
        <v>3891</v>
      </c>
      <c r="C3895" s="39">
        <f t="shared" si="122"/>
        <v>12116991.725078071</v>
      </c>
      <c r="D3895" s="39">
        <f t="shared" si="123"/>
        <v>12330056.152842904</v>
      </c>
    </row>
    <row r="3896" spans="2:4" x14ac:dyDescent="0.25">
      <c r="B3896" s="90">
        <v>3892</v>
      </c>
      <c r="C3896" s="39">
        <f t="shared" si="122"/>
        <v>12119654.637369275</v>
      </c>
      <c r="D3896" s="39">
        <f t="shared" si="123"/>
        <v>12333225.018469438</v>
      </c>
    </row>
    <row r="3897" spans="2:4" x14ac:dyDescent="0.25">
      <c r="B3897" s="90">
        <v>3893</v>
      </c>
      <c r="C3897" s="39">
        <f t="shared" si="122"/>
        <v>12122317.54966048</v>
      </c>
      <c r="D3897" s="39">
        <f t="shared" si="123"/>
        <v>12336393.884095972</v>
      </c>
    </row>
    <row r="3898" spans="2:4" x14ac:dyDescent="0.25">
      <c r="B3898" s="90">
        <v>3894</v>
      </c>
      <c r="C3898" s="39">
        <f t="shared" si="122"/>
        <v>12124980.461951684</v>
      </c>
      <c r="D3898" s="39">
        <f t="shared" si="123"/>
        <v>12339562.749722505</v>
      </c>
    </row>
    <row r="3899" spans="2:4" x14ac:dyDescent="0.25">
      <c r="B3899" s="90">
        <v>3895</v>
      </c>
      <c r="C3899" s="39">
        <f t="shared" si="122"/>
        <v>12127643.374242889</v>
      </c>
      <c r="D3899" s="39">
        <f t="shared" si="123"/>
        <v>12342731.615349039</v>
      </c>
    </row>
    <row r="3900" spans="2:4" x14ac:dyDescent="0.25">
      <c r="B3900" s="90">
        <v>3896</v>
      </c>
      <c r="C3900" s="39">
        <f t="shared" si="122"/>
        <v>12130306.286534095</v>
      </c>
      <c r="D3900" s="39">
        <f t="shared" si="123"/>
        <v>12345900.480975574</v>
      </c>
    </row>
    <row r="3901" spans="2:4" x14ac:dyDescent="0.25">
      <c r="B3901" s="90">
        <v>3897</v>
      </c>
      <c r="C3901" s="39">
        <f t="shared" si="122"/>
        <v>12132969.1988253</v>
      </c>
      <c r="D3901" s="39">
        <f t="shared" si="123"/>
        <v>12349069.346602106</v>
      </c>
    </row>
    <row r="3902" spans="2:4" x14ac:dyDescent="0.25">
      <c r="B3902" s="90">
        <v>3898</v>
      </c>
      <c r="C3902" s="39">
        <f t="shared" si="122"/>
        <v>12135632.111116504</v>
      </c>
      <c r="D3902" s="39">
        <f t="shared" si="123"/>
        <v>12352238.212228641</v>
      </c>
    </row>
    <row r="3903" spans="2:4" x14ac:dyDescent="0.25">
      <c r="B3903" s="90">
        <v>3899</v>
      </c>
      <c r="C3903" s="39">
        <f t="shared" si="122"/>
        <v>12138295.023407709</v>
      </c>
      <c r="D3903" s="39">
        <f t="shared" si="123"/>
        <v>12355407.077855173</v>
      </c>
    </row>
    <row r="3904" spans="2:4" x14ac:dyDescent="0.25">
      <c r="B3904" s="90">
        <v>3900</v>
      </c>
      <c r="C3904" s="39">
        <f t="shared" si="122"/>
        <v>12140957.935698913</v>
      </c>
      <c r="D3904" s="39">
        <f t="shared" si="123"/>
        <v>12358575.943481708</v>
      </c>
    </row>
    <row r="3905" spans="2:4" x14ac:dyDescent="0.25">
      <c r="B3905" s="90">
        <v>3901</v>
      </c>
      <c r="C3905" s="39">
        <f t="shared" si="122"/>
        <v>12143620.847990118</v>
      </c>
      <c r="D3905" s="39">
        <f t="shared" si="123"/>
        <v>12361744.809108242</v>
      </c>
    </row>
    <row r="3906" spans="2:4" x14ac:dyDescent="0.25">
      <c r="B3906" s="90">
        <v>3902</v>
      </c>
      <c r="C3906" s="39">
        <f t="shared" si="122"/>
        <v>12146283.760281323</v>
      </c>
      <c r="D3906" s="39">
        <f t="shared" si="123"/>
        <v>12364913.674734775</v>
      </c>
    </row>
    <row r="3907" spans="2:4" x14ac:dyDescent="0.25">
      <c r="B3907" s="90">
        <v>3903</v>
      </c>
      <c r="C3907" s="39">
        <f t="shared" si="122"/>
        <v>12148946.672572529</v>
      </c>
      <c r="D3907" s="39">
        <f t="shared" si="123"/>
        <v>12368082.540361309</v>
      </c>
    </row>
    <row r="3908" spans="2:4" x14ac:dyDescent="0.25">
      <c r="B3908" s="90">
        <v>3904</v>
      </c>
      <c r="C3908" s="39">
        <f t="shared" si="122"/>
        <v>12151609.584863734</v>
      </c>
      <c r="D3908" s="39">
        <f t="shared" si="123"/>
        <v>12371251.405987844</v>
      </c>
    </row>
    <row r="3909" spans="2:4" x14ac:dyDescent="0.25">
      <c r="B3909" s="90">
        <v>3905</v>
      </c>
      <c r="C3909" s="39">
        <f t="shared" si="122"/>
        <v>12154272.497154938</v>
      </c>
      <c r="D3909" s="39">
        <f t="shared" si="123"/>
        <v>12374420.271614376</v>
      </c>
    </row>
    <row r="3910" spans="2:4" x14ac:dyDescent="0.25">
      <c r="B3910" s="90">
        <v>3906</v>
      </c>
      <c r="C3910" s="39">
        <f t="shared" si="122"/>
        <v>12156935.409446143</v>
      </c>
      <c r="D3910" s="39">
        <f t="shared" si="123"/>
        <v>12377589.137240911</v>
      </c>
    </row>
    <row r="3911" spans="2:4" x14ac:dyDescent="0.25">
      <c r="B3911" s="90">
        <v>3907</v>
      </c>
      <c r="C3911" s="39">
        <f t="shared" si="122"/>
        <v>12159598.321737347</v>
      </c>
      <c r="D3911" s="39">
        <f t="shared" si="123"/>
        <v>12380758.002867445</v>
      </c>
    </row>
    <row r="3912" spans="2:4" x14ac:dyDescent="0.25">
      <c r="B3912" s="90">
        <v>3908</v>
      </c>
      <c r="C3912" s="39">
        <f t="shared" si="122"/>
        <v>12162261.234028552</v>
      </c>
      <c r="D3912" s="39">
        <f t="shared" si="123"/>
        <v>12383926.868493978</v>
      </c>
    </row>
    <row r="3913" spans="2:4" x14ac:dyDescent="0.25">
      <c r="B3913" s="90">
        <v>3909</v>
      </c>
      <c r="C3913" s="39">
        <f t="shared" si="122"/>
        <v>12164924.146319758</v>
      </c>
      <c r="D3913" s="39">
        <f t="shared" si="123"/>
        <v>12387095.734120512</v>
      </c>
    </row>
    <row r="3914" spans="2:4" x14ac:dyDescent="0.25">
      <c r="B3914" s="90">
        <v>3910</v>
      </c>
      <c r="C3914" s="39">
        <f t="shared" si="122"/>
        <v>12167587.058610963</v>
      </c>
      <c r="D3914" s="39">
        <f t="shared" si="123"/>
        <v>12390264.599747045</v>
      </c>
    </row>
    <row r="3915" spans="2:4" x14ac:dyDescent="0.25">
      <c r="B3915" s="90">
        <v>3911</v>
      </c>
      <c r="C3915" s="39">
        <f t="shared" si="122"/>
        <v>12170249.970902167</v>
      </c>
      <c r="D3915" s="39">
        <f t="shared" si="123"/>
        <v>12393433.465373579</v>
      </c>
    </row>
    <row r="3916" spans="2:4" x14ac:dyDescent="0.25">
      <c r="B3916" s="90">
        <v>3912</v>
      </c>
      <c r="C3916" s="39">
        <f t="shared" si="122"/>
        <v>12172912.883193372</v>
      </c>
      <c r="D3916" s="39">
        <f t="shared" si="123"/>
        <v>12396602.331000114</v>
      </c>
    </row>
    <row r="3917" spans="2:4" x14ac:dyDescent="0.25">
      <c r="B3917" s="90">
        <v>3913</v>
      </c>
      <c r="C3917" s="39">
        <f t="shared" si="122"/>
        <v>12175575.795484576</v>
      </c>
      <c r="D3917" s="39">
        <f t="shared" si="123"/>
        <v>12399771.196626646</v>
      </c>
    </row>
    <row r="3918" spans="2:4" x14ac:dyDescent="0.25">
      <c r="B3918" s="90">
        <v>3914</v>
      </c>
      <c r="C3918" s="39">
        <f t="shared" si="122"/>
        <v>12178238.707775781</v>
      </c>
      <c r="D3918" s="39">
        <f t="shared" si="123"/>
        <v>12402940.062253181</v>
      </c>
    </row>
    <row r="3919" spans="2:4" x14ac:dyDescent="0.25">
      <c r="B3919" s="90">
        <v>3915</v>
      </c>
      <c r="C3919" s="39">
        <f t="shared" si="122"/>
        <v>12180901.620066987</v>
      </c>
      <c r="D3919" s="39">
        <f t="shared" si="123"/>
        <v>12406108.927879715</v>
      </c>
    </row>
    <row r="3920" spans="2:4" x14ac:dyDescent="0.25">
      <c r="B3920" s="90">
        <v>3916</v>
      </c>
      <c r="C3920" s="39">
        <f t="shared" si="122"/>
        <v>12183564.532358192</v>
      </c>
      <c r="D3920" s="39">
        <f t="shared" si="123"/>
        <v>12409277.793506248</v>
      </c>
    </row>
    <row r="3921" spans="2:4" x14ac:dyDescent="0.25">
      <c r="B3921" s="90">
        <v>3917</v>
      </c>
      <c r="C3921" s="39">
        <f t="shared" si="122"/>
        <v>12186227.444649396</v>
      </c>
      <c r="D3921" s="39">
        <f t="shared" si="123"/>
        <v>12412446.659132782</v>
      </c>
    </row>
    <row r="3922" spans="2:4" x14ac:dyDescent="0.25">
      <c r="B3922" s="90">
        <v>3918</v>
      </c>
      <c r="C3922" s="39">
        <f t="shared" si="122"/>
        <v>12188890.356940601</v>
      </c>
      <c r="D3922" s="39">
        <f t="shared" si="123"/>
        <v>12415615.524759317</v>
      </c>
    </row>
    <row r="3923" spans="2:4" x14ac:dyDescent="0.25">
      <c r="B3923" s="90">
        <v>3919</v>
      </c>
      <c r="C3923" s="39">
        <f t="shared" si="122"/>
        <v>12191553.269231806</v>
      </c>
      <c r="D3923" s="39">
        <f t="shared" si="123"/>
        <v>12418784.390385849</v>
      </c>
    </row>
    <row r="3924" spans="2:4" x14ac:dyDescent="0.25">
      <c r="B3924" s="90">
        <v>3920</v>
      </c>
      <c r="C3924" s="39">
        <f t="shared" si="122"/>
        <v>12194216.18152301</v>
      </c>
      <c r="D3924" s="39">
        <f t="shared" si="123"/>
        <v>12421953.256012384</v>
      </c>
    </row>
    <row r="3925" spans="2:4" x14ac:dyDescent="0.25">
      <c r="B3925" s="90">
        <v>3921</v>
      </c>
      <c r="C3925" s="39">
        <f t="shared" si="122"/>
        <v>12196879.093814215</v>
      </c>
      <c r="D3925" s="39">
        <f t="shared" si="123"/>
        <v>12425122.121638916</v>
      </c>
    </row>
    <row r="3926" spans="2:4" x14ac:dyDescent="0.25">
      <c r="B3926" s="90">
        <v>3922</v>
      </c>
      <c r="C3926" s="39">
        <f t="shared" si="122"/>
        <v>12199542.006105421</v>
      </c>
      <c r="D3926" s="39">
        <f t="shared" si="123"/>
        <v>12428290.987265451</v>
      </c>
    </row>
    <row r="3927" spans="2:4" x14ac:dyDescent="0.25">
      <c r="B3927" s="90">
        <v>3923</v>
      </c>
      <c r="C3927" s="39">
        <f t="shared" si="122"/>
        <v>12202204.918396626</v>
      </c>
      <c r="D3927" s="39">
        <f t="shared" si="123"/>
        <v>12431459.852891985</v>
      </c>
    </row>
    <row r="3928" spans="2:4" x14ac:dyDescent="0.25">
      <c r="B3928" s="90">
        <v>3924</v>
      </c>
      <c r="C3928" s="39">
        <f t="shared" si="122"/>
        <v>12204867.83068783</v>
      </c>
      <c r="D3928" s="39">
        <f t="shared" si="123"/>
        <v>12434628.718518518</v>
      </c>
    </row>
    <row r="3929" spans="2:4" x14ac:dyDescent="0.25">
      <c r="B3929" s="90">
        <v>3925</v>
      </c>
      <c r="C3929" s="39">
        <f t="shared" si="122"/>
        <v>12207530.742979035</v>
      </c>
      <c r="D3929" s="39">
        <f t="shared" si="123"/>
        <v>12437797.584145052</v>
      </c>
    </row>
    <row r="3930" spans="2:4" x14ac:dyDescent="0.25">
      <c r="B3930" s="90">
        <v>3926</v>
      </c>
      <c r="C3930" s="39">
        <f t="shared" si="122"/>
        <v>12210193.655270239</v>
      </c>
      <c r="D3930" s="39">
        <f t="shared" si="123"/>
        <v>12440966.449771587</v>
      </c>
    </row>
    <row r="3931" spans="2:4" x14ac:dyDescent="0.25">
      <c r="B3931" s="90">
        <v>3927</v>
      </c>
      <c r="C3931" s="39">
        <f t="shared" si="122"/>
        <v>12212856.567561444</v>
      </c>
      <c r="D3931" s="39">
        <f t="shared" si="123"/>
        <v>12444135.315398119</v>
      </c>
    </row>
    <row r="3932" spans="2:4" x14ac:dyDescent="0.25">
      <c r="B3932" s="90">
        <v>3928</v>
      </c>
      <c r="C3932" s="39">
        <f t="shared" si="122"/>
        <v>12215519.47985265</v>
      </c>
      <c r="D3932" s="39">
        <f t="shared" si="123"/>
        <v>12447304.181024654</v>
      </c>
    </row>
    <row r="3933" spans="2:4" x14ac:dyDescent="0.25">
      <c r="B3933" s="90">
        <v>3929</v>
      </c>
      <c r="C3933" s="39">
        <f t="shared" si="122"/>
        <v>12218182.392143855</v>
      </c>
      <c r="D3933" s="39">
        <f t="shared" si="123"/>
        <v>12450473.046651188</v>
      </c>
    </row>
    <row r="3934" spans="2:4" x14ac:dyDescent="0.25">
      <c r="B3934" s="90">
        <v>3930</v>
      </c>
      <c r="C3934" s="39">
        <f t="shared" si="122"/>
        <v>12220845.304435059</v>
      </c>
      <c r="D3934" s="39">
        <f t="shared" si="123"/>
        <v>12453641.912277721</v>
      </c>
    </row>
    <row r="3935" spans="2:4" x14ac:dyDescent="0.25">
      <c r="B3935" s="90">
        <v>3931</v>
      </c>
      <c r="C3935" s="39">
        <f t="shared" si="122"/>
        <v>12223508.216726264</v>
      </c>
      <c r="D3935" s="39">
        <f t="shared" si="123"/>
        <v>12456810.777904255</v>
      </c>
    </row>
    <row r="3936" spans="2:4" x14ac:dyDescent="0.25">
      <c r="B3936" s="90">
        <v>3932</v>
      </c>
      <c r="C3936" s="39">
        <f t="shared" si="122"/>
        <v>12226171.129017469</v>
      </c>
      <c r="D3936" s="39">
        <f t="shared" si="123"/>
        <v>12459979.643530788</v>
      </c>
    </row>
    <row r="3937" spans="2:4" x14ac:dyDescent="0.25">
      <c r="B3937" s="90">
        <v>3933</v>
      </c>
      <c r="C3937" s="39">
        <f t="shared" si="122"/>
        <v>12228834.041308673</v>
      </c>
      <c r="D3937" s="39">
        <f t="shared" si="123"/>
        <v>12463148.509157322</v>
      </c>
    </row>
    <row r="3938" spans="2:4" x14ac:dyDescent="0.25">
      <c r="B3938" s="90">
        <v>3934</v>
      </c>
      <c r="C3938" s="39">
        <f t="shared" si="122"/>
        <v>12231496.95359988</v>
      </c>
      <c r="D3938" s="39">
        <f t="shared" si="123"/>
        <v>12466317.374783857</v>
      </c>
    </row>
    <row r="3939" spans="2:4" x14ac:dyDescent="0.25">
      <c r="B3939" s="90">
        <v>3935</v>
      </c>
      <c r="C3939" s="39">
        <f t="shared" si="122"/>
        <v>12234159.865891084</v>
      </c>
      <c r="D3939" s="39">
        <f t="shared" si="123"/>
        <v>12469486.240410389</v>
      </c>
    </row>
    <row r="3940" spans="2:4" x14ac:dyDescent="0.25">
      <c r="B3940" s="90">
        <v>3936</v>
      </c>
      <c r="C3940" s="39">
        <f t="shared" si="122"/>
        <v>12236822.778182289</v>
      </c>
      <c r="D3940" s="39">
        <f t="shared" si="123"/>
        <v>12472655.106036924</v>
      </c>
    </row>
    <row r="3941" spans="2:4" x14ac:dyDescent="0.25">
      <c r="B3941" s="90">
        <v>3937</v>
      </c>
      <c r="C3941" s="39">
        <f t="shared" si="122"/>
        <v>12239485.690473493</v>
      </c>
      <c r="D3941" s="39">
        <f t="shared" si="123"/>
        <v>12475823.971663458</v>
      </c>
    </row>
    <row r="3942" spans="2:4" x14ac:dyDescent="0.25">
      <c r="B3942" s="90">
        <v>3938</v>
      </c>
      <c r="C3942" s="39">
        <f t="shared" si="122"/>
        <v>12242148.602764698</v>
      </c>
      <c r="D3942" s="39">
        <f t="shared" si="123"/>
        <v>12478992.837289991</v>
      </c>
    </row>
    <row r="3943" spans="2:4" x14ac:dyDescent="0.25">
      <c r="B3943" s="90">
        <v>3939</v>
      </c>
      <c r="C3943" s="39">
        <f t="shared" si="122"/>
        <v>12244811.515055902</v>
      </c>
      <c r="D3943" s="39">
        <f t="shared" si="123"/>
        <v>12482161.702916525</v>
      </c>
    </row>
    <row r="3944" spans="2:4" x14ac:dyDescent="0.25">
      <c r="B3944" s="90">
        <v>3940</v>
      </c>
      <c r="C3944" s="39">
        <f t="shared" si="122"/>
        <v>12247474.427347107</v>
      </c>
      <c r="D3944" s="39">
        <f t="shared" si="123"/>
        <v>12485330.56854306</v>
      </c>
    </row>
    <row r="3945" spans="2:4" x14ac:dyDescent="0.25">
      <c r="B3945" s="90">
        <v>3941</v>
      </c>
      <c r="C3945" s="39">
        <f t="shared" si="122"/>
        <v>12250137.339638313</v>
      </c>
      <c r="D3945" s="39">
        <f t="shared" si="123"/>
        <v>12488499.434169592</v>
      </c>
    </row>
    <row r="3946" spans="2:4" x14ac:dyDescent="0.25">
      <c r="B3946" s="90">
        <v>3942</v>
      </c>
      <c r="C3946" s="39">
        <f t="shared" si="122"/>
        <v>12252800.251929518</v>
      </c>
      <c r="D3946" s="39">
        <f t="shared" si="123"/>
        <v>12491668.299796127</v>
      </c>
    </row>
    <row r="3947" spans="2:4" x14ac:dyDescent="0.25">
      <c r="B3947" s="90">
        <v>3943</v>
      </c>
      <c r="C3947" s="39">
        <f t="shared" si="122"/>
        <v>12255463.164220722</v>
      </c>
      <c r="D3947" s="39">
        <f t="shared" si="123"/>
        <v>12494837.165422661</v>
      </c>
    </row>
    <row r="3948" spans="2:4" x14ac:dyDescent="0.25">
      <c r="B3948" s="90">
        <v>3944</v>
      </c>
      <c r="C3948" s="39">
        <f t="shared" si="122"/>
        <v>12258126.076511927</v>
      </c>
      <c r="D3948" s="39">
        <f t="shared" si="123"/>
        <v>12498006.031049194</v>
      </c>
    </row>
    <row r="3949" spans="2:4" x14ac:dyDescent="0.25">
      <c r="B3949" s="90">
        <v>3945</v>
      </c>
      <c r="C3949" s="39">
        <f t="shared" si="122"/>
        <v>12260788.988803132</v>
      </c>
      <c r="D3949" s="39">
        <f t="shared" si="123"/>
        <v>12501174.896675728</v>
      </c>
    </row>
    <row r="3950" spans="2:4" x14ac:dyDescent="0.25">
      <c r="B3950" s="90">
        <v>3946</v>
      </c>
      <c r="C3950" s="39">
        <f t="shared" si="122"/>
        <v>12263451.901094336</v>
      </c>
      <c r="D3950" s="39">
        <f t="shared" si="123"/>
        <v>12504343.762302261</v>
      </c>
    </row>
    <row r="3951" spans="2:4" x14ac:dyDescent="0.25">
      <c r="B3951" s="90">
        <v>3947</v>
      </c>
      <c r="C3951" s="39">
        <f t="shared" si="122"/>
        <v>12266114.813385542</v>
      </c>
      <c r="D3951" s="39">
        <f t="shared" si="123"/>
        <v>12507512.627928795</v>
      </c>
    </row>
    <row r="3952" spans="2:4" x14ac:dyDescent="0.25">
      <c r="B3952" s="90">
        <v>3948</v>
      </c>
      <c r="C3952" s="39">
        <f t="shared" si="122"/>
        <v>12268777.725676747</v>
      </c>
      <c r="D3952" s="39">
        <f t="shared" si="123"/>
        <v>12510681.49355533</v>
      </c>
    </row>
    <row r="3953" spans="2:4" x14ac:dyDescent="0.25">
      <c r="B3953" s="90">
        <v>3949</v>
      </c>
      <c r="C3953" s="39">
        <f t="shared" ref="C3953:C4016" si="124">($C$2*B3953)+$C$1</f>
        <v>12271440.637967952</v>
      </c>
      <c r="D3953" s="39">
        <f t="shared" ref="D3953:D4016" si="125">$D$2*B3953</f>
        <v>12513850.359181862</v>
      </c>
    </row>
    <row r="3954" spans="2:4" x14ac:dyDescent="0.25">
      <c r="B3954" s="90">
        <v>3950</v>
      </c>
      <c r="C3954" s="39">
        <f t="shared" si="124"/>
        <v>12274103.550259156</v>
      </c>
      <c r="D3954" s="39">
        <f t="shared" si="125"/>
        <v>12517019.224808397</v>
      </c>
    </row>
    <row r="3955" spans="2:4" x14ac:dyDescent="0.25">
      <c r="B3955" s="90">
        <v>3951</v>
      </c>
      <c r="C3955" s="39">
        <f t="shared" si="124"/>
        <v>12276766.462550361</v>
      </c>
      <c r="D3955" s="39">
        <f t="shared" si="125"/>
        <v>12520188.090434931</v>
      </c>
    </row>
    <row r="3956" spans="2:4" x14ac:dyDescent="0.25">
      <c r="B3956" s="90">
        <v>3952</v>
      </c>
      <c r="C3956" s="39">
        <f t="shared" si="124"/>
        <v>12279429.374841565</v>
      </c>
      <c r="D3956" s="39">
        <f t="shared" si="125"/>
        <v>12523356.956061464</v>
      </c>
    </row>
    <row r="3957" spans="2:4" x14ac:dyDescent="0.25">
      <c r="B3957" s="90">
        <v>3953</v>
      </c>
      <c r="C3957" s="39">
        <f t="shared" si="124"/>
        <v>12282092.287132772</v>
      </c>
      <c r="D3957" s="39">
        <f t="shared" si="125"/>
        <v>12526525.821687998</v>
      </c>
    </row>
    <row r="3958" spans="2:4" x14ac:dyDescent="0.25">
      <c r="B3958" s="90">
        <v>3954</v>
      </c>
      <c r="C3958" s="39">
        <f t="shared" si="124"/>
        <v>12284755.199423976</v>
      </c>
      <c r="D3958" s="39">
        <f t="shared" si="125"/>
        <v>12529694.687314533</v>
      </c>
    </row>
    <row r="3959" spans="2:4" x14ac:dyDescent="0.25">
      <c r="B3959" s="90">
        <v>3955</v>
      </c>
      <c r="C3959" s="39">
        <f t="shared" si="124"/>
        <v>12287418.111715181</v>
      </c>
      <c r="D3959" s="39">
        <f t="shared" si="125"/>
        <v>12532863.552941065</v>
      </c>
    </row>
    <row r="3960" spans="2:4" x14ac:dyDescent="0.25">
      <c r="B3960" s="90">
        <v>3956</v>
      </c>
      <c r="C3960" s="39">
        <f t="shared" si="124"/>
        <v>12290081.024006385</v>
      </c>
      <c r="D3960" s="39">
        <f t="shared" si="125"/>
        <v>12536032.4185676</v>
      </c>
    </row>
    <row r="3961" spans="2:4" x14ac:dyDescent="0.25">
      <c r="B3961" s="90">
        <v>3957</v>
      </c>
      <c r="C3961" s="39">
        <f t="shared" si="124"/>
        <v>12292743.93629759</v>
      </c>
      <c r="D3961" s="39">
        <f t="shared" si="125"/>
        <v>12539201.284194132</v>
      </c>
    </row>
    <row r="3962" spans="2:4" x14ac:dyDescent="0.25">
      <c r="B3962" s="90">
        <v>3958</v>
      </c>
      <c r="C3962" s="39">
        <f t="shared" si="124"/>
        <v>12295406.848588794</v>
      </c>
      <c r="D3962" s="39">
        <f t="shared" si="125"/>
        <v>12542370.149820667</v>
      </c>
    </row>
    <row r="3963" spans="2:4" x14ac:dyDescent="0.25">
      <c r="B3963" s="90">
        <v>3959</v>
      </c>
      <c r="C3963" s="39">
        <f t="shared" si="124"/>
        <v>12298069.760879999</v>
      </c>
      <c r="D3963" s="39">
        <f t="shared" si="125"/>
        <v>12545539.015447201</v>
      </c>
    </row>
    <row r="3964" spans="2:4" x14ac:dyDescent="0.25">
      <c r="B3964" s="90">
        <v>3960</v>
      </c>
      <c r="C3964" s="39">
        <f t="shared" si="124"/>
        <v>12300732.673171205</v>
      </c>
      <c r="D3964" s="39">
        <f t="shared" si="125"/>
        <v>12548707.881073734</v>
      </c>
    </row>
    <row r="3965" spans="2:4" x14ac:dyDescent="0.25">
      <c r="B3965" s="90">
        <v>3961</v>
      </c>
      <c r="C3965" s="39">
        <f t="shared" si="124"/>
        <v>12303395.58546241</v>
      </c>
      <c r="D3965" s="39">
        <f t="shared" si="125"/>
        <v>12551876.746700268</v>
      </c>
    </row>
    <row r="3966" spans="2:4" x14ac:dyDescent="0.25">
      <c r="B3966" s="90">
        <v>3962</v>
      </c>
      <c r="C3966" s="39">
        <f t="shared" si="124"/>
        <v>12306058.497753615</v>
      </c>
      <c r="D3966" s="39">
        <f t="shared" si="125"/>
        <v>12555045.612326803</v>
      </c>
    </row>
    <row r="3967" spans="2:4" x14ac:dyDescent="0.25">
      <c r="B3967" s="90">
        <v>3963</v>
      </c>
      <c r="C3967" s="39">
        <f t="shared" si="124"/>
        <v>12308721.410044819</v>
      </c>
      <c r="D3967" s="39">
        <f t="shared" si="125"/>
        <v>12558214.477953335</v>
      </c>
    </row>
    <row r="3968" spans="2:4" x14ac:dyDescent="0.25">
      <c r="B3968" s="90">
        <v>3964</v>
      </c>
      <c r="C3968" s="39">
        <f t="shared" si="124"/>
        <v>12311384.322336024</v>
      </c>
      <c r="D3968" s="39">
        <f t="shared" si="125"/>
        <v>12561383.34357987</v>
      </c>
    </row>
    <row r="3969" spans="2:4" x14ac:dyDescent="0.25">
      <c r="B3969" s="90">
        <v>3965</v>
      </c>
      <c r="C3969" s="39">
        <f t="shared" si="124"/>
        <v>12314047.234627228</v>
      </c>
      <c r="D3969" s="39">
        <f t="shared" si="125"/>
        <v>12564552.209206404</v>
      </c>
    </row>
    <row r="3970" spans="2:4" x14ac:dyDescent="0.25">
      <c r="B3970" s="90">
        <v>3966</v>
      </c>
      <c r="C3970" s="39">
        <f t="shared" si="124"/>
        <v>12316710.146918435</v>
      </c>
      <c r="D3970" s="39">
        <f t="shared" si="125"/>
        <v>12567721.074832937</v>
      </c>
    </row>
    <row r="3971" spans="2:4" x14ac:dyDescent="0.25">
      <c r="B3971" s="90">
        <v>3967</v>
      </c>
      <c r="C3971" s="39">
        <f t="shared" si="124"/>
        <v>12319373.059209639</v>
      </c>
      <c r="D3971" s="39">
        <f t="shared" si="125"/>
        <v>12570889.940459471</v>
      </c>
    </row>
    <row r="3972" spans="2:4" x14ac:dyDescent="0.25">
      <c r="B3972" s="90">
        <v>3968</v>
      </c>
      <c r="C3972" s="39">
        <f t="shared" si="124"/>
        <v>12322035.971500844</v>
      </c>
      <c r="D3972" s="39">
        <f t="shared" si="125"/>
        <v>12574058.806086004</v>
      </c>
    </row>
    <row r="3973" spans="2:4" x14ac:dyDescent="0.25">
      <c r="B3973" s="90">
        <v>3969</v>
      </c>
      <c r="C3973" s="39">
        <f t="shared" si="124"/>
        <v>12324698.883792048</v>
      </c>
      <c r="D3973" s="39">
        <f t="shared" si="125"/>
        <v>12577227.671712538</v>
      </c>
    </row>
    <row r="3974" spans="2:4" x14ac:dyDescent="0.25">
      <c r="B3974" s="90">
        <v>3970</v>
      </c>
      <c r="C3974" s="39">
        <f t="shared" si="124"/>
        <v>12327361.796083253</v>
      </c>
      <c r="D3974" s="39">
        <f t="shared" si="125"/>
        <v>12580396.537339073</v>
      </c>
    </row>
    <row r="3975" spans="2:4" x14ac:dyDescent="0.25">
      <c r="B3975" s="90">
        <v>3971</v>
      </c>
      <c r="C3975" s="39">
        <f t="shared" si="124"/>
        <v>12330024.708374457</v>
      </c>
      <c r="D3975" s="39">
        <f t="shared" si="125"/>
        <v>12583565.402965605</v>
      </c>
    </row>
    <row r="3976" spans="2:4" x14ac:dyDescent="0.25">
      <c r="B3976" s="90">
        <v>3972</v>
      </c>
      <c r="C3976" s="39">
        <f t="shared" si="124"/>
        <v>12332687.620665664</v>
      </c>
      <c r="D3976" s="39">
        <f t="shared" si="125"/>
        <v>12586734.26859214</v>
      </c>
    </row>
    <row r="3977" spans="2:4" x14ac:dyDescent="0.25">
      <c r="B3977" s="90">
        <v>3973</v>
      </c>
      <c r="C3977" s="39">
        <f t="shared" si="124"/>
        <v>12335350.532956868</v>
      </c>
      <c r="D3977" s="39">
        <f t="shared" si="125"/>
        <v>12589903.134218674</v>
      </c>
    </row>
    <row r="3978" spans="2:4" x14ac:dyDescent="0.25">
      <c r="B3978" s="90">
        <v>3974</v>
      </c>
      <c r="C3978" s="39">
        <f t="shared" si="124"/>
        <v>12338013.445248073</v>
      </c>
      <c r="D3978" s="39">
        <f t="shared" si="125"/>
        <v>12593071.999845207</v>
      </c>
    </row>
    <row r="3979" spans="2:4" x14ac:dyDescent="0.25">
      <c r="B3979" s="90">
        <v>3975</v>
      </c>
      <c r="C3979" s="39">
        <f t="shared" si="124"/>
        <v>12340676.357539278</v>
      </c>
      <c r="D3979" s="39">
        <f t="shared" si="125"/>
        <v>12596240.865471741</v>
      </c>
    </row>
    <row r="3980" spans="2:4" x14ac:dyDescent="0.25">
      <c r="B3980" s="90">
        <v>3976</v>
      </c>
      <c r="C3980" s="39">
        <f t="shared" si="124"/>
        <v>12343339.269830482</v>
      </c>
      <c r="D3980" s="39">
        <f t="shared" si="125"/>
        <v>12599409.731098276</v>
      </c>
    </row>
    <row r="3981" spans="2:4" x14ac:dyDescent="0.25">
      <c r="B3981" s="90">
        <v>3977</v>
      </c>
      <c r="C3981" s="39">
        <f t="shared" si="124"/>
        <v>12346002.182121687</v>
      </c>
      <c r="D3981" s="39">
        <f t="shared" si="125"/>
        <v>12602578.596724808</v>
      </c>
    </row>
    <row r="3982" spans="2:4" x14ac:dyDescent="0.25">
      <c r="B3982" s="90">
        <v>3978</v>
      </c>
      <c r="C3982" s="39">
        <f t="shared" si="124"/>
        <v>12348665.094412891</v>
      </c>
      <c r="D3982" s="39">
        <f t="shared" si="125"/>
        <v>12605747.462351343</v>
      </c>
    </row>
    <row r="3983" spans="2:4" x14ac:dyDescent="0.25">
      <c r="B3983" s="90">
        <v>3979</v>
      </c>
      <c r="C3983" s="39">
        <f t="shared" si="124"/>
        <v>12351328.006704098</v>
      </c>
      <c r="D3983" s="39">
        <f t="shared" si="125"/>
        <v>12608916.327977875</v>
      </c>
    </row>
    <row r="3984" spans="2:4" x14ac:dyDescent="0.25">
      <c r="B3984" s="90">
        <v>3980</v>
      </c>
      <c r="C3984" s="39">
        <f t="shared" si="124"/>
        <v>12353990.918995302</v>
      </c>
      <c r="D3984" s="39">
        <f t="shared" si="125"/>
        <v>12612085.19360441</v>
      </c>
    </row>
    <row r="3985" spans="2:4" x14ac:dyDescent="0.25">
      <c r="B3985" s="90">
        <v>3981</v>
      </c>
      <c r="C3985" s="39">
        <f t="shared" si="124"/>
        <v>12356653.831286507</v>
      </c>
      <c r="D3985" s="39">
        <f t="shared" si="125"/>
        <v>12615254.059230944</v>
      </c>
    </row>
    <row r="3986" spans="2:4" x14ac:dyDescent="0.25">
      <c r="B3986" s="90">
        <v>3982</v>
      </c>
      <c r="C3986" s="39">
        <f t="shared" si="124"/>
        <v>12359316.743577711</v>
      </c>
      <c r="D3986" s="39">
        <f t="shared" si="125"/>
        <v>12618422.924857477</v>
      </c>
    </row>
    <row r="3987" spans="2:4" x14ac:dyDescent="0.25">
      <c r="B3987" s="90">
        <v>3983</v>
      </c>
      <c r="C3987" s="39">
        <f t="shared" si="124"/>
        <v>12361979.655868916</v>
      </c>
      <c r="D3987" s="39">
        <f t="shared" si="125"/>
        <v>12621591.790484011</v>
      </c>
    </row>
    <row r="3988" spans="2:4" x14ac:dyDescent="0.25">
      <c r="B3988" s="90">
        <v>3984</v>
      </c>
      <c r="C3988" s="39">
        <f t="shared" si="124"/>
        <v>12364642.56816012</v>
      </c>
      <c r="D3988" s="39">
        <f t="shared" si="125"/>
        <v>12624760.656110546</v>
      </c>
    </row>
    <row r="3989" spans="2:4" x14ac:dyDescent="0.25">
      <c r="B3989" s="90">
        <v>3985</v>
      </c>
      <c r="C3989" s="39">
        <f t="shared" si="124"/>
        <v>12367305.480451327</v>
      </c>
      <c r="D3989" s="39">
        <f t="shared" si="125"/>
        <v>12627929.521737078</v>
      </c>
    </row>
    <row r="3990" spans="2:4" x14ac:dyDescent="0.25">
      <c r="B3990" s="90">
        <v>3986</v>
      </c>
      <c r="C3990" s="39">
        <f t="shared" si="124"/>
        <v>12369968.392742531</v>
      </c>
      <c r="D3990" s="39">
        <f t="shared" si="125"/>
        <v>12631098.387363613</v>
      </c>
    </row>
    <row r="3991" spans="2:4" x14ac:dyDescent="0.25">
      <c r="B3991" s="90">
        <v>3987</v>
      </c>
      <c r="C3991" s="39">
        <f t="shared" si="124"/>
        <v>12372631.305033736</v>
      </c>
      <c r="D3991" s="39">
        <f t="shared" si="125"/>
        <v>12634267.252990147</v>
      </c>
    </row>
    <row r="3992" spans="2:4" x14ac:dyDescent="0.25">
      <c r="B3992" s="90">
        <v>3988</v>
      </c>
      <c r="C3992" s="39">
        <f t="shared" si="124"/>
        <v>12375294.21732494</v>
      </c>
      <c r="D3992" s="39">
        <f t="shared" si="125"/>
        <v>12637436.11861668</v>
      </c>
    </row>
    <row r="3993" spans="2:4" x14ac:dyDescent="0.25">
      <c r="B3993" s="90">
        <v>3989</v>
      </c>
      <c r="C3993" s="39">
        <f t="shared" si="124"/>
        <v>12377957.129616145</v>
      </c>
      <c r="D3993" s="39">
        <f t="shared" si="125"/>
        <v>12640604.984243214</v>
      </c>
    </row>
    <row r="3994" spans="2:4" x14ac:dyDescent="0.25">
      <c r="B3994" s="90">
        <v>3990</v>
      </c>
      <c r="C3994" s="39">
        <f t="shared" si="124"/>
        <v>12380620.04190735</v>
      </c>
      <c r="D3994" s="39">
        <f t="shared" si="125"/>
        <v>12643773.849869747</v>
      </c>
    </row>
    <row r="3995" spans="2:4" x14ac:dyDescent="0.25">
      <c r="B3995" s="90">
        <v>3991</v>
      </c>
      <c r="C3995" s="39">
        <f t="shared" si="124"/>
        <v>12383282.954198554</v>
      </c>
      <c r="D3995" s="39">
        <f t="shared" si="125"/>
        <v>12646942.715496281</v>
      </c>
    </row>
    <row r="3996" spans="2:4" x14ac:dyDescent="0.25">
      <c r="B3996" s="90">
        <v>3992</v>
      </c>
      <c r="C3996" s="39">
        <f t="shared" si="124"/>
        <v>12385945.866489761</v>
      </c>
      <c r="D3996" s="39">
        <f t="shared" si="125"/>
        <v>12650111.581122816</v>
      </c>
    </row>
    <row r="3997" spans="2:4" x14ac:dyDescent="0.25">
      <c r="B3997" s="90">
        <v>3993</v>
      </c>
      <c r="C3997" s="39">
        <f t="shared" si="124"/>
        <v>12388608.778780965</v>
      </c>
      <c r="D3997" s="39">
        <f t="shared" si="125"/>
        <v>12653280.446749348</v>
      </c>
    </row>
    <row r="3998" spans="2:4" x14ac:dyDescent="0.25">
      <c r="B3998" s="90">
        <v>3994</v>
      </c>
      <c r="C3998" s="39">
        <f t="shared" si="124"/>
        <v>12391271.69107217</v>
      </c>
      <c r="D3998" s="39">
        <f t="shared" si="125"/>
        <v>12656449.312375883</v>
      </c>
    </row>
    <row r="3999" spans="2:4" x14ac:dyDescent="0.25">
      <c r="B3999" s="90">
        <v>3995</v>
      </c>
      <c r="C3999" s="39">
        <f t="shared" si="124"/>
        <v>12393934.603363374</v>
      </c>
      <c r="D3999" s="39">
        <f t="shared" si="125"/>
        <v>12659618.178002417</v>
      </c>
    </row>
    <row r="4000" spans="2:4" x14ac:dyDescent="0.25">
      <c r="B4000" s="90">
        <v>3996</v>
      </c>
      <c r="C4000" s="39">
        <f t="shared" si="124"/>
        <v>12396597.515654579</v>
      </c>
      <c r="D4000" s="39">
        <f t="shared" si="125"/>
        <v>12662787.04362895</v>
      </c>
    </row>
    <row r="4001" spans="2:4" x14ac:dyDescent="0.25">
      <c r="B4001" s="90">
        <v>3997</v>
      </c>
      <c r="C4001" s="39">
        <f t="shared" si="124"/>
        <v>12399260.427945783</v>
      </c>
      <c r="D4001" s="39">
        <f t="shared" si="125"/>
        <v>12665955.909255484</v>
      </c>
    </row>
    <row r="4002" spans="2:4" x14ac:dyDescent="0.25">
      <c r="B4002" s="90">
        <v>3998</v>
      </c>
      <c r="C4002" s="39">
        <f t="shared" si="124"/>
        <v>12401923.34023699</v>
      </c>
      <c r="D4002" s="39">
        <f t="shared" si="125"/>
        <v>12669124.774882019</v>
      </c>
    </row>
    <row r="4003" spans="2:4" x14ac:dyDescent="0.25">
      <c r="B4003" s="90">
        <v>3999</v>
      </c>
      <c r="C4003" s="39">
        <f t="shared" si="124"/>
        <v>12404586.252528194</v>
      </c>
      <c r="D4003" s="39">
        <f t="shared" si="125"/>
        <v>12672293.640508551</v>
      </c>
    </row>
    <row r="4004" spans="2:4" x14ac:dyDescent="0.25">
      <c r="B4004" s="90">
        <v>4000</v>
      </c>
      <c r="C4004" s="39">
        <f t="shared" si="124"/>
        <v>12407249.164819399</v>
      </c>
      <c r="D4004" s="39">
        <f t="shared" si="125"/>
        <v>12675462.506135086</v>
      </c>
    </row>
    <row r="4005" spans="2:4" x14ac:dyDescent="0.25">
      <c r="B4005" s="90">
        <v>4001</v>
      </c>
      <c r="C4005" s="39">
        <f t="shared" si="124"/>
        <v>12409912.077110603</v>
      </c>
      <c r="D4005" s="39">
        <f t="shared" si="125"/>
        <v>12678631.371761618</v>
      </c>
    </row>
    <row r="4006" spans="2:4" x14ac:dyDescent="0.25">
      <c r="B4006" s="90">
        <v>4002</v>
      </c>
      <c r="C4006" s="39">
        <f t="shared" si="124"/>
        <v>12412574.989401808</v>
      </c>
      <c r="D4006" s="39">
        <f t="shared" si="125"/>
        <v>12681800.237388153</v>
      </c>
    </row>
    <row r="4007" spans="2:4" x14ac:dyDescent="0.25">
      <c r="B4007" s="90">
        <v>4003</v>
      </c>
      <c r="C4007" s="39">
        <f t="shared" si="124"/>
        <v>12415237.901693013</v>
      </c>
      <c r="D4007" s="39">
        <f t="shared" si="125"/>
        <v>12684969.103014687</v>
      </c>
    </row>
    <row r="4008" spans="2:4" x14ac:dyDescent="0.25">
      <c r="B4008" s="90">
        <v>4004</v>
      </c>
      <c r="C4008" s="39">
        <f t="shared" si="124"/>
        <v>12417900.813984219</v>
      </c>
      <c r="D4008" s="39">
        <f t="shared" si="125"/>
        <v>12688137.96864122</v>
      </c>
    </row>
    <row r="4009" spans="2:4" x14ac:dyDescent="0.25">
      <c r="B4009" s="90">
        <v>4005</v>
      </c>
      <c r="C4009" s="39">
        <f t="shared" si="124"/>
        <v>12420563.726275424</v>
      </c>
      <c r="D4009" s="39">
        <f t="shared" si="125"/>
        <v>12691306.834267754</v>
      </c>
    </row>
    <row r="4010" spans="2:4" x14ac:dyDescent="0.25">
      <c r="B4010" s="90">
        <v>4006</v>
      </c>
      <c r="C4010" s="39">
        <f t="shared" si="124"/>
        <v>12423226.638566628</v>
      </c>
      <c r="D4010" s="39">
        <f t="shared" si="125"/>
        <v>12694475.699894289</v>
      </c>
    </row>
    <row r="4011" spans="2:4" x14ac:dyDescent="0.25">
      <c r="B4011" s="90">
        <v>4007</v>
      </c>
      <c r="C4011" s="39">
        <f t="shared" si="124"/>
        <v>12425889.550857833</v>
      </c>
      <c r="D4011" s="39">
        <f t="shared" si="125"/>
        <v>12697644.565520821</v>
      </c>
    </row>
    <row r="4012" spans="2:4" x14ac:dyDescent="0.25">
      <c r="B4012" s="90">
        <v>4008</v>
      </c>
      <c r="C4012" s="39">
        <f t="shared" si="124"/>
        <v>12428552.463149037</v>
      </c>
      <c r="D4012" s="39">
        <f t="shared" si="125"/>
        <v>12700813.431147356</v>
      </c>
    </row>
    <row r="4013" spans="2:4" x14ac:dyDescent="0.25">
      <c r="B4013" s="90">
        <v>4009</v>
      </c>
      <c r="C4013" s="39">
        <f t="shared" si="124"/>
        <v>12431215.375440242</v>
      </c>
      <c r="D4013" s="39">
        <f t="shared" si="125"/>
        <v>12703982.29677389</v>
      </c>
    </row>
    <row r="4014" spans="2:4" x14ac:dyDescent="0.25">
      <c r="B4014" s="90">
        <v>4010</v>
      </c>
      <c r="C4014" s="39">
        <f t="shared" si="124"/>
        <v>12433878.287731446</v>
      </c>
      <c r="D4014" s="39">
        <f t="shared" si="125"/>
        <v>12707151.162400423</v>
      </c>
    </row>
    <row r="4015" spans="2:4" x14ac:dyDescent="0.25">
      <c r="B4015" s="90">
        <v>4011</v>
      </c>
      <c r="C4015" s="39">
        <f t="shared" si="124"/>
        <v>12436541.200022653</v>
      </c>
      <c r="D4015" s="39">
        <f t="shared" si="125"/>
        <v>12710320.028026957</v>
      </c>
    </row>
    <row r="4016" spans="2:4" x14ac:dyDescent="0.25">
      <c r="B4016" s="90">
        <v>4012</v>
      </c>
      <c r="C4016" s="39">
        <f t="shared" si="124"/>
        <v>12439204.112313857</v>
      </c>
      <c r="D4016" s="39">
        <f t="shared" si="125"/>
        <v>12713488.89365349</v>
      </c>
    </row>
    <row r="4017" spans="2:4" x14ac:dyDescent="0.25">
      <c r="B4017" s="90">
        <v>4013</v>
      </c>
      <c r="C4017" s="39">
        <f t="shared" ref="C4017:C4080" si="126">($C$2*B4017)+$C$1</f>
        <v>12441867.024605062</v>
      </c>
      <c r="D4017" s="39">
        <f t="shared" ref="D4017:D4080" si="127">$D$2*B4017</f>
        <v>12716657.759280024</v>
      </c>
    </row>
    <row r="4018" spans="2:4" x14ac:dyDescent="0.25">
      <c r="B4018" s="90">
        <v>4014</v>
      </c>
      <c r="C4018" s="39">
        <f t="shared" si="126"/>
        <v>12444529.936896266</v>
      </c>
      <c r="D4018" s="39">
        <f t="shared" si="127"/>
        <v>12719826.624906559</v>
      </c>
    </row>
    <row r="4019" spans="2:4" x14ac:dyDescent="0.25">
      <c r="B4019" s="90">
        <v>4015</v>
      </c>
      <c r="C4019" s="39">
        <f t="shared" si="126"/>
        <v>12447192.849187471</v>
      </c>
      <c r="D4019" s="39">
        <f t="shared" si="127"/>
        <v>12722995.490533091</v>
      </c>
    </row>
    <row r="4020" spans="2:4" x14ac:dyDescent="0.25">
      <c r="B4020" s="90">
        <v>4016</v>
      </c>
      <c r="C4020" s="39">
        <f t="shared" si="126"/>
        <v>12449855.761478676</v>
      </c>
      <c r="D4020" s="39">
        <f t="shared" si="127"/>
        <v>12726164.356159626</v>
      </c>
    </row>
    <row r="4021" spans="2:4" x14ac:dyDescent="0.25">
      <c r="B4021" s="90">
        <v>4017</v>
      </c>
      <c r="C4021" s="39">
        <f t="shared" si="126"/>
        <v>12452518.673769882</v>
      </c>
      <c r="D4021" s="39">
        <f t="shared" si="127"/>
        <v>12729333.22178616</v>
      </c>
    </row>
    <row r="4022" spans="2:4" x14ac:dyDescent="0.25">
      <c r="B4022" s="90">
        <v>4018</v>
      </c>
      <c r="C4022" s="39">
        <f t="shared" si="126"/>
        <v>12455181.586061087</v>
      </c>
      <c r="D4022" s="39">
        <f t="shared" si="127"/>
        <v>12732502.087412693</v>
      </c>
    </row>
    <row r="4023" spans="2:4" x14ac:dyDescent="0.25">
      <c r="B4023" s="90">
        <v>4019</v>
      </c>
      <c r="C4023" s="39">
        <f t="shared" si="126"/>
        <v>12457844.498352291</v>
      </c>
      <c r="D4023" s="39">
        <f t="shared" si="127"/>
        <v>12735670.953039227</v>
      </c>
    </row>
    <row r="4024" spans="2:4" x14ac:dyDescent="0.25">
      <c r="B4024" s="90">
        <v>4020</v>
      </c>
      <c r="C4024" s="39">
        <f t="shared" si="126"/>
        <v>12460507.410643496</v>
      </c>
      <c r="D4024" s="39">
        <f t="shared" si="127"/>
        <v>12738839.818665762</v>
      </c>
    </row>
    <row r="4025" spans="2:4" x14ac:dyDescent="0.25">
      <c r="B4025" s="90">
        <v>4021</v>
      </c>
      <c r="C4025" s="39">
        <f t="shared" si="126"/>
        <v>12463170.3229347</v>
      </c>
      <c r="D4025" s="39">
        <f t="shared" si="127"/>
        <v>12742008.684292294</v>
      </c>
    </row>
    <row r="4026" spans="2:4" x14ac:dyDescent="0.25">
      <c r="B4026" s="90">
        <v>4022</v>
      </c>
      <c r="C4026" s="39">
        <f t="shared" si="126"/>
        <v>12465833.235225905</v>
      </c>
      <c r="D4026" s="39">
        <f t="shared" si="127"/>
        <v>12745177.549918829</v>
      </c>
    </row>
    <row r="4027" spans="2:4" x14ac:dyDescent="0.25">
      <c r="B4027" s="90">
        <v>4023</v>
      </c>
      <c r="C4027" s="39">
        <f t="shared" si="126"/>
        <v>12468496.147517111</v>
      </c>
      <c r="D4027" s="39">
        <f t="shared" si="127"/>
        <v>12748346.415545361</v>
      </c>
    </row>
    <row r="4028" spans="2:4" x14ac:dyDescent="0.25">
      <c r="B4028" s="90">
        <v>4024</v>
      </c>
      <c r="C4028" s="39">
        <f t="shared" si="126"/>
        <v>12471159.059808316</v>
      </c>
      <c r="D4028" s="39">
        <f t="shared" si="127"/>
        <v>12751515.281171896</v>
      </c>
    </row>
    <row r="4029" spans="2:4" x14ac:dyDescent="0.25">
      <c r="B4029" s="90">
        <v>4025</v>
      </c>
      <c r="C4029" s="39">
        <f t="shared" si="126"/>
        <v>12473821.97209952</v>
      </c>
      <c r="D4029" s="39">
        <f t="shared" si="127"/>
        <v>12754684.14679843</v>
      </c>
    </row>
    <row r="4030" spans="2:4" x14ac:dyDescent="0.25">
      <c r="B4030" s="90">
        <v>4026</v>
      </c>
      <c r="C4030" s="39">
        <f t="shared" si="126"/>
        <v>12476484.884390725</v>
      </c>
      <c r="D4030" s="39">
        <f t="shared" si="127"/>
        <v>12757853.012424963</v>
      </c>
    </row>
    <row r="4031" spans="2:4" x14ac:dyDescent="0.25">
      <c r="B4031" s="90">
        <v>4027</v>
      </c>
      <c r="C4031" s="39">
        <f t="shared" si="126"/>
        <v>12479147.796681929</v>
      </c>
      <c r="D4031" s="39">
        <f t="shared" si="127"/>
        <v>12761021.878051497</v>
      </c>
    </row>
    <row r="4032" spans="2:4" x14ac:dyDescent="0.25">
      <c r="B4032" s="90">
        <v>4028</v>
      </c>
      <c r="C4032" s="39">
        <f t="shared" si="126"/>
        <v>12481810.708973134</v>
      </c>
      <c r="D4032" s="39">
        <f t="shared" si="127"/>
        <v>12764190.743678031</v>
      </c>
    </row>
    <row r="4033" spans="2:4" x14ac:dyDescent="0.25">
      <c r="B4033" s="90">
        <v>4029</v>
      </c>
      <c r="C4033" s="39">
        <f t="shared" si="126"/>
        <v>12484473.621264338</v>
      </c>
      <c r="D4033" s="39">
        <f t="shared" si="127"/>
        <v>12767359.609304564</v>
      </c>
    </row>
    <row r="4034" spans="2:4" x14ac:dyDescent="0.25">
      <c r="B4034" s="90">
        <v>4030</v>
      </c>
      <c r="C4034" s="39">
        <f t="shared" si="126"/>
        <v>12487136.533555545</v>
      </c>
      <c r="D4034" s="39">
        <f t="shared" si="127"/>
        <v>12770528.474931099</v>
      </c>
    </row>
    <row r="4035" spans="2:4" x14ac:dyDescent="0.25">
      <c r="B4035" s="90">
        <v>4031</v>
      </c>
      <c r="C4035" s="39">
        <f t="shared" si="126"/>
        <v>12489799.445846749</v>
      </c>
      <c r="D4035" s="39">
        <f t="shared" si="127"/>
        <v>12773697.340557633</v>
      </c>
    </row>
    <row r="4036" spans="2:4" x14ac:dyDescent="0.25">
      <c r="B4036" s="90">
        <v>4032</v>
      </c>
      <c r="C4036" s="39">
        <f t="shared" si="126"/>
        <v>12492462.358137954</v>
      </c>
      <c r="D4036" s="39">
        <f t="shared" si="127"/>
        <v>12776866.206184166</v>
      </c>
    </row>
    <row r="4037" spans="2:4" x14ac:dyDescent="0.25">
      <c r="B4037" s="90">
        <v>4033</v>
      </c>
      <c r="C4037" s="39">
        <f t="shared" si="126"/>
        <v>12495125.270429159</v>
      </c>
      <c r="D4037" s="39">
        <f t="shared" si="127"/>
        <v>12780035.0718107</v>
      </c>
    </row>
    <row r="4038" spans="2:4" x14ac:dyDescent="0.25">
      <c r="B4038" s="90">
        <v>4034</v>
      </c>
      <c r="C4038" s="39">
        <f t="shared" si="126"/>
        <v>12497788.182720363</v>
      </c>
      <c r="D4038" s="39">
        <f t="shared" si="127"/>
        <v>12783203.937437233</v>
      </c>
    </row>
    <row r="4039" spans="2:4" x14ac:dyDescent="0.25">
      <c r="B4039" s="90">
        <v>4035</v>
      </c>
      <c r="C4039" s="39">
        <f t="shared" si="126"/>
        <v>12500451.095011568</v>
      </c>
      <c r="D4039" s="39">
        <f t="shared" si="127"/>
        <v>12786372.803063767</v>
      </c>
    </row>
    <row r="4040" spans="2:4" x14ac:dyDescent="0.25">
      <c r="B4040" s="90">
        <v>4036</v>
      </c>
      <c r="C4040" s="39">
        <f t="shared" si="126"/>
        <v>12503114.007302774</v>
      </c>
      <c r="D4040" s="39">
        <f t="shared" si="127"/>
        <v>12789541.668690301</v>
      </c>
    </row>
    <row r="4041" spans="2:4" x14ac:dyDescent="0.25">
      <c r="B4041" s="90">
        <v>4037</v>
      </c>
      <c r="C4041" s="39">
        <f t="shared" si="126"/>
        <v>12505776.919593979</v>
      </c>
      <c r="D4041" s="39">
        <f t="shared" si="127"/>
        <v>12792710.534316834</v>
      </c>
    </row>
    <row r="4042" spans="2:4" x14ac:dyDescent="0.25">
      <c r="B4042" s="90">
        <v>4038</v>
      </c>
      <c r="C4042" s="39">
        <f t="shared" si="126"/>
        <v>12508439.831885183</v>
      </c>
      <c r="D4042" s="39">
        <f t="shared" si="127"/>
        <v>12795879.399943369</v>
      </c>
    </row>
    <row r="4043" spans="2:4" x14ac:dyDescent="0.25">
      <c r="B4043" s="90">
        <v>4039</v>
      </c>
      <c r="C4043" s="39">
        <f t="shared" si="126"/>
        <v>12511102.744176388</v>
      </c>
      <c r="D4043" s="39">
        <f t="shared" si="127"/>
        <v>12799048.265569903</v>
      </c>
    </row>
    <row r="4044" spans="2:4" x14ac:dyDescent="0.25">
      <c r="B4044" s="90">
        <v>4040</v>
      </c>
      <c r="C4044" s="39">
        <f t="shared" si="126"/>
        <v>12513765.656467592</v>
      </c>
      <c r="D4044" s="39">
        <f t="shared" si="127"/>
        <v>12802217.131196436</v>
      </c>
    </row>
    <row r="4045" spans="2:4" x14ac:dyDescent="0.25">
      <c r="B4045" s="90">
        <v>4041</v>
      </c>
      <c r="C4045" s="39">
        <f t="shared" si="126"/>
        <v>12516428.568758797</v>
      </c>
      <c r="D4045" s="39">
        <f t="shared" si="127"/>
        <v>12805385.99682297</v>
      </c>
    </row>
    <row r="4046" spans="2:4" x14ac:dyDescent="0.25">
      <c r="B4046" s="90">
        <v>4042</v>
      </c>
      <c r="C4046" s="39">
        <f t="shared" si="126"/>
        <v>12519091.481050003</v>
      </c>
      <c r="D4046" s="39">
        <f t="shared" si="127"/>
        <v>12808554.862449504</v>
      </c>
    </row>
    <row r="4047" spans="2:4" x14ac:dyDescent="0.25">
      <c r="B4047" s="90">
        <v>4043</v>
      </c>
      <c r="C4047" s="39">
        <f t="shared" si="126"/>
        <v>12521754.393341208</v>
      </c>
      <c r="D4047" s="39">
        <f t="shared" si="127"/>
        <v>12811723.728076037</v>
      </c>
    </row>
    <row r="4048" spans="2:4" x14ac:dyDescent="0.25">
      <c r="B4048" s="90">
        <v>4044</v>
      </c>
      <c r="C4048" s="39">
        <f t="shared" si="126"/>
        <v>12524417.305632412</v>
      </c>
      <c r="D4048" s="39">
        <f t="shared" si="127"/>
        <v>12814892.593702571</v>
      </c>
    </row>
    <row r="4049" spans="2:4" x14ac:dyDescent="0.25">
      <c r="B4049" s="90">
        <v>4045</v>
      </c>
      <c r="C4049" s="39">
        <f t="shared" si="126"/>
        <v>12527080.217923617</v>
      </c>
      <c r="D4049" s="39">
        <f t="shared" si="127"/>
        <v>12818061.459329106</v>
      </c>
    </row>
    <row r="4050" spans="2:4" x14ac:dyDescent="0.25">
      <c r="B4050" s="90">
        <v>4046</v>
      </c>
      <c r="C4050" s="39">
        <f t="shared" si="126"/>
        <v>12529743.130214822</v>
      </c>
      <c r="D4050" s="39">
        <f t="shared" si="127"/>
        <v>12821230.324955638</v>
      </c>
    </row>
    <row r="4051" spans="2:4" x14ac:dyDescent="0.25">
      <c r="B4051" s="90">
        <v>4047</v>
      </c>
      <c r="C4051" s="39">
        <f t="shared" si="126"/>
        <v>12532406.042506026</v>
      </c>
      <c r="D4051" s="39">
        <f t="shared" si="127"/>
        <v>12824399.190582173</v>
      </c>
    </row>
    <row r="4052" spans="2:4" x14ac:dyDescent="0.25">
      <c r="B4052" s="90">
        <v>4048</v>
      </c>
      <c r="C4052" s="39">
        <f t="shared" si="126"/>
        <v>12535068.954797231</v>
      </c>
      <c r="D4052" s="39">
        <f t="shared" si="127"/>
        <v>12827568.056208706</v>
      </c>
    </row>
    <row r="4053" spans="2:4" x14ac:dyDescent="0.25">
      <c r="B4053" s="90">
        <v>4049</v>
      </c>
      <c r="C4053" s="39">
        <f t="shared" si="126"/>
        <v>12537731.867088437</v>
      </c>
      <c r="D4053" s="39">
        <f t="shared" si="127"/>
        <v>12830736.92183524</v>
      </c>
    </row>
    <row r="4054" spans="2:4" x14ac:dyDescent="0.25">
      <c r="B4054" s="90">
        <v>4050</v>
      </c>
      <c r="C4054" s="39">
        <f t="shared" si="126"/>
        <v>12540394.779379642</v>
      </c>
      <c r="D4054" s="39">
        <f t="shared" si="127"/>
        <v>12833905.787461774</v>
      </c>
    </row>
    <row r="4055" spans="2:4" x14ac:dyDescent="0.25">
      <c r="B4055" s="90">
        <v>4051</v>
      </c>
      <c r="C4055" s="39">
        <f t="shared" si="126"/>
        <v>12543057.691670846</v>
      </c>
      <c r="D4055" s="39">
        <f t="shared" si="127"/>
        <v>12837074.653088307</v>
      </c>
    </row>
    <row r="4056" spans="2:4" x14ac:dyDescent="0.25">
      <c r="B4056" s="90">
        <v>4052</v>
      </c>
      <c r="C4056" s="39">
        <f t="shared" si="126"/>
        <v>12545720.603962051</v>
      </c>
      <c r="D4056" s="39">
        <f t="shared" si="127"/>
        <v>12840243.518714841</v>
      </c>
    </row>
    <row r="4057" spans="2:4" x14ac:dyDescent="0.25">
      <c r="B4057" s="90">
        <v>4053</v>
      </c>
      <c r="C4057" s="39">
        <f t="shared" si="126"/>
        <v>12548383.516253255</v>
      </c>
      <c r="D4057" s="39">
        <f t="shared" si="127"/>
        <v>12843412.384341376</v>
      </c>
    </row>
    <row r="4058" spans="2:4" x14ac:dyDescent="0.25">
      <c r="B4058" s="90">
        <v>4054</v>
      </c>
      <c r="C4058" s="39">
        <f t="shared" si="126"/>
        <v>12551046.42854446</v>
      </c>
      <c r="D4058" s="39">
        <f t="shared" si="127"/>
        <v>12846581.249967908</v>
      </c>
    </row>
    <row r="4059" spans="2:4" x14ac:dyDescent="0.25">
      <c r="B4059" s="90">
        <v>4055</v>
      </c>
      <c r="C4059" s="39">
        <f t="shared" si="126"/>
        <v>12553709.340835666</v>
      </c>
      <c r="D4059" s="39">
        <f t="shared" si="127"/>
        <v>12849750.115594443</v>
      </c>
    </row>
    <row r="4060" spans="2:4" x14ac:dyDescent="0.25">
      <c r="B4060" s="90">
        <v>4056</v>
      </c>
      <c r="C4060" s="39">
        <f t="shared" si="126"/>
        <v>12556372.253126871</v>
      </c>
      <c r="D4060" s="39">
        <f t="shared" si="127"/>
        <v>12852918.981220977</v>
      </c>
    </row>
    <row r="4061" spans="2:4" x14ac:dyDescent="0.25">
      <c r="B4061" s="90">
        <v>4057</v>
      </c>
      <c r="C4061" s="39">
        <f t="shared" si="126"/>
        <v>12559035.165418075</v>
      </c>
      <c r="D4061" s="39">
        <f t="shared" si="127"/>
        <v>12856087.84684751</v>
      </c>
    </row>
    <row r="4062" spans="2:4" x14ac:dyDescent="0.25">
      <c r="B4062" s="90">
        <v>4058</v>
      </c>
      <c r="C4062" s="39">
        <f t="shared" si="126"/>
        <v>12561698.07770928</v>
      </c>
      <c r="D4062" s="39">
        <f t="shared" si="127"/>
        <v>12859256.712474044</v>
      </c>
    </row>
    <row r="4063" spans="2:4" x14ac:dyDescent="0.25">
      <c r="B4063" s="90">
        <v>4059</v>
      </c>
      <c r="C4063" s="39">
        <f t="shared" si="126"/>
        <v>12564360.990000485</v>
      </c>
      <c r="D4063" s="39">
        <f t="shared" si="127"/>
        <v>12862425.578100577</v>
      </c>
    </row>
    <row r="4064" spans="2:4" x14ac:dyDescent="0.25">
      <c r="B4064" s="90">
        <v>4060</v>
      </c>
      <c r="C4064" s="39">
        <f t="shared" si="126"/>
        <v>12567023.902291689</v>
      </c>
      <c r="D4064" s="39">
        <f t="shared" si="127"/>
        <v>12865594.443727111</v>
      </c>
    </row>
    <row r="4065" spans="2:4" x14ac:dyDescent="0.25">
      <c r="B4065" s="90">
        <v>4061</v>
      </c>
      <c r="C4065" s="39">
        <f t="shared" si="126"/>
        <v>12569686.814582894</v>
      </c>
      <c r="D4065" s="39">
        <f t="shared" si="127"/>
        <v>12868763.309353646</v>
      </c>
    </row>
    <row r="4066" spans="2:4" x14ac:dyDescent="0.25">
      <c r="B4066" s="90">
        <v>4062</v>
      </c>
      <c r="C4066" s="39">
        <f t="shared" si="126"/>
        <v>12572349.7268741</v>
      </c>
      <c r="D4066" s="39">
        <f t="shared" si="127"/>
        <v>12871932.174980178</v>
      </c>
    </row>
    <row r="4067" spans="2:4" x14ac:dyDescent="0.25">
      <c r="B4067" s="90">
        <v>4063</v>
      </c>
      <c r="C4067" s="39">
        <f t="shared" si="126"/>
        <v>12575012.639165305</v>
      </c>
      <c r="D4067" s="39">
        <f t="shared" si="127"/>
        <v>12875101.040606713</v>
      </c>
    </row>
    <row r="4068" spans="2:4" x14ac:dyDescent="0.25">
      <c r="B4068" s="90">
        <v>4064</v>
      </c>
      <c r="C4068" s="39">
        <f t="shared" si="126"/>
        <v>12577675.551456509</v>
      </c>
      <c r="D4068" s="39">
        <f t="shared" si="127"/>
        <v>12878269.906233247</v>
      </c>
    </row>
    <row r="4069" spans="2:4" x14ac:dyDescent="0.25">
      <c r="B4069" s="90">
        <v>4065</v>
      </c>
      <c r="C4069" s="39">
        <f t="shared" si="126"/>
        <v>12580338.463747714</v>
      </c>
      <c r="D4069" s="39">
        <f t="shared" si="127"/>
        <v>12881438.77185978</v>
      </c>
    </row>
    <row r="4070" spans="2:4" x14ac:dyDescent="0.25">
      <c r="B4070" s="90">
        <v>4066</v>
      </c>
      <c r="C4070" s="39">
        <f t="shared" si="126"/>
        <v>12583001.376038918</v>
      </c>
      <c r="D4070" s="39">
        <f t="shared" si="127"/>
        <v>12884607.637486314</v>
      </c>
    </row>
    <row r="4071" spans="2:4" x14ac:dyDescent="0.25">
      <c r="B4071" s="90">
        <v>4067</v>
      </c>
      <c r="C4071" s="39">
        <f t="shared" si="126"/>
        <v>12585664.288330123</v>
      </c>
      <c r="D4071" s="39">
        <f t="shared" si="127"/>
        <v>12887776.503112849</v>
      </c>
    </row>
    <row r="4072" spans="2:4" x14ac:dyDescent="0.25">
      <c r="B4072" s="90">
        <v>4068</v>
      </c>
      <c r="C4072" s="39">
        <f t="shared" si="126"/>
        <v>12588327.200621329</v>
      </c>
      <c r="D4072" s="39">
        <f t="shared" si="127"/>
        <v>12890945.368739381</v>
      </c>
    </row>
    <row r="4073" spans="2:4" x14ac:dyDescent="0.25">
      <c r="B4073" s="90">
        <v>4069</v>
      </c>
      <c r="C4073" s="39">
        <f t="shared" si="126"/>
        <v>12590990.112912534</v>
      </c>
      <c r="D4073" s="39">
        <f t="shared" si="127"/>
        <v>12894114.234365916</v>
      </c>
    </row>
    <row r="4074" spans="2:4" x14ac:dyDescent="0.25">
      <c r="B4074" s="90">
        <v>4070</v>
      </c>
      <c r="C4074" s="39">
        <f t="shared" si="126"/>
        <v>12593653.025203738</v>
      </c>
      <c r="D4074" s="39">
        <f t="shared" si="127"/>
        <v>12897283.099992448</v>
      </c>
    </row>
    <row r="4075" spans="2:4" x14ac:dyDescent="0.25">
      <c r="B4075" s="90">
        <v>4071</v>
      </c>
      <c r="C4075" s="39">
        <f t="shared" si="126"/>
        <v>12596315.937494943</v>
      </c>
      <c r="D4075" s="39">
        <f t="shared" si="127"/>
        <v>12900451.965618983</v>
      </c>
    </row>
    <row r="4076" spans="2:4" x14ac:dyDescent="0.25">
      <c r="B4076" s="90">
        <v>4072</v>
      </c>
      <c r="C4076" s="39">
        <f t="shared" si="126"/>
        <v>12598978.849786147</v>
      </c>
      <c r="D4076" s="39">
        <f t="shared" si="127"/>
        <v>12903620.831245517</v>
      </c>
    </row>
    <row r="4077" spans="2:4" x14ac:dyDescent="0.25">
      <c r="B4077" s="90">
        <v>4073</v>
      </c>
      <c r="C4077" s="39">
        <f t="shared" si="126"/>
        <v>12601641.762077352</v>
      </c>
      <c r="D4077" s="39">
        <f t="shared" si="127"/>
        <v>12906789.69687205</v>
      </c>
    </row>
    <row r="4078" spans="2:4" x14ac:dyDescent="0.25">
      <c r="B4078" s="90">
        <v>4074</v>
      </c>
      <c r="C4078" s="39">
        <f t="shared" si="126"/>
        <v>12604304.674368558</v>
      </c>
      <c r="D4078" s="39">
        <f t="shared" si="127"/>
        <v>12909958.562498584</v>
      </c>
    </row>
    <row r="4079" spans="2:4" x14ac:dyDescent="0.25">
      <c r="B4079" s="90">
        <v>4075</v>
      </c>
      <c r="C4079" s="39">
        <f t="shared" si="126"/>
        <v>12606967.586659763</v>
      </c>
      <c r="D4079" s="39">
        <f t="shared" si="127"/>
        <v>12913127.428125119</v>
      </c>
    </row>
    <row r="4080" spans="2:4" x14ac:dyDescent="0.25">
      <c r="B4080" s="90">
        <v>4076</v>
      </c>
      <c r="C4080" s="39">
        <f t="shared" si="126"/>
        <v>12609630.498950968</v>
      </c>
      <c r="D4080" s="39">
        <f t="shared" si="127"/>
        <v>12916296.293751651</v>
      </c>
    </row>
    <row r="4081" spans="2:4" x14ac:dyDescent="0.25">
      <c r="B4081" s="90">
        <v>4077</v>
      </c>
      <c r="C4081" s="39">
        <f t="shared" ref="C4081:C4144" si="128">($C$2*B4081)+$C$1</f>
        <v>12612293.411242172</v>
      </c>
      <c r="D4081" s="39">
        <f t="shared" ref="D4081:D4144" si="129">$D$2*B4081</f>
        <v>12919465.159378186</v>
      </c>
    </row>
    <row r="4082" spans="2:4" x14ac:dyDescent="0.25">
      <c r="B4082" s="90">
        <v>4078</v>
      </c>
      <c r="C4082" s="39">
        <f t="shared" si="128"/>
        <v>12614956.323533377</v>
      </c>
      <c r="D4082" s="39">
        <f t="shared" si="129"/>
        <v>12922634.02500472</v>
      </c>
    </row>
    <row r="4083" spans="2:4" x14ac:dyDescent="0.25">
      <c r="B4083" s="90">
        <v>4079</v>
      </c>
      <c r="C4083" s="39">
        <f t="shared" si="128"/>
        <v>12617619.235824581</v>
      </c>
      <c r="D4083" s="39">
        <f t="shared" si="129"/>
        <v>12925802.890631253</v>
      </c>
    </row>
    <row r="4084" spans="2:4" x14ac:dyDescent="0.25">
      <c r="B4084" s="90">
        <v>4080</v>
      </c>
      <c r="C4084" s="39">
        <f t="shared" si="128"/>
        <v>12620282.148115786</v>
      </c>
      <c r="D4084" s="39">
        <f t="shared" si="129"/>
        <v>12928971.756257787</v>
      </c>
    </row>
    <row r="4085" spans="2:4" x14ac:dyDescent="0.25">
      <c r="B4085" s="90">
        <v>4081</v>
      </c>
      <c r="C4085" s="39">
        <f t="shared" si="128"/>
        <v>12622945.060406992</v>
      </c>
      <c r="D4085" s="39">
        <f t="shared" si="129"/>
        <v>12932140.62188432</v>
      </c>
    </row>
    <row r="4086" spans="2:4" x14ac:dyDescent="0.25">
      <c r="B4086" s="90">
        <v>4082</v>
      </c>
      <c r="C4086" s="39">
        <f t="shared" si="128"/>
        <v>12625607.972698197</v>
      </c>
      <c r="D4086" s="39">
        <f t="shared" si="129"/>
        <v>12935309.487510854</v>
      </c>
    </row>
    <row r="4087" spans="2:4" x14ac:dyDescent="0.25">
      <c r="B4087" s="90">
        <v>4083</v>
      </c>
      <c r="C4087" s="39">
        <f t="shared" si="128"/>
        <v>12628270.884989401</v>
      </c>
      <c r="D4087" s="39">
        <f t="shared" si="129"/>
        <v>12938478.353137389</v>
      </c>
    </row>
    <row r="4088" spans="2:4" x14ac:dyDescent="0.25">
      <c r="B4088" s="90">
        <v>4084</v>
      </c>
      <c r="C4088" s="39">
        <f t="shared" si="128"/>
        <v>12630933.797280606</v>
      </c>
      <c r="D4088" s="39">
        <f t="shared" si="129"/>
        <v>12941647.218763921</v>
      </c>
    </row>
    <row r="4089" spans="2:4" x14ac:dyDescent="0.25">
      <c r="B4089" s="90">
        <v>4085</v>
      </c>
      <c r="C4089" s="39">
        <f t="shared" si="128"/>
        <v>12633596.70957181</v>
      </c>
      <c r="D4089" s="39">
        <f t="shared" si="129"/>
        <v>12944816.084390456</v>
      </c>
    </row>
    <row r="4090" spans="2:4" x14ac:dyDescent="0.25">
      <c r="B4090" s="90">
        <v>4086</v>
      </c>
      <c r="C4090" s="39">
        <f t="shared" si="128"/>
        <v>12636259.621863015</v>
      </c>
      <c r="D4090" s="39">
        <f t="shared" si="129"/>
        <v>12947984.95001699</v>
      </c>
    </row>
    <row r="4091" spans="2:4" x14ac:dyDescent="0.25">
      <c r="B4091" s="90">
        <v>4087</v>
      </c>
      <c r="C4091" s="39">
        <f t="shared" si="128"/>
        <v>12638922.534154221</v>
      </c>
      <c r="D4091" s="39">
        <f t="shared" si="129"/>
        <v>12951153.815643523</v>
      </c>
    </row>
    <row r="4092" spans="2:4" x14ac:dyDescent="0.25">
      <c r="B4092" s="90">
        <v>4088</v>
      </c>
      <c r="C4092" s="39">
        <f t="shared" si="128"/>
        <v>12641585.446445426</v>
      </c>
      <c r="D4092" s="39">
        <f t="shared" si="129"/>
        <v>12954322.681270057</v>
      </c>
    </row>
    <row r="4093" spans="2:4" x14ac:dyDescent="0.25">
      <c r="B4093" s="90">
        <v>4089</v>
      </c>
      <c r="C4093" s="39">
        <f t="shared" si="128"/>
        <v>12644248.358736631</v>
      </c>
      <c r="D4093" s="39">
        <f t="shared" si="129"/>
        <v>12957491.546896592</v>
      </c>
    </row>
    <row r="4094" spans="2:4" x14ac:dyDescent="0.25">
      <c r="B4094" s="90">
        <v>4090</v>
      </c>
      <c r="C4094" s="39">
        <f t="shared" si="128"/>
        <v>12646911.271027835</v>
      </c>
      <c r="D4094" s="39">
        <f t="shared" si="129"/>
        <v>12960660.412523124</v>
      </c>
    </row>
    <row r="4095" spans="2:4" x14ac:dyDescent="0.25">
      <c r="B4095" s="90">
        <v>4091</v>
      </c>
      <c r="C4095" s="39">
        <f t="shared" si="128"/>
        <v>12649574.18331904</v>
      </c>
      <c r="D4095" s="39">
        <f t="shared" si="129"/>
        <v>12963829.278149659</v>
      </c>
    </row>
    <row r="4096" spans="2:4" x14ac:dyDescent="0.25">
      <c r="B4096" s="90">
        <v>4092</v>
      </c>
      <c r="C4096" s="39">
        <f t="shared" si="128"/>
        <v>12652237.095610244</v>
      </c>
      <c r="D4096" s="39">
        <f t="shared" si="129"/>
        <v>12966998.143776191</v>
      </c>
    </row>
    <row r="4097" spans="2:4" x14ac:dyDescent="0.25">
      <c r="B4097" s="90">
        <v>4093</v>
      </c>
      <c r="C4097" s="39">
        <f t="shared" si="128"/>
        <v>12654900.007901451</v>
      </c>
      <c r="D4097" s="39">
        <f t="shared" si="129"/>
        <v>12970167.009402726</v>
      </c>
    </row>
    <row r="4098" spans="2:4" x14ac:dyDescent="0.25">
      <c r="B4098" s="90">
        <v>4094</v>
      </c>
      <c r="C4098" s="39">
        <f t="shared" si="128"/>
        <v>12657562.920192655</v>
      </c>
      <c r="D4098" s="39">
        <f t="shared" si="129"/>
        <v>12973335.87502926</v>
      </c>
    </row>
    <row r="4099" spans="2:4" x14ac:dyDescent="0.25">
      <c r="B4099" s="90">
        <v>4095</v>
      </c>
      <c r="C4099" s="39">
        <f t="shared" si="128"/>
        <v>12660225.83248386</v>
      </c>
      <c r="D4099" s="39">
        <f t="shared" si="129"/>
        <v>12976504.740655793</v>
      </c>
    </row>
    <row r="4100" spans="2:4" x14ac:dyDescent="0.25">
      <c r="B4100" s="90">
        <v>4096</v>
      </c>
      <c r="C4100" s="39">
        <f t="shared" si="128"/>
        <v>12662888.744775064</v>
      </c>
      <c r="D4100" s="39">
        <f t="shared" si="129"/>
        <v>12979673.606282327</v>
      </c>
    </row>
    <row r="4101" spans="2:4" x14ac:dyDescent="0.25">
      <c r="B4101" s="90">
        <v>4097</v>
      </c>
      <c r="C4101" s="39">
        <f t="shared" si="128"/>
        <v>12665551.657066269</v>
      </c>
      <c r="D4101" s="39">
        <f t="shared" si="129"/>
        <v>12982842.471908862</v>
      </c>
    </row>
    <row r="4102" spans="2:4" x14ac:dyDescent="0.25">
      <c r="B4102" s="90">
        <v>4098</v>
      </c>
      <c r="C4102" s="39">
        <f t="shared" si="128"/>
        <v>12668214.569357473</v>
      </c>
      <c r="D4102" s="39">
        <f t="shared" si="129"/>
        <v>12986011.337535394</v>
      </c>
    </row>
    <row r="4103" spans="2:4" x14ac:dyDescent="0.25">
      <c r="B4103" s="90">
        <v>4099</v>
      </c>
      <c r="C4103" s="39">
        <f t="shared" si="128"/>
        <v>12670877.481648678</v>
      </c>
      <c r="D4103" s="39">
        <f t="shared" si="129"/>
        <v>12989180.203161929</v>
      </c>
    </row>
    <row r="4104" spans="2:4" x14ac:dyDescent="0.25">
      <c r="B4104" s="90">
        <v>4100</v>
      </c>
      <c r="C4104" s="39">
        <f t="shared" si="128"/>
        <v>12673540.393939884</v>
      </c>
      <c r="D4104" s="39">
        <f t="shared" si="129"/>
        <v>12992349.068788463</v>
      </c>
    </row>
    <row r="4105" spans="2:4" x14ac:dyDescent="0.25">
      <c r="B4105" s="90">
        <v>4101</v>
      </c>
      <c r="C4105" s="39">
        <f t="shared" si="128"/>
        <v>12676203.306231089</v>
      </c>
      <c r="D4105" s="39">
        <f t="shared" si="129"/>
        <v>12995517.934414996</v>
      </c>
    </row>
    <row r="4106" spans="2:4" x14ac:dyDescent="0.25">
      <c r="B4106" s="90">
        <v>4102</v>
      </c>
      <c r="C4106" s="39">
        <f t="shared" si="128"/>
        <v>12678866.218522293</v>
      </c>
      <c r="D4106" s="39">
        <f t="shared" si="129"/>
        <v>12998686.80004153</v>
      </c>
    </row>
    <row r="4107" spans="2:4" x14ac:dyDescent="0.25">
      <c r="B4107" s="90">
        <v>4103</v>
      </c>
      <c r="C4107" s="39">
        <f t="shared" si="128"/>
        <v>12681529.130813498</v>
      </c>
      <c r="D4107" s="39">
        <f t="shared" si="129"/>
        <v>13001855.665668063</v>
      </c>
    </row>
    <row r="4108" spans="2:4" x14ac:dyDescent="0.25">
      <c r="B4108" s="90">
        <v>4104</v>
      </c>
      <c r="C4108" s="39">
        <f t="shared" si="128"/>
        <v>12684192.043104703</v>
      </c>
      <c r="D4108" s="39">
        <f t="shared" si="129"/>
        <v>13005024.531294597</v>
      </c>
    </row>
    <row r="4109" spans="2:4" x14ac:dyDescent="0.25">
      <c r="B4109" s="90">
        <v>4105</v>
      </c>
      <c r="C4109" s="39">
        <f t="shared" si="128"/>
        <v>12686854.955395907</v>
      </c>
      <c r="D4109" s="39">
        <f t="shared" si="129"/>
        <v>13008193.396921132</v>
      </c>
    </row>
    <row r="4110" spans="2:4" x14ac:dyDescent="0.25">
      <c r="B4110" s="90">
        <v>4106</v>
      </c>
      <c r="C4110" s="39">
        <f t="shared" si="128"/>
        <v>12689517.867687114</v>
      </c>
      <c r="D4110" s="39">
        <f t="shared" si="129"/>
        <v>13011362.262547664</v>
      </c>
    </row>
    <row r="4111" spans="2:4" x14ac:dyDescent="0.25">
      <c r="B4111" s="90">
        <v>4107</v>
      </c>
      <c r="C4111" s="39">
        <f t="shared" si="128"/>
        <v>12692180.779978318</v>
      </c>
      <c r="D4111" s="39">
        <f t="shared" si="129"/>
        <v>13014531.128174199</v>
      </c>
    </row>
    <row r="4112" spans="2:4" x14ac:dyDescent="0.25">
      <c r="B4112" s="90">
        <v>4108</v>
      </c>
      <c r="C4112" s="39">
        <f t="shared" si="128"/>
        <v>12694843.692269523</v>
      </c>
      <c r="D4112" s="39">
        <f t="shared" si="129"/>
        <v>13017699.993800733</v>
      </c>
    </row>
    <row r="4113" spans="2:4" x14ac:dyDescent="0.25">
      <c r="B4113" s="90">
        <v>4109</v>
      </c>
      <c r="C4113" s="39">
        <f t="shared" si="128"/>
        <v>12697506.604560727</v>
      </c>
      <c r="D4113" s="39">
        <f t="shared" si="129"/>
        <v>13020868.859427266</v>
      </c>
    </row>
    <row r="4114" spans="2:4" x14ac:dyDescent="0.25">
      <c r="B4114" s="90">
        <v>4110</v>
      </c>
      <c r="C4114" s="39">
        <f t="shared" si="128"/>
        <v>12700169.516851932</v>
      </c>
      <c r="D4114" s="39">
        <f t="shared" si="129"/>
        <v>13024037.7250538</v>
      </c>
    </row>
    <row r="4115" spans="2:4" x14ac:dyDescent="0.25">
      <c r="B4115" s="90">
        <v>4111</v>
      </c>
      <c r="C4115" s="39">
        <f t="shared" si="128"/>
        <v>12702832.429143136</v>
      </c>
      <c r="D4115" s="39">
        <f t="shared" si="129"/>
        <v>13027206.590680335</v>
      </c>
    </row>
    <row r="4116" spans="2:4" x14ac:dyDescent="0.25">
      <c r="B4116" s="90">
        <v>4112</v>
      </c>
      <c r="C4116" s="39">
        <f t="shared" si="128"/>
        <v>12705495.341434343</v>
      </c>
      <c r="D4116" s="39">
        <f t="shared" si="129"/>
        <v>13030375.456306867</v>
      </c>
    </row>
    <row r="4117" spans="2:4" x14ac:dyDescent="0.25">
      <c r="B4117" s="90">
        <v>4113</v>
      </c>
      <c r="C4117" s="39">
        <f t="shared" si="128"/>
        <v>12708158.253725547</v>
      </c>
      <c r="D4117" s="39">
        <f t="shared" si="129"/>
        <v>13033544.321933402</v>
      </c>
    </row>
    <row r="4118" spans="2:4" x14ac:dyDescent="0.25">
      <c r="B4118" s="90">
        <v>4114</v>
      </c>
      <c r="C4118" s="39">
        <f t="shared" si="128"/>
        <v>12710821.166016752</v>
      </c>
      <c r="D4118" s="39">
        <f t="shared" si="129"/>
        <v>13036713.187559934</v>
      </c>
    </row>
    <row r="4119" spans="2:4" x14ac:dyDescent="0.25">
      <c r="B4119" s="90">
        <v>4115</v>
      </c>
      <c r="C4119" s="39">
        <f t="shared" si="128"/>
        <v>12713484.078307956</v>
      </c>
      <c r="D4119" s="39">
        <f t="shared" si="129"/>
        <v>13039882.053186469</v>
      </c>
    </row>
    <row r="4120" spans="2:4" x14ac:dyDescent="0.25">
      <c r="B4120" s="90">
        <v>4116</v>
      </c>
      <c r="C4120" s="39">
        <f t="shared" si="128"/>
        <v>12716146.990599161</v>
      </c>
      <c r="D4120" s="39">
        <f t="shared" si="129"/>
        <v>13043050.918813003</v>
      </c>
    </row>
    <row r="4121" spans="2:4" x14ac:dyDescent="0.25">
      <c r="B4121" s="90">
        <v>4117</v>
      </c>
      <c r="C4121" s="39">
        <f t="shared" si="128"/>
        <v>12718809.902890366</v>
      </c>
      <c r="D4121" s="39">
        <f t="shared" si="129"/>
        <v>13046219.784439536</v>
      </c>
    </row>
    <row r="4122" spans="2:4" x14ac:dyDescent="0.25">
      <c r="B4122" s="90">
        <v>4118</v>
      </c>
      <c r="C4122" s="39">
        <f t="shared" si="128"/>
        <v>12721472.81518157</v>
      </c>
      <c r="D4122" s="39">
        <f t="shared" si="129"/>
        <v>13049388.65006607</v>
      </c>
    </row>
    <row r="4123" spans="2:4" x14ac:dyDescent="0.25">
      <c r="B4123" s="90">
        <v>4119</v>
      </c>
      <c r="C4123" s="39">
        <f t="shared" si="128"/>
        <v>12724135.727472777</v>
      </c>
      <c r="D4123" s="39">
        <f t="shared" si="129"/>
        <v>13052557.515692605</v>
      </c>
    </row>
    <row r="4124" spans="2:4" x14ac:dyDescent="0.25">
      <c r="B4124" s="90">
        <v>4120</v>
      </c>
      <c r="C4124" s="39">
        <f t="shared" si="128"/>
        <v>12726798.639763981</v>
      </c>
      <c r="D4124" s="39">
        <f t="shared" si="129"/>
        <v>13055726.381319137</v>
      </c>
    </row>
    <row r="4125" spans="2:4" x14ac:dyDescent="0.25">
      <c r="B4125" s="90">
        <v>4121</v>
      </c>
      <c r="C4125" s="39">
        <f t="shared" si="128"/>
        <v>12729461.552055186</v>
      </c>
      <c r="D4125" s="39">
        <f t="shared" si="129"/>
        <v>13058895.246945672</v>
      </c>
    </row>
    <row r="4126" spans="2:4" x14ac:dyDescent="0.25">
      <c r="B4126" s="90">
        <v>4122</v>
      </c>
      <c r="C4126" s="39">
        <f t="shared" si="128"/>
        <v>12732124.46434639</v>
      </c>
      <c r="D4126" s="39">
        <f t="shared" si="129"/>
        <v>13062064.112572206</v>
      </c>
    </row>
    <row r="4127" spans="2:4" x14ac:dyDescent="0.25">
      <c r="B4127" s="90">
        <v>4123</v>
      </c>
      <c r="C4127" s="39">
        <f t="shared" si="128"/>
        <v>12734787.376637595</v>
      </c>
      <c r="D4127" s="39">
        <f t="shared" si="129"/>
        <v>13065232.978198739</v>
      </c>
    </row>
    <row r="4128" spans="2:4" x14ac:dyDescent="0.25">
      <c r="B4128" s="90">
        <v>4124</v>
      </c>
      <c r="C4128" s="39">
        <f t="shared" si="128"/>
        <v>12737450.288928799</v>
      </c>
      <c r="D4128" s="39">
        <f t="shared" si="129"/>
        <v>13068401.843825273</v>
      </c>
    </row>
    <row r="4129" spans="2:4" x14ac:dyDescent="0.25">
      <c r="B4129" s="90">
        <v>4125</v>
      </c>
      <c r="C4129" s="39">
        <f t="shared" si="128"/>
        <v>12740113.201220006</v>
      </c>
      <c r="D4129" s="39">
        <f t="shared" si="129"/>
        <v>13071570.709451806</v>
      </c>
    </row>
    <row r="4130" spans="2:4" x14ac:dyDescent="0.25">
      <c r="B4130" s="90">
        <v>4126</v>
      </c>
      <c r="C4130" s="39">
        <f t="shared" si="128"/>
        <v>12742776.11351121</v>
      </c>
      <c r="D4130" s="39">
        <f t="shared" si="129"/>
        <v>13074739.57507834</v>
      </c>
    </row>
    <row r="4131" spans="2:4" x14ac:dyDescent="0.25">
      <c r="B4131" s="90">
        <v>4127</v>
      </c>
      <c r="C4131" s="39">
        <f t="shared" si="128"/>
        <v>12745439.025802415</v>
      </c>
      <c r="D4131" s="39">
        <f t="shared" si="129"/>
        <v>13077908.440704875</v>
      </c>
    </row>
    <row r="4132" spans="2:4" x14ac:dyDescent="0.25">
      <c r="B4132" s="90">
        <v>4128</v>
      </c>
      <c r="C4132" s="39">
        <f t="shared" si="128"/>
        <v>12748101.938093619</v>
      </c>
      <c r="D4132" s="39">
        <f t="shared" si="129"/>
        <v>13081077.306331407</v>
      </c>
    </row>
    <row r="4133" spans="2:4" x14ac:dyDescent="0.25">
      <c r="B4133" s="90">
        <v>4129</v>
      </c>
      <c r="C4133" s="39">
        <f t="shared" si="128"/>
        <v>12750764.850384824</v>
      </c>
      <c r="D4133" s="39">
        <f t="shared" si="129"/>
        <v>13084246.171957942</v>
      </c>
    </row>
    <row r="4134" spans="2:4" x14ac:dyDescent="0.25">
      <c r="B4134" s="90">
        <v>4130</v>
      </c>
      <c r="C4134" s="39">
        <f t="shared" si="128"/>
        <v>12753427.762676029</v>
      </c>
      <c r="D4134" s="39">
        <f t="shared" si="129"/>
        <v>13087415.037584476</v>
      </c>
    </row>
    <row r="4135" spans="2:4" x14ac:dyDescent="0.25">
      <c r="B4135" s="90">
        <v>4131</v>
      </c>
      <c r="C4135" s="39">
        <f t="shared" si="128"/>
        <v>12756090.674967235</v>
      </c>
      <c r="D4135" s="39">
        <f t="shared" si="129"/>
        <v>13090583.903211009</v>
      </c>
    </row>
    <row r="4136" spans="2:4" x14ac:dyDescent="0.25">
      <c r="B4136" s="90">
        <v>4132</v>
      </c>
      <c r="C4136" s="39">
        <f t="shared" si="128"/>
        <v>12758753.58725844</v>
      </c>
      <c r="D4136" s="39">
        <f t="shared" si="129"/>
        <v>13093752.768837543</v>
      </c>
    </row>
    <row r="4137" spans="2:4" x14ac:dyDescent="0.25">
      <c r="B4137" s="90">
        <v>4133</v>
      </c>
      <c r="C4137" s="39">
        <f t="shared" si="128"/>
        <v>12761416.499549644</v>
      </c>
      <c r="D4137" s="39">
        <f t="shared" si="129"/>
        <v>13096921.634464078</v>
      </c>
    </row>
    <row r="4138" spans="2:4" x14ac:dyDescent="0.25">
      <c r="B4138" s="90">
        <v>4134</v>
      </c>
      <c r="C4138" s="39">
        <f t="shared" si="128"/>
        <v>12764079.411840849</v>
      </c>
      <c r="D4138" s="39">
        <f t="shared" si="129"/>
        <v>13100090.50009061</v>
      </c>
    </row>
    <row r="4139" spans="2:4" x14ac:dyDescent="0.25">
      <c r="B4139" s="90">
        <v>4135</v>
      </c>
      <c r="C4139" s="39">
        <f t="shared" si="128"/>
        <v>12766742.324132053</v>
      </c>
      <c r="D4139" s="39">
        <f t="shared" si="129"/>
        <v>13103259.365717145</v>
      </c>
    </row>
    <row r="4140" spans="2:4" x14ac:dyDescent="0.25">
      <c r="B4140" s="90">
        <v>4136</v>
      </c>
      <c r="C4140" s="39">
        <f t="shared" si="128"/>
        <v>12769405.236423258</v>
      </c>
      <c r="D4140" s="39">
        <f t="shared" si="129"/>
        <v>13106428.231343677</v>
      </c>
    </row>
    <row r="4141" spans="2:4" x14ac:dyDescent="0.25">
      <c r="B4141" s="90">
        <v>4137</v>
      </c>
      <c r="C4141" s="39">
        <f t="shared" si="128"/>
        <v>12772068.148714462</v>
      </c>
      <c r="D4141" s="39">
        <f t="shared" si="129"/>
        <v>13109597.096970212</v>
      </c>
    </row>
    <row r="4142" spans="2:4" x14ac:dyDescent="0.25">
      <c r="B4142" s="90">
        <v>4138</v>
      </c>
      <c r="C4142" s="39">
        <f t="shared" si="128"/>
        <v>12774731.061005669</v>
      </c>
      <c r="D4142" s="39">
        <f t="shared" si="129"/>
        <v>13112765.962596746</v>
      </c>
    </row>
    <row r="4143" spans="2:4" x14ac:dyDescent="0.25">
      <c r="B4143" s="90">
        <v>4139</v>
      </c>
      <c r="C4143" s="39">
        <f t="shared" si="128"/>
        <v>12777393.973296873</v>
      </c>
      <c r="D4143" s="39">
        <f t="shared" si="129"/>
        <v>13115934.828223279</v>
      </c>
    </row>
    <row r="4144" spans="2:4" x14ac:dyDescent="0.25">
      <c r="B4144" s="90">
        <v>4140</v>
      </c>
      <c r="C4144" s="39">
        <f t="shared" si="128"/>
        <v>12780056.885588078</v>
      </c>
      <c r="D4144" s="39">
        <f t="shared" si="129"/>
        <v>13119103.693849813</v>
      </c>
    </row>
    <row r="4145" spans="2:4" x14ac:dyDescent="0.25">
      <c r="B4145" s="90">
        <v>4141</v>
      </c>
      <c r="C4145" s="39">
        <f t="shared" ref="C4145:C4208" si="130">($C$2*B4145)+$C$1</f>
        <v>12782719.797879282</v>
      </c>
      <c r="D4145" s="39">
        <f t="shared" ref="D4145:D4208" si="131">$D$2*B4145</f>
        <v>13122272.559476348</v>
      </c>
    </row>
    <row r="4146" spans="2:4" x14ac:dyDescent="0.25">
      <c r="B4146" s="90">
        <v>4142</v>
      </c>
      <c r="C4146" s="39">
        <f t="shared" si="130"/>
        <v>12785382.710170487</v>
      </c>
      <c r="D4146" s="39">
        <f t="shared" si="131"/>
        <v>13125441.42510288</v>
      </c>
    </row>
    <row r="4147" spans="2:4" x14ac:dyDescent="0.25">
      <c r="B4147" s="90">
        <v>4143</v>
      </c>
      <c r="C4147" s="39">
        <f t="shared" si="130"/>
        <v>12788045.622461691</v>
      </c>
      <c r="D4147" s="39">
        <f t="shared" si="131"/>
        <v>13128610.290729415</v>
      </c>
    </row>
    <row r="4148" spans="2:4" x14ac:dyDescent="0.25">
      <c r="B4148" s="90">
        <v>4144</v>
      </c>
      <c r="C4148" s="39">
        <f t="shared" si="130"/>
        <v>12790708.534752898</v>
      </c>
      <c r="D4148" s="39">
        <f t="shared" si="131"/>
        <v>13131779.156355949</v>
      </c>
    </row>
    <row r="4149" spans="2:4" x14ac:dyDescent="0.25">
      <c r="B4149" s="90">
        <v>4145</v>
      </c>
      <c r="C4149" s="39">
        <f t="shared" si="130"/>
        <v>12793371.447044102</v>
      </c>
      <c r="D4149" s="39">
        <f t="shared" si="131"/>
        <v>13134948.021982482</v>
      </c>
    </row>
    <row r="4150" spans="2:4" x14ac:dyDescent="0.25">
      <c r="B4150" s="90">
        <v>4146</v>
      </c>
      <c r="C4150" s="39">
        <f t="shared" si="130"/>
        <v>12796034.359335307</v>
      </c>
      <c r="D4150" s="39">
        <f t="shared" si="131"/>
        <v>13138116.887609016</v>
      </c>
    </row>
    <row r="4151" spans="2:4" x14ac:dyDescent="0.25">
      <c r="B4151" s="90">
        <v>4147</v>
      </c>
      <c r="C4151" s="39">
        <f t="shared" si="130"/>
        <v>12798697.271626512</v>
      </c>
      <c r="D4151" s="39">
        <f t="shared" si="131"/>
        <v>13141285.753235549</v>
      </c>
    </row>
    <row r="4152" spans="2:4" x14ac:dyDescent="0.25">
      <c r="B4152" s="90">
        <v>4148</v>
      </c>
      <c r="C4152" s="39">
        <f t="shared" si="130"/>
        <v>12801360.183917716</v>
      </c>
      <c r="D4152" s="39">
        <f t="shared" si="131"/>
        <v>13144454.618862083</v>
      </c>
    </row>
    <row r="4153" spans="2:4" x14ac:dyDescent="0.25">
      <c r="B4153" s="90">
        <v>4149</v>
      </c>
      <c r="C4153" s="39">
        <f t="shared" si="130"/>
        <v>12804023.096208921</v>
      </c>
      <c r="D4153" s="39">
        <f t="shared" si="131"/>
        <v>13147623.484488618</v>
      </c>
    </row>
    <row r="4154" spans="2:4" x14ac:dyDescent="0.25">
      <c r="B4154" s="90">
        <v>4150</v>
      </c>
      <c r="C4154" s="39">
        <f t="shared" si="130"/>
        <v>12806686.008500125</v>
      </c>
      <c r="D4154" s="39">
        <f t="shared" si="131"/>
        <v>13150792.35011515</v>
      </c>
    </row>
    <row r="4155" spans="2:4" x14ac:dyDescent="0.25">
      <c r="B4155" s="90">
        <v>4151</v>
      </c>
      <c r="C4155" s="39">
        <f t="shared" si="130"/>
        <v>12809348.920791332</v>
      </c>
      <c r="D4155" s="39">
        <f t="shared" si="131"/>
        <v>13153961.215741685</v>
      </c>
    </row>
    <row r="4156" spans="2:4" x14ac:dyDescent="0.25">
      <c r="B4156" s="90">
        <v>4152</v>
      </c>
      <c r="C4156" s="39">
        <f t="shared" si="130"/>
        <v>12812011.833082536</v>
      </c>
      <c r="D4156" s="39">
        <f t="shared" si="131"/>
        <v>13157130.081368219</v>
      </c>
    </row>
    <row r="4157" spans="2:4" x14ac:dyDescent="0.25">
      <c r="B4157" s="90">
        <v>4153</v>
      </c>
      <c r="C4157" s="39">
        <f t="shared" si="130"/>
        <v>12814674.745373741</v>
      </c>
      <c r="D4157" s="39">
        <f t="shared" si="131"/>
        <v>13160298.946994752</v>
      </c>
    </row>
    <row r="4158" spans="2:4" x14ac:dyDescent="0.25">
      <c r="B4158" s="90">
        <v>4154</v>
      </c>
      <c r="C4158" s="39">
        <f t="shared" si="130"/>
        <v>12817337.657664945</v>
      </c>
      <c r="D4158" s="39">
        <f t="shared" si="131"/>
        <v>13163467.812621286</v>
      </c>
    </row>
    <row r="4159" spans="2:4" x14ac:dyDescent="0.25">
      <c r="B4159" s="90">
        <v>4155</v>
      </c>
      <c r="C4159" s="39">
        <f t="shared" si="130"/>
        <v>12820000.56995615</v>
      </c>
      <c r="D4159" s="39">
        <f t="shared" si="131"/>
        <v>13166636.678247821</v>
      </c>
    </row>
    <row r="4160" spans="2:4" x14ac:dyDescent="0.25">
      <c r="B4160" s="90">
        <v>4156</v>
      </c>
      <c r="C4160" s="39">
        <f t="shared" si="130"/>
        <v>12822663.482247354</v>
      </c>
      <c r="D4160" s="39">
        <f t="shared" si="131"/>
        <v>13169805.543874353</v>
      </c>
    </row>
    <row r="4161" spans="2:4" x14ac:dyDescent="0.25">
      <c r="B4161" s="90">
        <v>4157</v>
      </c>
      <c r="C4161" s="39">
        <f t="shared" si="130"/>
        <v>12825326.394538561</v>
      </c>
      <c r="D4161" s="39">
        <f t="shared" si="131"/>
        <v>13172974.409500888</v>
      </c>
    </row>
    <row r="4162" spans="2:4" x14ac:dyDescent="0.25">
      <c r="B4162" s="90">
        <v>4158</v>
      </c>
      <c r="C4162" s="39">
        <f t="shared" si="130"/>
        <v>12827989.306829765</v>
      </c>
      <c r="D4162" s="39">
        <f t="shared" si="131"/>
        <v>13176143.275127422</v>
      </c>
    </row>
    <row r="4163" spans="2:4" x14ac:dyDescent="0.25">
      <c r="B4163" s="90">
        <v>4159</v>
      </c>
      <c r="C4163" s="39">
        <f t="shared" si="130"/>
        <v>12830652.21912097</v>
      </c>
      <c r="D4163" s="39">
        <f t="shared" si="131"/>
        <v>13179312.140753955</v>
      </c>
    </row>
    <row r="4164" spans="2:4" x14ac:dyDescent="0.25">
      <c r="B4164" s="90">
        <v>4160</v>
      </c>
      <c r="C4164" s="39">
        <f t="shared" si="130"/>
        <v>12833315.131412175</v>
      </c>
      <c r="D4164" s="39">
        <f t="shared" si="131"/>
        <v>13182481.006380489</v>
      </c>
    </row>
    <row r="4165" spans="2:4" x14ac:dyDescent="0.25">
      <c r="B4165" s="90">
        <v>4161</v>
      </c>
      <c r="C4165" s="39">
        <f t="shared" si="130"/>
        <v>12835978.043703379</v>
      </c>
      <c r="D4165" s="39">
        <f t="shared" si="131"/>
        <v>13185649.872007022</v>
      </c>
    </row>
    <row r="4166" spans="2:4" x14ac:dyDescent="0.25">
      <c r="B4166" s="90">
        <v>4162</v>
      </c>
      <c r="C4166" s="39">
        <f t="shared" si="130"/>
        <v>12838640.955994584</v>
      </c>
      <c r="D4166" s="39">
        <f t="shared" si="131"/>
        <v>13188818.737633556</v>
      </c>
    </row>
    <row r="4167" spans="2:4" x14ac:dyDescent="0.25">
      <c r="B4167" s="90">
        <v>4163</v>
      </c>
      <c r="C4167" s="39">
        <f t="shared" si="130"/>
        <v>12841303.86828579</v>
      </c>
      <c r="D4167" s="39">
        <f t="shared" si="131"/>
        <v>13191987.603260091</v>
      </c>
    </row>
    <row r="4168" spans="2:4" x14ac:dyDescent="0.25">
      <c r="B4168" s="90">
        <v>4164</v>
      </c>
      <c r="C4168" s="39">
        <f t="shared" si="130"/>
        <v>12843966.780576995</v>
      </c>
      <c r="D4168" s="39">
        <f t="shared" si="131"/>
        <v>13195156.468886623</v>
      </c>
    </row>
    <row r="4169" spans="2:4" x14ac:dyDescent="0.25">
      <c r="B4169" s="90">
        <v>4165</v>
      </c>
      <c r="C4169" s="39">
        <f t="shared" si="130"/>
        <v>12846629.692868199</v>
      </c>
      <c r="D4169" s="39">
        <f t="shared" si="131"/>
        <v>13198325.334513158</v>
      </c>
    </row>
    <row r="4170" spans="2:4" x14ac:dyDescent="0.25">
      <c r="B4170" s="90">
        <v>4166</v>
      </c>
      <c r="C4170" s="39">
        <f t="shared" si="130"/>
        <v>12849292.605159404</v>
      </c>
      <c r="D4170" s="39">
        <f t="shared" si="131"/>
        <v>13201494.200139692</v>
      </c>
    </row>
    <row r="4171" spans="2:4" x14ac:dyDescent="0.25">
      <c r="B4171" s="90">
        <v>4167</v>
      </c>
      <c r="C4171" s="39">
        <f t="shared" si="130"/>
        <v>12851955.517450608</v>
      </c>
      <c r="D4171" s="39">
        <f t="shared" si="131"/>
        <v>13204663.065766225</v>
      </c>
    </row>
    <row r="4172" spans="2:4" x14ac:dyDescent="0.25">
      <c r="B4172" s="90">
        <v>4168</v>
      </c>
      <c r="C4172" s="39">
        <f t="shared" si="130"/>
        <v>12854618.429741813</v>
      </c>
      <c r="D4172" s="39">
        <f t="shared" si="131"/>
        <v>13207831.931392759</v>
      </c>
    </row>
    <row r="4173" spans="2:4" x14ac:dyDescent="0.25">
      <c r="B4173" s="90">
        <v>4169</v>
      </c>
      <c r="C4173" s="39">
        <f t="shared" si="130"/>
        <v>12857281.342033017</v>
      </c>
      <c r="D4173" s="39">
        <f t="shared" si="131"/>
        <v>13211000.797019294</v>
      </c>
    </row>
    <row r="4174" spans="2:4" x14ac:dyDescent="0.25">
      <c r="B4174" s="90">
        <v>4170</v>
      </c>
      <c r="C4174" s="39">
        <f t="shared" si="130"/>
        <v>12859944.254324224</v>
      </c>
      <c r="D4174" s="39">
        <f t="shared" si="131"/>
        <v>13214169.662645826</v>
      </c>
    </row>
    <row r="4175" spans="2:4" x14ac:dyDescent="0.25">
      <c r="B4175" s="90">
        <v>4171</v>
      </c>
      <c r="C4175" s="39">
        <f t="shared" si="130"/>
        <v>12862607.166615428</v>
      </c>
      <c r="D4175" s="39">
        <f t="shared" si="131"/>
        <v>13217338.528272361</v>
      </c>
    </row>
    <row r="4176" spans="2:4" x14ac:dyDescent="0.25">
      <c r="B4176" s="90">
        <v>4172</v>
      </c>
      <c r="C4176" s="39">
        <f t="shared" si="130"/>
        <v>12865270.078906633</v>
      </c>
      <c r="D4176" s="39">
        <f t="shared" si="131"/>
        <v>13220507.393898893</v>
      </c>
    </row>
    <row r="4177" spans="2:4" x14ac:dyDescent="0.25">
      <c r="B4177" s="90">
        <v>4173</v>
      </c>
      <c r="C4177" s="39">
        <f t="shared" si="130"/>
        <v>12867932.991197838</v>
      </c>
      <c r="D4177" s="39">
        <f t="shared" si="131"/>
        <v>13223676.259525428</v>
      </c>
    </row>
    <row r="4178" spans="2:4" x14ac:dyDescent="0.25">
      <c r="B4178" s="90">
        <v>4174</v>
      </c>
      <c r="C4178" s="39">
        <f t="shared" si="130"/>
        <v>12870595.903489042</v>
      </c>
      <c r="D4178" s="39">
        <f t="shared" si="131"/>
        <v>13226845.125151962</v>
      </c>
    </row>
    <row r="4179" spans="2:4" x14ac:dyDescent="0.25">
      <c r="B4179" s="90">
        <v>4175</v>
      </c>
      <c r="C4179" s="39">
        <f t="shared" si="130"/>
        <v>12873258.815780247</v>
      </c>
      <c r="D4179" s="39">
        <f t="shared" si="131"/>
        <v>13230013.990778495</v>
      </c>
    </row>
    <row r="4180" spans="2:4" x14ac:dyDescent="0.25">
      <c r="B4180" s="90">
        <v>4176</v>
      </c>
      <c r="C4180" s="39">
        <f t="shared" si="130"/>
        <v>12875921.728071453</v>
      </c>
      <c r="D4180" s="39">
        <f t="shared" si="131"/>
        <v>13233182.856405029</v>
      </c>
    </row>
    <row r="4181" spans="2:4" x14ac:dyDescent="0.25">
      <c r="B4181" s="90">
        <v>4177</v>
      </c>
      <c r="C4181" s="39">
        <f t="shared" si="130"/>
        <v>12878584.640362658</v>
      </c>
      <c r="D4181" s="39">
        <f t="shared" si="131"/>
        <v>13236351.722031564</v>
      </c>
    </row>
    <row r="4182" spans="2:4" x14ac:dyDescent="0.25">
      <c r="B4182" s="90">
        <v>4178</v>
      </c>
      <c r="C4182" s="39">
        <f t="shared" si="130"/>
        <v>12881247.552653862</v>
      </c>
      <c r="D4182" s="39">
        <f t="shared" si="131"/>
        <v>13239520.587658096</v>
      </c>
    </row>
    <row r="4183" spans="2:4" x14ac:dyDescent="0.25">
      <c r="B4183" s="90">
        <v>4179</v>
      </c>
      <c r="C4183" s="39">
        <f t="shared" si="130"/>
        <v>12883910.464945067</v>
      </c>
      <c r="D4183" s="39">
        <f t="shared" si="131"/>
        <v>13242689.453284631</v>
      </c>
    </row>
    <row r="4184" spans="2:4" x14ac:dyDescent="0.25">
      <c r="B4184" s="90">
        <v>4180</v>
      </c>
      <c r="C4184" s="39">
        <f t="shared" si="130"/>
        <v>12886573.377236271</v>
      </c>
      <c r="D4184" s="39">
        <f t="shared" si="131"/>
        <v>13245858.318911165</v>
      </c>
    </row>
    <row r="4185" spans="2:4" x14ac:dyDescent="0.25">
      <c r="B4185" s="90">
        <v>4181</v>
      </c>
      <c r="C4185" s="39">
        <f t="shared" si="130"/>
        <v>12889236.289527476</v>
      </c>
      <c r="D4185" s="39">
        <f t="shared" si="131"/>
        <v>13249027.184537698</v>
      </c>
    </row>
    <row r="4186" spans="2:4" x14ac:dyDescent="0.25">
      <c r="B4186" s="90">
        <v>4182</v>
      </c>
      <c r="C4186" s="39">
        <f t="shared" si="130"/>
        <v>12891899.201818682</v>
      </c>
      <c r="D4186" s="39">
        <f t="shared" si="131"/>
        <v>13252196.050164232</v>
      </c>
    </row>
    <row r="4187" spans="2:4" x14ac:dyDescent="0.25">
      <c r="B4187" s="90">
        <v>4183</v>
      </c>
      <c r="C4187" s="39">
        <f t="shared" si="130"/>
        <v>12894562.114109887</v>
      </c>
      <c r="D4187" s="39">
        <f t="shared" si="131"/>
        <v>13255364.915790765</v>
      </c>
    </row>
    <row r="4188" spans="2:4" x14ac:dyDescent="0.25">
      <c r="B4188" s="90">
        <v>4184</v>
      </c>
      <c r="C4188" s="39">
        <f t="shared" si="130"/>
        <v>12897225.026401091</v>
      </c>
      <c r="D4188" s="39">
        <f t="shared" si="131"/>
        <v>13258533.781417299</v>
      </c>
    </row>
    <row r="4189" spans="2:4" x14ac:dyDescent="0.25">
      <c r="B4189" s="90">
        <v>4185</v>
      </c>
      <c r="C4189" s="39">
        <f t="shared" si="130"/>
        <v>12899887.938692296</v>
      </c>
      <c r="D4189" s="39">
        <f t="shared" si="131"/>
        <v>13261702.647043834</v>
      </c>
    </row>
    <row r="4190" spans="2:4" x14ac:dyDescent="0.25">
      <c r="B4190" s="90">
        <v>4186</v>
      </c>
      <c r="C4190" s="39">
        <f t="shared" si="130"/>
        <v>12902550.8509835</v>
      </c>
      <c r="D4190" s="39">
        <f t="shared" si="131"/>
        <v>13264871.512670366</v>
      </c>
    </row>
    <row r="4191" spans="2:4" x14ac:dyDescent="0.25">
      <c r="B4191" s="90">
        <v>4187</v>
      </c>
      <c r="C4191" s="39">
        <f t="shared" si="130"/>
        <v>12905213.763274705</v>
      </c>
      <c r="D4191" s="39">
        <f t="shared" si="131"/>
        <v>13268040.378296901</v>
      </c>
    </row>
    <row r="4192" spans="2:4" x14ac:dyDescent="0.25">
      <c r="B4192" s="90">
        <v>4188</v>
      </c>
      <c r="C4192" s="39">
        <f t="shared" si="130"/>
        <v>12907876.67556591</v>
      </c>
      <c r="D4192" s="39">
        <f t="shared" si="131"/>
        <v>13271209.243923435</v>
      </c>
    </row>
    <row r="4193" spans="2:4" x14ac:dyDescent="0.25">
      <c r="B4193" s="90">
        <v>4189</v>
      </c>
      <c r="C4193" s="39">
        <f t="shared" si="130"/>
        <v>12910539.587857116</v>
      </c>
      <c r="D4193" s="39">
        <f t="shared" si="131"/>
        <v>13274378.109549968</v>
      </c>
    </row>
    <row r="4194" spans="2:4" x14ac:dyDescent="0.25">
      <c r="B4194" s="90">
        <v>4190</v>
      </c>
      <c r="C4194" s="39">
        <f t="shared" si="130"/>
        <v>12913202.500148321</v>
      </c>
      <c r="D4194" s="39">
        <f t="shared" si="131"/>
        <v>13277546.975176502</v>
      </c>
    </row>
    <row r="4195" spans="2:4" x14ac:dyDescent="0.25">
      <c r="B4195" s="90">
        <v>4191</v>
      </c>
      <c r="C4195" s="39">
        <f t="shared" si="130"/>
        <v>12915865.412439525</v>
      </c>
      <c r="D4195" s="39">
        <f t="shared" si="131"/>
        <v>13280715.840803036</v>
      </c>
    </row>
    <row r="4196" spans="2:4" x14ac:dyDescent="0.25">
      <c r="B4196" s="90">
        <v>4192</v>
      </c>
      <c r="C4196" s="39">
        <f t="shared" si="130"/>
        <v>12918528.32473073</v>
      </c>
      <c r="D4196" s="39">
        <f t="shared" si="131"/>
        <v>13283884.706429569</v>
      </c>
    </row>
    <row r="4197" spans="2:4" x14ac:dyDescent="0.25">
      <c r="B4197" s="90">
        <v>4193</v>
      </c>
      <c r="C4197" s="39">
        <f t="shared" si="130"/>
        <v>12921191.237021934</v>
      </c>
      <c r="D4197" s="39">
        <f t="shared" si="131"/>
        <v>13287053.572056103</v>
      </c>
    </row>
    <row r="4198" spans="2:4" x14ac:dyDescent="0.25">
      <c r="B4198" s="90">
        <v>4194</v>
      </c>
      <c r="C4198" s="39">
        <f t="shared" si="130"/>
        <v>12923854.149313139</v>
      </c>
      <c r="D4198" s="39">
        <f t="shared" si="131"/>
        <v>13290222.437682636</v>
      </c>
    </row>
    <row r="4199" spans="2:4" x14ac:dyDescent="0.25">
      <c r="B4199" s="90">
        <v>4195</v>
      </c>
      <c r="C4199" s="39">
        <f t="shared" si="130"/>
        <v>12926517.061604345</v>
      </c>
      <c r="D4199" s="39">
        <f t="shared" si="131"/>
        <v>13293391.303309171</v>
      </c>
    </row>
    <row r="4200" spans="2:4" x14ac:dyDescent="0.25">
      <c r="B4200" s="90">
        <v>4196</v>
      </c>
      <c r="C4200" s="39">
        <f t="shared" si="130"/>
        <v>12929179.97389555</v>
      </c>
      <c r="D4200" s="39">
        <f t="shared" si="131"/>
        <v>13296560.168935705</v>
      </c>
    </row>
    <row r="4201" spans="2:4" x14ac:dyDescent="0.25">
      <c r="B4201" s="90">
        <v>4197</v>
      </c>
      <c r="C4201" s="39">
        <f t="shared" si="130"/>
        <v>12931842.886186754</v>
      </c>
      <c r="D4201" s="39">
        <f t="shared" si="131"/>
        <v>13299729.034562238</v>
      </c>
    </row>
    <row r="4202" spans="2:4" x14ac:dyDescent="0.25">
      <c r="B4202" s="90">
        <v>4198</v>
      </c>
      <c r="C4202" s="39">
        <f t="shared" si="130"/>
        <v>12934505.798477959</v>
      </c>
      <c r="D4202" s="39">
        <f t="shared" si="131"/>
        <v>13302897.900188772</v>
      </c>
    </row>
    <row r="4203" spans="2:4" x14ac:dyDescent="0.25">
      <c r="B4203" s="90">
        <v>4199</v>
      </c>
      <c r="C4203" s="39">
        <f t="shared" si="130"/>
        <v>12937168.710769163</v>
      </c>
      <c r="D4203" s="39">
        <f t="shared" si="131"/>
        <v>13306066.765815306</v>
      </c>
    </row>
    <row r="4204" spans="2:4" x14ac:dyDescent="0.25">
      <c r="B4204" s="90">
        <v>4200</v>
      </c>
      <c r="C4204" s="39">
        <f t="shared" si="130"/>
        <v>12939831.623060368</v>
      </c>
      <c r="D4204" s="39">
        <f t="shared" si="131"/>
        <v>13309235.631441839</v>
      </c>
    </row>
    <row r="4205" spans="2:4" x14ac:dyDescent="0.25">
      <c r="B4205" s="90">
        <v>4201</v>
      </c>
      <c r="C4205" s="39">
        <f t="shared" si="130"/>
        <v>12942494.535351574</v>
      </c>
      <c r="D4205" s="39">
        <f t="shared" si="131"/>
        <v>13312404.497068373</v>
      </c>
    </row>
    <row r="4206" spans="2:4" x14ac:dyDescent="0.25">
      <c r="B4206" s="90">
        <v>4202</v>
      </c>
      <c r="C4206" s="39">
        <f t="shared" si="130"/>
        <v>12945157.447642779</v>
      </c>
      <c r="D4206" s="39">
        <f t="shared" si="131"/>
        <v>13315573.362694908</v>
      </c>
    </row>
    <row r="4207" spans="2:4" x14ac:dyDescent="0.25">
      <c r="B4207" s="90">
        <v>4203</v>
      </c>
      <c r="C4207" s="39">
        <f t="shared" si="130"/>
        <v>12947820.359933984</v>
      </c>
      <c r="D4207" s="39">
        <f t="shared" si="131"/>
        <v>13318742.228321441</v>
      </c>
    </row>
    <row r="4208" spans="2:4" x14ac:dyDescent="0.25">
      <c r="B4208" s="90">
        <v>4204</v>
      </c>
      <c r="C4208" s="39">
        <f t="shared" si="130"/>
        <v>12950483.272225188</v>
      </c>
      <c r="D4208" s="39">
        <f t="shared" si="131"/>
        <v>13321911.093947975</v>
      </c>
    </row>
    <row r="4209" spans="2:4" x14ac:dyDescent="0.25">
      <c r="B4209" s="90">
        <v>4205</v>
      </c>
      <c r="C4209" s="39">
        <f t="shared" ref="C4209:C4272" si="132">($C$2*B4209)+$C$1</f>
        <v>12953146.184516393</v>
      </c>
      <c r="D4209" s="39">
        <f t="shared" ref="D4209:D4272" si="133">$D$2*B4209</f>
        <v>13325079.959574508</v>
      </c>
    </row>
    <row r="4210" spans="2:4" x14ac:dyDescent="0.25">
      <c r="B4210" s="90">
        <v>4206</v>
      </c>
      <c r="C4210" s="39">
        <f t="shared" si="132"/>
        <v>12955809.096807597</v>
      </c>
      <c r="D4210" s="39">
        <f t="shared" si="133"/>
        <v>13328248.825201042</v>
      </c>
    </row>
    <row r="4211" spans="2:4" x14ac:dyDescent="0.25">
      <c r="B4211" s="90">
        <v>4207</v>
      </c>
      <c r="C4211" s="39">
        <f t="shared" si="132"/>
        <v>12958472.009098802</v>
      </c>
      <c r="D4211" s="39">
        <f t="shared" si="133"/>
        <v>13331417.690827576</v>
      </c>
    </row>
    <row r="4212" spans="2:4" x14ac:dyDescent="0.25">
      <c r="B4212" s="90">
        <v>4208</v>
      </c>
      <c r="C4212" s="39">
        <f t="shared" si="132"/>
        <v>12961134.921390008</v>
      </c>
      <c r="D4212" s="39">
        <f t="shared" si="133"/>
        <v>13334586.556454109</v>
      </c>
    </row>
    <row r="4213" spans="2:4" x14ac:dyDescent="0.25">
      <c r="B4213" s="90">
        <v>4209</v>
      </c>
      <c r="C4213" s="39">
        <f t="shared" si="132"/>
        <v>12963797.833681213</v>
      </c>
      <c r="D4213" s="39">
        <f t="shared" si="133"/>
        <v>13337755.422080643</v>
      </c>
    </row>
    <row r="4214" spans="2:4" x14ac:dyDescent="0.25">
      <c r="B4214" s="90">
        <v>4210</v>
      </c>
      <c r="C4214" s="39">
        <f t="shared" si="132"/>
        <v>12966460.745972417</v>
      </c>
      <c r="D4214" s="39">
        <f t="shared" si="133"/>
        <v>13340924.287707178</v>
      </c>
    </row>
    <row r="4215" spans="2:4" x14ac:dyDescent="0.25">
      <c r="B4215" s="90">
        <v>4211</v>
      </c>
      <c r="C4215" s="39">
        <f t="shared" si="132"/>
        <v>12969123.658263622</v>
      </c>
      <c r="D4215" s="39">
        <f t="shared" si="133"/>
        <v>13344093.153333711</v>
      </c>
    </row>
    <row r="4216" spans="2:4" x14ac:dyDescent="0.25">
      <c r="B4216" s="90">
        <v>4212</v>
      </c>
      <c r="C4216" s="39">
        <f t="shared" si="132"/>
        <v>12971786.570554826</v>
      </c>
      <c r="D4216" s="39">
        <f t="shared" si="133"/>
        <v>13347262.018960245</v>
      </c>
    </row>
    <row r="4217" spans="2:4" x14ac:dyDescent="0.25">
      <c r="B4217" s="90">
        <v>4213</v>
      </c>
      <c r="C4217" s="39">
        <f t="shared" si="132"/>
        <v>12974449.482846031</v>
      </c>
      <c r="D4217" s="39">
        <f t="shared" si="133"/>
        <v>13350430.884586779</v>
      </c>
    </row>
    <row r="4218" spans="2:4" x14ac:dyDescent="0.25">
      <c r="B4218" s="90">
        <v>4214</v>
      </c>
      <c r="C4218" s="39">
        <f t="shared" si="132"/>
        <v>12977112.395137237</v>
      </c>
      <c r="D4218" s="39">
        <f t="shared" si="133"/>
        <v>13353599.750213312</v>
      </c>
    </row>
    <row r="4219" spans="2:4" x14ac:dyDescent="0.25">
      <c r="B4219" s="90">
        <v>4215</v>
      </c>
      <c r="C4219" s="39">
        <f t="shared" si="132"/>
        <v>12979775.307428442</v>
      </c>
      <c r="D4219" s="39">
        <f t="shared" si="133"/>
        <v>13356768.615839846</v>
      </c>
    </row>
    <row r="4220" spans="2:4" x14ac:dyDescent="0.25">
      <c r="B4220" s="90">
        <v>4216</v>
      </c>
      <c r="C4220" s="39">
        <f t="shared" si="132"/>
        <v>12982438.219719646</v>
      </c>
      <c r="D4220" s="39">
        <f t="shared" si="133"/>
        <v>13359937.481466379</v>
      </c>
    </row>
    <row r="4221" spans="2:4" x14ac:dyDescent="0.25">
      <c r="B4221" s="90">
        <v>4217</v>
      </c>
      <c r="C4221" s="39">
        <f t="shared" si="132"/>
        <v>12985101.132010851</v>
      </c>
      <c r="D4221" s="39">
        <f t="shared" si="133"/>
        <v>13363106.347092913</v>
      </c>
    </row>
    <row r="4222" spans="2:4" x14ac:dyDescent="0.25">
      <c r="B4222" s="90">
        <v>4218</v>
      </c>
      <c r="C4222" s="39">
        <f t="shared" si="132"/>
        <v>12987764.044302056</v>
      </c>
      <c r="D4222" s="39">
        <f t="shared" si="133"/>
        <v>13366275.212719448</v>
      </c>
    </row>
    <row r="4223" spans="2:4" x14ac:dyDescent="0.25">
      <c r="B4223" s="90">
        <v>4219</v>
      </c>
      <c r="C4223" s="39">
        <f t="shared" si="132"/>
        <v>12990426.95659326</v>
      </c>
      <c r="D4223" s="39">
        <f t="shared" si="133"/>
        <v>13369444.07834598</v>
      </c>
    </row>
    <row r="4224" spans="2:4" x14ac:dyDescent="0.25">
      <c r="B4224" s="90">
        <v>4220</v>
      </c>
      <c r="C4224" s="39">
        <f t="shared" si="132"/>
        <v>12993089.868884465</v>
      </c>
      <c r="D4224" s="39">
        <f t="shared" si="133"/>
        <v>13372612.943972515</v>
      </c>
    </row>
    <row r="4225" spans="2:4" x14ac:dyDescent="0.25">
      <c r="B4225" s="90">
        <v>4221</v>
      </c>
      <c r="C4225" s="39">
        <f t="shared" si="132"/>
        <v>12995752.781175671</v>
      </c>
      <c r="D4225" s="39">
        <f t="shared" si="133"/>
        <v>13375781.809599049</v>
      </c>
    </row>
    <row r="4226" spans="2:4" x14ac:dyDescent="0.25">
      <c r="B4226" s="90">
        <v>4222</v>
      </c>
      <c r="C4226" s="39">
        <f t="shared" si="132"/>
        <v>12998415.693466876</v>
      </c>
      <c r="D4226" s="39">
        <f t="shared" si="133"/>
        <v>13378950.675225582</v>
      </c>
    </row>
    <row r="4227" spans="2:4" x14ac:dyDescent="0.25">
      <c r="B4227" s="90">
        <v>4223</v>
      </c>
      <c r="C4227" s="39">
        <f t="shared" si="132"/>
        <v>13001078.60575808</v>
      </c>
      <c r="D4227" s="39">
        <f t="shared" si="133"/>
        <v>13382119.540852116</v>
      </c>
    </row>
    <row r="4228" spans="2:4" x14ac:dyDescent="0.25">
      <c r="B4228" s="90">
        <v>4224</v>
      </c>
      <c r="C4228" s="39">
        <f t="shared" si="132"/>
        <v>13003741.518049285</v>
      </c>
      <c r="D4228" s="39">
        <f t="shared" si="133"/>
        <v>13385288.406478651</v>
      </c>
    </row>
    <row r="4229" spans="2:4" x14ac:dyDescent="0.25">
      <c r="B4229" s="90">
        <v>4225</v>
      </c>
      <c r="C4229" s="39">
        <f t="shared" si="132"/>
        <v>13006404.430340489</v>
      </c>
      <c r="D4229" s="39">
        <f t="shared" si="133"/>
        <v>13388457.272105183</v>
      </c>
    </row>
    <row r="4230" spans="2:4" x14ac:dyDescent="0.25">
      <c r="B4230" s="90">
        <v>4226</v>
      </c>
      <c r="C4230" s="39">
        <f t="shared" si="132"/>
        <v>13009067.342631694</v>
      </c>
      <c r="D4230" s="39">
        <f t="shared" si="133"/>
        <v>13391626.137731718</v>
      </c>
    </row>
    <row r="4231" spans="2:4" x14ac:dyDescent="0.25">
      <c r="B4231" s="90">
        <v>4227</v>
      </c>
      <c r="C4231" s="39">
        <f t="shared" si="132"/>
        <v>13011730.2549229</v>
      </c>
      <c r="D4231" s="39">
        <f t="shared" si="133"/>
        <v>13394795.00335825</v>
      </c>
    </row>
    <row r="4232" spans="2:4" x14ac:dyDescent="0.25">
      <c r="B4232" s="90">
        <v>4228</v>
      </c>
      <c r="C4232" s="39">
        <f t="shared" si="132"/>
        <v>13014393.167214105</v>
      </c>
      <c r="D4232" s="39">
        <f t="shared" si="133"/>
        <v>13397963.868984785</v>
      </c>
    </row>
    <row r="4233" spans="2:4" x14ac:dyDescent="0.25">
      <c r="B4233" s="90">
        <v>4229</v>
      </c>
      <c r="C4233" s="39">
        <f t="shared" si="132"/>
        <v>13017056.079505309</v>
      </c>
      <c r="D4233" s="39">
        <f t="shared" si="133"/>
        <v>13401132.734611319</v>
      </c>
    </row>
    <row r="4234" spans="2:4" x14ac:dyDescent="0.25">
      <c r="B4234" s="90">
        <v>4230</v>
      </c>
      <c r="C4234" s="39">
        <f t="shared" si="132"/>
        <v>13019718.991796514</v>
      </c>
      <c r="D4234" s="39">
        <f t="shared" si="133"/>
        <v>13404301.600237852</v>
      </c>
    </row>
    <row r="4235" spans="2:4" x14ac:dyDescent="0.25">
      <c r="B4235" s="90">
        <v>4231</v>
      </c>
      <c r="C4235" s="39">
        <f t="shared" si="132"/>
        <v>13022381.904087719</v>
      </c>
      <c r="D4235" s="39">
        <f t="shared" si="133"/>
        <v>13407470.465864386</v>
      </c>
    </row>
    <row r="4236" spans="2:4" x14ac:dyDescent="0.25">
      <c r="B4236" s="90">
        <v>4232</v>
      </c>
      <c r="C4236" s="39">
        <f t="shared" si="132"/>
        <v>13025044.816378923</v>
      </c>
      <c r="D4236" s="39">
        <f t="shared" si="133"/>
        <v>13410639.331490921</v>
      </c>
    </row>
    <row r="4237" spans="2:4" x14ac:dyDescent="0.25">
      <c r="B4237" s="90">
        <v>4233</v>
      </c>
      <c r="C4237" s="39">
        <f t="shared" si="132"/>
        <v>13027707.72867013</v>
      </c>
      <c r="D4237" s="39">
        <f t="shared" si="133"/>
        <v>13413808.197117453</v>
      </c>
    </row>
    <row r="4238" spans="2:4" x14ac:dyDescent="0.25">
      <c r="B4238" s="90">
        <v>4234</v>
      </c>
      <c r="C4238" s="39">
        <f t="shared" si="132"/>
        <v>13030370.640961334</v>
      </c>
      <c r="D4238" s="39">
        <f t="shared" si="133"/>
        <v>13416977.062743988</v>
      </c>
    </row>
    <row r="4239" spans="2:4" x14ac:dyDescent="0.25">
      <c r="B4239" s="90">
        <v>4235</v>
      </c>
      <c r="C4239" s="39">
        <f t="shared" si="132"/>
        <v>13033033.553252539</v>
      </c>
      <c r="D4239" s="39">
        <f t="shared" si="133"/>
        <v>13420145.928370522</v>
      </c>
    </row>
    <row r="4240" spans="2:4" x14ac:dyDescent="0.25">
      <c r="B4240" s="90">
        <v>4236</v>
      </c>
      <c r="C4240" s="39">
        <f t="shared" si="132"/>
        <v>13035696.465543743</v>
      </c>
      <c r="D4240" s="39">
        <f t="shared" si="133"/>
        <v>13423314.793997055</v>
      </c>
    </row>
    <row r="4241" spans="2:4" x14ac:dyDescent="0.25">
      <c r="B4241" s="90">
        <v>4237</v>
      </c>
      <c r="C4241" s="39">
        <f t="shared" si="132"/>
        <v>13038359.377834948</v>
      </c>
      <c r="D4241" s="39">
        <f t="shared" si="133"/>
        <v>13426483.659623589</v>
      </c>
    </row>
    <row r="4242" spans="2:4" x14ac:dyDescent="0.25">
      <c r="B4242" s="90">
        <v>4238</v>
      </c>
      <c r="C4242" s="39">
        <f t="shared" si="132"/>
        <v>13041022.290126152</v>
      </c>
      <c r="D4242" s="39">
        <f t="shared" si="133"/>
        <v>13429652.525250122</v>
      </c>
    </row>
    <row r="4243" spans="2:4" x14ac:dyDescent="0.25">
      <c r="B4243" s="90">
        <v>4239</v>
      </c>
      <c r="C4243" s="39">
        <f t="shared" si="132"/>
        <v>13043685.202417357</v>
      </c>
      <c r="D4243" s="39">
        <f t="shared" si="133"/>
        <v>13432821.390876656</v>
      </c>
    </row>
    <row r="4244" spans="2:4" x14ac:dyDescent="0.25">
      <c r="B4244" s="90">
        <v>4240</v>
      </c>
      <c r="C4244" s="39">
        <f t="shared" si="132"/>
        <v>13046348.114708563</v>
      </c>
      <c r="D4244" s="39">
        <f t="shared" si="133"/>
        <v>13435990.256503191</v>
      </c>
    </row>
    <row r="4245" spans="2:4" x14ac:dyDescent="0.25">
      <c r="B4245" s="90">
        <v>4241</v>
      </c>
      <c r="C4245" s="39">
        <f t="shared" si="132"/>
        <v>13049011.026999768</v>
      </c>
      <c r="D4245" s="39">
        <f t="shared" si="133"/>
        <v>13439159.122129723</v>
      </c>
    </row>
    <row r="4246" spans="2:4" x14ac:dyDescent="0.25">
      <c r="B4246" s="90">
        <v>4242</v>
      </c>
      <c r="C4246" s="39">
        <f t="shared" si="132"/>
        <v>13051673.939290972</v>
      </c>
      <c r="D4246" s="39">
        <f t="shared" si="133"/>
        <v>13442327.987756258</v>
      </c>
    </row>
    <row r="4247" spans="2:4" x14ac:dyDescent="0.25">
      <c r="B4247" s="90">
        <v>4243</v>
      </c>
      <c r="C4247" s="39">
        <f t="shared" si="132"/>
        <v>13054336.851582177</v>
      </c>
      <c r="D4247" s="39">
        <f t="shared" si="133"/>
        <v>13445496.853382792</v>
      </c>
    </row>
    <row r="4248" spans="2:4" x14ac:dyDescent="0.25">
      <c r="B4248" s="90">
        <v>4244</v>
      </c>
      <c r="C4248" s="39">
        <f t="shared" si="132"/>
        <v>13056999.763873382</v>
      </c>
      <c r="D4248" s="39">
        <f t="shared" si="133"/>
        <v>13448665.719009325</v>
      </c>
    </row>
    <row r="4249" spans="2:4" x14ac:dyDescent="0.25">
      <c r="B4249" s="90">
        <v>4245</v>
      </c>
      <c r="C4249" s="39">
        <f t="shared" si="132"/>
        <v>13059662.676164586</v>
      </c>
      <c r="D4249" s="39">
        <f t="shared" si="133"/>
        <v>13451834.584635859</v>
      </c>
    </row>
    <row r="4250" spans="2:4" x14ac:dyDescent="0.25">
      <c r="B4250" s="90">
        <v>4246</v>
      </c>
      <c r="C4250" s="39">
        <f t="shared" si="132"/>
        <v>13062325.588455793</v>
      </c>
      <c r="D4250" s="39">
        <f t="shared" si="133"/>
        <v>13455003.450262394</v>
      </c>
    </row>
    <row r="4251" spans="2:4" x14ac:dyDescent="0.25">
      <c r="B4251" s="90">
        <v>4247</v>
      </c>
      <c r="C4251" s="39">
        <f t="shared" si="132"/>
        <v>13064988.500746997</v>
      </c>
      <c r="D4251" s="39">
        <f t="shared" si="133"/>
        <v>13458172.315888926</v>
      </c>
    </row>
    <row r="4252" spans="2:4" x14ac:dyDescent="0.25">
      <c r="B4252" s="90">
        <v>4248</v>
      </c>
      <c r="C4252" s="39">
        <f t="shared" si="132"/>
        <v>13067651.413038202</v>
      </c>
      <c r="D4252" s="39">
        <f t="shared" si="133"/>
        <v>13461341.181515461</v>
      </c>
    </row>
    <row r="4253" spans="2:4" x14ac:dyDescent="0.25">
      <c r="B4253" s="90">
        <v>4249</v>
      </c>
      <c r="C4253" s="39">
        <f t="shared" si="132"/>
        <v>13070314.325329406</v>
      </c>
      <c r="D4253" s="39">
        <f t="shared" si="133"/>
        <v>13464510.047141993</v>
      </c>
    </row>
    <row r="4254" spans="2:4" x14ac:dyDescent="0.25">
      <c r="B4254" s="90">
        <v>4250</v>
      </c>
      <c r="C4254" s="39">
        <f t="shared" si="132"/>
        <v>13072977.237620611</v>
      </c>
      <c r="D4254" s="39">
        <f t="shared" si="133"/>
        <v>13467678.912768528</v>
      </c>
    </row>
    <row r="4255" spans="2:4" x14ac:dyDescent="0.25">
      <c r="B4255" s="90">
        <v>4251</v>
      </c>
      <c r="C4255" s="39">
        <f t="shared" si="132"/>
        <v>13075640.149911815</v>
      </c>
      <c r="D4255" s="39">
        <f t="shared" si="133"/>
        <v>13470847.778395062</v>
      </c>
    </row>
    <row r="4256" spans="2:4" x14ac:dyDescent="0.25">
      <c r="B4256" s="90">
        <v>4252</v>
      </c>
      <c r="C4256" s="39">
        <f t="shared" si="132"/>
        <v>13078303.062203022</v>
      </c>
      <c r="D4256" s="39">
        <f t="shared" si="133"/>
        <v>13474016.644021595</v>
      </c>
    </row>
    <row r="4257" spans="2:4" x14ac:dyDescent="0.25">
      <c r="B4257" s="90">
        <v>4253</v>
      </c>
      <c r="C4257" s="39">
        <f t="shared" si="132"/>
        <v>13080965.974494226</v>
      </c>
      <c r="D4257" s="39">
        <f t="shared" si="133"/>
        <v>13477185.509648129</v>
      </c>
    </row>
    <row r="4258" spans="2:4" x14ac:dyDescent="0.25">
      <c r="B4258" s="90">
        <v>4254</v>
      </c>
      <c r="C4258" s="39">
        <f t="shared" si="132"/>
        <v>13083628.886785431</v>
      </c>
      <c r="D4258" s="39">
        <f t="shared" si="133"/>
        <v>13480354.375274664</v>
      </c>
    </row>
    <row r="4259" spans="2:4" x14ac:dyDescent="0.25">
      <c r="B4259" s="90">
        <v>4255</v>
      </c>
      <c r="C4259" s="39">
        <f t="shared" si="132"/>
        <v>13086291.799076635</v>
      </c>
      <c r="D4259" s="39">
        <f t="shared" si="133"/>
        <v>13483523.240901196</v>
      </c>
    </row>
    <row r="4260" spans="2:4" x14ac:dyDescent="0.25">
      <c r="B4260" s="90">
        <v>4256</v>
      </c>
      <c r="C4260" s="39">
        <f t="shared" si="132"/>
        <v>13088954.71136784</v>
      </c>
      <c r="D4260" s="39">
        <f t="shared" si="133"/>
        <v>13486692.106527731</v>
      </c>
    </row>
    <row r="4261" spans="2:4" x14ac:dyDescent="0.25">
      <c r="B4261" s="90">
        <v>4257</v>
      </c>
      <c r="C4261" s="39">
        <f t="shared" si="132"/>
        <v>13091617.623659045</v>
      </c>
      <c r="D4261" s="39">
        <f t="shared" si="133"/>
        <v>13489860.972154265</v>
      </c>
    </row>
    <row r="4262" spans="2:4" x14ac:dyDescent="0.25">
      <c r="B4262" s="90">
        <v>4258</v>
      </c>
      <c r="C4262" s="39">
        <f t="shared" si="132"/>
        <v>13094280.535950249</v>
      </c>
      <c r="D4262" s="39">
        <f t="shared" si="133"/>
        <v>13493029.837780798</v>
      </c>
    </row>
    <row r="4263" spans="2:4" x14ac:dyDescent="0.25">
      <c r="B4263" s="90">
        <v>4259</v>
      </c>
      <c r="C4263" s="39">
        <f t="shared" si="132"/>
        <v>13096943.448241455</v>
      </c>
      <c r="D4263" s="39">
        <f t="shared" si="133"/>
        <v>13496198.703407332</v>
      </c>
    </row>
    <row r="4264" spans="2:4" x14ac:dyDescent="0.25">
      <c r="B4264" s="90">
        <v>4260</v>
      </c>
      <c r="C4264" s="39">
        <f t="shared" si="132"/>
        <v>13099606.36053266</v>
      </c>
      <c r="D4264" s="39">
        <f t="shared" si="133"/>
        <v>13499367.569033867</v>
      </c>
    </row>
    <row r="4265" spans="2:4" x14ac:dyDescent="0.25">
      <c r="B4265" s="90">
        <v>4261</v>
      </c>
      <c r="C4265" s="39">
        <f t="shared" si="132"/>
        <v>13102269.272823865</v>
      </c>
      <c r="D4265" s="39">
        <f t="shared" si="133"/>
        <v>13502536.434660399</v>
      </c>
    </row>
    <row r="4266" spans="2:4" x14ac:dyDescent="0.25">
      <c r="B4266" s="90">
        <v>4262</v>
      </c>
      <c r="C4266" s="39">
        <f t="shared" si="132"/>
        <v>13104932.185115069</v>
      </c>
      <c r="D4266" s="39">
        <f t="shared" si="133"/>
        <v>13505705.300286934</v>
      </c>
    </row>
    <row r="4267" spans="2:4" x14ac:dyDescent="0.25">
      <c r="B4267" s="90">
        <v>4263</v>
      </c>
      <c r="C4267" s="39">
        <f t="shared" si="132"/>
        <v>13107595.097406274</v>
      </c>
      <c r="D4267" s="39">
        <f t="shared" si="133"/>
        <v>13508874.165913466</v>
      </c>
    </row>
    <row r="4268" spans="2:4" x14ac:dyDescent="0.25">
      <c r="B4268" s="90">
        <v>4264</v>
      </c>
      <c r="C4268" s="39">
        <f t="shared" si="132"/>
        <v>13110258.009697478</v>
      </c>
      <c r="D4268" s="39">
        <f t="shared" si="133"/>
        <v>13512043.031540001</v>
      </c>
    </row>
    <row r="4269" spans="2:4" x14ac:dyDescent="0.25">
      <c r="B4269" s="90">
        <v>4265</v>
      </c>
      <c r="C4269" s="39">
        <f t="shared" si="132"/>
        <v>13112920.921988685</v>
      </c>
      <c r="D4269" s="39">
        <f t="shared" si="133"/>
        <v>13515211.897166535</v>
      </c>
    </row>
    <row r="4270" spans="2:4" x14ac:dyDescent="0.25">
      <c r="B4270" s="90">
        <v>4266</v>
      </c>
      <c r="C4270" s="39">
        <f t="shared" si="132"/>
        <v>13115583.834279889</v>
      </c>
      <c r="D4270" s="39">
        <f t="shared" si="133"/>
        <v>13518380.762793068</v>
      </c>
    </row>
    <row r="4271" spans="2:4" x14ac:dyDescent="0.25">
      <c r="B4271" s="90">
        <v>4267</v>
      </c>
      <c r="C4271" s="39">
        <f t="shared" si="132"/>
        <v>13118246.746571094</v>
      </c>
      <c r="D4271" s="39">
        <f t="shared" si="133"/>
        <v>13521549.628419602</v>
      </c>
    </row>
    <row r="4272" spans="2:4" x14ac:dyDescent="0.25">
      <c r="B4272" s="90">
        <v>4268</v>
      </c>
      <c r="C4272" s="39">
        <f t="shared" si="132"/>
        <v>13120909.658862298</v>
      </c>
      <c r="D4272" s="39">
        <f t="shared" si="133"/>
        <v>13524718.494046137</v>
      </c>
    </row>
    <row r="4273" spans="2:4" x14ac:dyDescent="0.25">
      <c r="B4273" s="90">
        <v>4269</v>
      </c>
      <c r="C4273" s="39">
        <f t="shared" ref="C4273:C4336" si="134">($C$2*B4273)+$C$1</f>
        <v>13123572.571153503</v>
      </c>
      <c r="D4273" s="39">
        <f t="shared" ref="D4273:D4336" si="135">$D$2*B4273</f>
        <v>13527887.359672669</v>
      </c>
    </row>
    <row r="4274" spans="2:4" x14ac:dyDescent="0.25">
      <c r="B4274" s="90">
        <v>4270</v>
      </c>
      <c r="C4274" s="39">
        <f t="shared" si="134"/>
        <v>13126235.483444707</v>
      </c>
      <c r="D4274" s="39">
        <f t="shared" si="135"/>
        <v>13531056.225299204</v>
      </c>
    </row>
    <row r="4275" spans="2:4" x14ac:dyDescent="0.25">
      <c r="B4275" s="90">
        <v>4271</v>
      </c>
      <c r="C4275" s="39">
        <f t="shared" si="134"/>
        <v>13128898.395735914</v>
      </c>
      <c r="D4275" s="39">
        <f t="shared" si="135"/>
        <v>13534225.090925738</v>
      </c>
    </row>
    <row r="4276" spans="2:4" x14ac:dyDescent="0.25">
      <c r="B4276" s="90">
        <v>4272</v>
      </c>
      <c r="C4276" s="39">
        <f t="shared" si="134"/>
        <v>13131561.308027118</v>
      </c>
      <c r="D4276" s="39">
        <f t="shared" si="135"/>
        <v>13537393.956552271</v>
      </c>
    </row>
    <row r="4277" spans="2:4" x14ac:dyDescent="0.25">
      <c r="B4277" s="90">
        <v>4273</v>
      </c>
      <c r="C4277" s="39">
        <f t="shared" si="134"/>
        <v>13134224.220318323</v>
      </c>
      <c r="D4277" s="39">
        <f t="shared" si="135"/>
        <v>13540562.822178805</v>
      </c>
    </row>
    <row r="4278" spans="2:4" x14ac:dyDescent="0.25">
      <c r="B4278" s="90">
        <v>4274</v>
      </c>
      <c r="C4278" s="39">
        <f t="shared" si="134"/>
        <v>13136887.132609528</v>
      </c>
      <c r="D4278" s="39">
        <f t="shared" si="135"/>
        <v>13543731.687805338</v>
      </c>
    </row>
    <row r="4279" spans="2:4" x14ac:dyDescent="0.25">
      <c r="B4279" s="90">
        <v>4275</v>
      </c>
      <c r="C4279" s="39">
        <f t="shared" si="134"/>
        <v>13139550.044900732</v>
      </c>
      <c r="D4279" s="39">
        <f t="shared" si="135"/>
        <v>13546900.553431872</v>
      </c>
    </row>
    <row r="4280" spans="2:4" x14ac:dyDescent="0.25">
      <c r="B4280" s="90">
        <v>4276</v>
      </c>
      <c r="C4280" s="39">
        <f t="shared" si="134"/>
        <v>13142212.957191937</v>
      </c>
      <c r="D4280" s="39">
        <f t="shared" si="135"/>
        <v>13550069.419058407</v>
      </c>
    </row>
    <row r="4281" spans="2:4" x14ac:dyDescent="0.25">
      <c r="B4281" s="90">
        <v>4277</v>
      </c>
      <c r="C4281" s="39">
        <f t="shared" si="134"/>
        <v>13144875.869483141</v>
      </c>
      <c r="D4281" s="39">
        <f t="shared" si="135"/>
        <v>13553238.284684939</v>
      </c>
    </row>
    <row r="4282" spans="2:4" x14ac:dyDescent="0.25">
      <c r="B4282" s="90">
        <v>4278</v>
      </c>
      <c r="C4282" s="39">
        <f t="shared" si="134"/>
        <v>13147538.781774348</v>
      </c>
      <c r="D4282" s="39">
        <f t="shared" si="135"/>
        <v>13556407.150311474</v>
      </c>
    </row>
    <row r="4283" spans="2:4" x14ac:dyDescent="0.25">
      <c r="B4283" s="90">
        <v>4279</v>
      </c>
      <c r="C4283" s="39">
        <f t="shared" si="134"/>
        <v>13150201.694065552</v>
      </c>
      <c r="D4283" s="39">
        <f t="shared" si="135"/>
        <v>13559576.015938008</v>
      </c>
    </row>
    <row r="4284" spans="2:4" x14ac:dyDescent="0.25">
      <c r="B4284" s="90">
        <v>4280</v>
      </c>
      <c r="C4284" s="39">
        <f t="shared" si="134"/>
        <v>13152864.606356757</v>
      </c>
      <c r="D4284" s="39">
        <f t="shared" si="135"/>
        <v>13562744.881564541</v>
      </c>
    </row>
    <row r="4285" spans="2:4" x14ac:dyDescent="0.25">
      <c r="B4285" s="90">
        <v>4281</v>
      </c>
      <c r="C4285" s="39">
        <f t="shared" si="134"/>
        <v>13155527.518647961</v>
      </c>
      <c r="D4285" s="39">
        <f t="shared" si="135"/>
        <v>13565913.747191075</v>
      </c>
    </row>
    <row r="4286" spans="2:4" x14ac:dyDescent="0.25">
      <c r="B4286" s="90">
        <v>4282</v>
      </c>
      <c r="C4286" s="39">
        <f t="shared" si="134"/>
        <v>13158190.430939166</v>
      </c>
      <c r="D4286" s="39">
        <f t="shared" si="135"/>
        <v>13569082.61281761</v>
      </c>
    </row>
    <row r="4287" spans="2:4" x14ac:dyDescent="0.25">
      <c r="B4287" s="90">
        <v>4283</v>
      </c>
      <c r="C4287" s="39">
        <f t="shared" si="134"/>
        <v>13160853.34323037</v>
      </c>
      <c r="D4287" s="39">
        <f t="shared" si="135"/>
        <v>13572251.478444142</v>
      </c>
    </row>
    <row r="4288" spans="2:4" x14ac:dyDescent="0.25">
      <c r="B4288" s="90">
        <v>4284</v>
      </c>
      <c r="C4288" s="39">
        <f t="shared" si="134"/>
        <v>13163516.255521577</v>
      </c>
      <c r="D4288" s="39">
        <f t="shared" si="135"/>
        <v>13575420.344070677</v>
      </c>
    </row>
    <row r="4289" spans="2:4" x14ac:dyDescent="0.25">
      <c r="B4289" s="90">
        <v>4285</v>
      </c>
      <c r="C4289" s="39">
        <f t="shared" si="134"/>
        <v>13166179.167812781</v>
      </c>
      <c r="D4289" s="39">
        <f t="shared" si="135"/>
        <v>13578589.209697209</v>
      </c>
    </row>
    <row r="4290" spans="2:4" x14ac:dyDescent="0.25">
      <c r="B4290" s="90">
        <v>4286</v>
      </c>
      <c r="C4290" s="39">
        <f t="shared" si="134"/>
        <v>13168842.080103986</v>
      </c>
      <c r="D4290" s="39">
        <f t="shared" si="135"/>
        <v>13581758.075323744</v>
      </c>
    </row>
    <row r="4291" spans="2:4" x14ac:dyDescent="0.25">
      <c r="B4291" s="90">
        <v>4287</v>
      </c>
      <c r="C4291" s="39">
        <f t="shared" si="134"/>
        <v>13171504.992395191</v>
      </c>
      <c r="D4291" s="39">
        <f t="shared" si="135"/>
        <v>13584926.940950278</v>
      </c>
    </row>
    <row r="4292" spans="2:4" x14ac:dyDescent="0.25">
      <c r="B4292" s="90">
        <v>4288</v>
      </c>
      <c r="C4292" s="39">
        <f t="shared" si="134"/>
        <v>13174167.904686395</v>
      </c>
      <c r="D4292" s="39">
        <f t="shared" si="135"/>
        <v>13588095.806576811</v>
      </c>
    </row>
    <row r="4293" spans="2:4" x14ac:dyDescent="0.25">
      <c r="B4293" s="90">
        <v>4289</v>
      </c>
      <c r="C4293" s="39">
        <f t="shared" si="134"/>
        <v>13176830.8169776</v>
      </c>
      <c r="D4293" s="39">
        <f t="shared" si="135"/>
        <v>13591264.672203345</v>
      </c>
    </row>
    <row r="4294" spans="2:4" x14ac:dyDescent="0.25">
      <c r="B4294" s="90">
        <v>4290</v>
      </c>
      <c r="C4294" s="39">
        <f t="shared" si="134"/>
        <v>13179493.729268806</v>
      </c>
      <c r="D4294" s="39">
        <f t="shared" si="135"/>
        <v>13594433.53782988</v>
      </c>
    </row>
    <row r="4295" spans="2:4" x14ac:dyDescent="0.25">
      <c r="B4295" s="90">
        <v>4291</v>
      </c>
      <c r="C4295" s="39">
        <f t="shared" si="134"/>
        <v>13182156.641560011</v>
      </c>
      <c r="D4295" s="39">
        <f t="shared" si="135"/>
        <v>13597602.403456412</v>
      </c>
    </row>
    <row r="4296" spans="2:4" x14ac:dyDescent="0.25">
      <c r="B4296" s="90">
        <v>4292</v>
      </c>
      <c r="C4296" s="39">
        <f t="shared" si="134"/>
        <v>13184819.553851215</v>
      </c>
      <c r="D4296" s="39">
        <f t="shared" si="135"/>
        <v>13600771.269082947</v>
      </c>
    </row>
    <row r="4297" spans="2:4" x14ac:dyDescent="0.25">
      <c r="B4297" s="90">
        <v>4293</v>
      </c>
      <c r="C4297" s="39">
        <f t="shared" si="134"/>
        <v>13187482.46614242</v>
      </c>
      <c r="D4297" s="39">
        <f t="shared" si="135"/>
        <v>13603940.134709481</v>
      </c>
    </row>
    <row r="4298" spans="2:4" x14ac:dyDescent="0.25">
      <c r="B4298" s="90">
        <v>4294</v>
      </c>
      <c r="C4298" s="39">
        <f t="shared" si="134"/>
        <v>13190145.378433624</v>
      </c>
      <c r="D4298" s="39">
        <f t="shared" si="135"/>
        <v>13607109.000336014</v>
      </c>
    </row>
    <row r="4299" spans="2:4" x14ac:dyDescent="0.25">
      <c r="B4299" s="90">
        <v>4295</v>
      </c>
      <c r="C4299" s="39">
        <f t="shared" si="134"/>
        <v>13192808.290724829</v>
      </c>
      <c r="D4299" s="39">
        <f t="shared" si="135"/>
        <v>13610277.865962548</v>
      </c>
    </row>
    <row r="4300" spans="2:4" x14ac:dyDescent="0.25">
      <c r="B4300" s="90">
        <v>4296</v>
      </c>
      <c r="C4300" s="39">
        <f t="shared" si="134"/>
        <v>13195471.203016033</v>
      </c>
      <c r="D4300" s="39">
        <f t="shared" si="135"/>
        <v>13613446.731589081</v>
      </c>
    </row>
    <row r="4301" spans="2:4" x14ac:dyDescent="0.25">
      <c r="B4301" s="90">
        <v>4297</v>
      </c>
      <c r="C4301" s="39">
        <f t="shared" si="134"/>
        <v>13198134.11530724</v>
      </c>
      <c r="D4301" s="39">
        <f t="shared" si="135"/>
        <v>13616615.597215615</v>
      </c>
    </row>
    <row r="4302" spans="2:4" x14ac:dyDescent="0.25">
      <c r="B4302" s="90">
        <v>4298</v>
      </c>
      <c r="C4302" s="39">
        <f t="shared" si="134"/>
        <v>13200797.027598444</v>
      </c>
      <c r="D4302" s="39">
        <f t="shared" si="135"/>
        <v>13619784.46284215</v>
      </c>
    </row>
    <row r="4303" spans="2:4" x14ac:dyDescent="0.25">
      <c r="B4303" s="90">
        <v>4299</v>
      </c>
      <c r="C4303" s="39">
        <f t="shared" si="134"/>
        <v>13203459.939889649</v>
      </c>
      <c r="D4303" s="39">
        <f t="shared" si="135"/>
        <v>13622953.328468682</v>
      </c>
    </row>
    <row r="4304" spans="2:4" x14ac:dyDescent="0.25">
      <c r="B4304" s="90">
        <v>4300</v>
      </c>
      <c r="C4304" s="39">
        <f t="shared" si="134"/>
        <v>13206122.852180853</v>
      </c>
      <c r="D4304" s="39">
        <f t="shared" si="135"/>
        <v>13626122.194095217</v>
      </c>
    </row>
    <row r="4305" spans="2:4" x14ac:dyDescent="0.25">
      <c r="B4305" s="90">
        <v>4301</v>
      </c>
      <c r="C4305" s="39">
        <f t="shared" si="134"/>
        <v>13208785.764472058</v>
      </c>
      <c r="D4305" s="39">
        <f t="shared" si="135"/>
        <v>13629291.059721751</v>
      </c>
    </row>
    <row r="4306" spans="2:4" x14ac:dyDescent="0.25">
      <c r="B4306" s="90">
        <v>4302</v>
      </c>
      <c r="C4306" s="39">
        <f t="shared" si="134"/>
        <v>13211448.676763263</v>
      </c>
      <c r="D4306" s="39">
        <f t="shared" si="135"/>
        <v>13632459.925348284</v>
      </c>
    </row>
    <row r="4307" spans="2:4" x14ac:dyDescent="0.25">
      <c r="B4307" s="90">
        <v>4303</v>
      </c>
      <c r="C4307" s="39">
        <f t="shared" si="134"/>
        <v>13214111.589054469</v>
      </c>
      <c r="D4307" s="39">
        <f t="shared" si="135"/>
        <v>13635628.790974818</v>
      </c>
    </row>
    <row r="4308" spans="2:4" x14ac:dyDescent="0.25">
      <c r="B4308" s="90">
        <v>4304</v>
      </c>
      <c r="C4308" s="39">
        <f t="shared" si="134"/>
        <v>13216774.501345674</v>
      </c>
      <c r="D4308" s="39">
        <f t="shared" si="135"/>
        <v>13638797.656601353</v>
      </c>
    </row>
    <row r="4309" spans="2:4" x14ac:dyDescent="0.25">
      <c r="B4309" s="90">
        <v>4305</v>
      </c>
      <c r="C4309" s="39">
        <f t="shared" si="134"/>
        <v>13219437.413636878</v>
      </c>
      <c r="D4309" s="39">
        <f t="shared" si="135"/>
        <v>13641966.522227885</v>
      </c>
    </row>
    <row r="4310" spans="2:4" x14ac:dyDescent="0.25">
      <c r="B4310" s="90">
        <v>4306</v>
      </c>
      <c r="C4310" s="39">
        <f t="shared" si="134"/>
        <v>13222100.325928083</v>
      </c>
      <c r="D4310" s="39">
        <f t="shared" si="135"/>
        <v>13645135.38785442</v>
      </c>
    </row>
    <row r="4311" spans="2:4" x14ac:dyDescent="0.25">
      <c r="B4311" s="90">
        <v>4307</v>
      </c>
      <c r="C4311" s="39">
        <f t="shared" si="134"/>
        <v>13224763.238219287</v>
      </c>
      <c r="D4311" s="39">
        <f t="shared" si="135"/>
        <v>13648304.253480952</v>
      </c>
    </row>
    <row r="4312" spans="2:4" x14ac:dyDescent="0.25">
      <c r="B4312" s="90">
        <v>4308</v>
      </c>
      <c r="C4312" s="39">
        <f t="shared" si="134"/>
        <v>13227426.150510492</v>
      </c>
      <c r="D4312" s="39">
        <f t="shared" si="135"/>
        <v>13651473.119107487</v>
      </c>
    </row>
    <row r="4313" spans="2:4" x14ac:dyDescent="0.25">
      <c r="B4313" s="90">
        <v>4309</v>
      </c>
      <c r="C4313" s="39">
        <f t="shared" si="134"/>
        <v>13230089.062801696</v>
      </c>
      <c r="D4313" s="39">
        <f t="shared" si="135"/>
        <v>13654641.984734021</v>
      </c>
    </row>
    <row r="4314" spans="2:4" x14ac:dyDescent="0.25">
      <c r="B4314" s="90">
        <v>4310</v>
      </c>
      <c r="C4314" s="39">
        <f t="shared" si="134"/>
        <v>13232751.975092903</v>
      </c>
      <c r="D4314" s="39">
        <f t="shared" si="135"/>
        <v>13657810.850360554</v>
      </c>
    </row>
    <row r="4315" spans="2:4" x14ac:dyDescent="0.25">
      <c r="B4315" s="90">
        <v>4311</v>
      </c>
      <c r="C4315" s="39">
        <f t="shared" si="134"/>
        <v>13235414.887384107</v>
      </c>
      <c r="D4315" s="39">
        <f t="shared" si="135"/>
        <v>13660979.715987088</v>
      </c>
    </row>
    <row r="4316" spans="2:4" x14ac:dyDescent="0.25">
      <c r="B4316" s="90">
        <v>4312</v>
      </c>
      <c r="C4316" s="39">
        <f t="shared" si="134"/>
        <v>13238077.799675312</v>
      </c>
      <c r="D4316" s="39">
        <f t="shared" si="135"/>
        <v>13664148.581613623</v>
      </c>
    </row>
    <row r="4317" spans="2:4" x14ac:dyDescent="0.25">
      <c r="B4317" s="90">
        <v>4313</v>
      </c>
      <c r="C4317" s="39">
        <f t="shared" si="134"/>
        <v>13240740.711966516</v>
      </c>
      <c r="D4317" s="39">
        <f t="shared" si="135"/>
        <v>13667317.447240155</v>
      </c>
    </row>
    <row r="4318" spans="2:4" x14ac:dyDescent="0.25">
      <c r="B4318" s="90">
        <v>4314</v>
      </c>
      <c r="C4318" s="39">
        <f t="shared" si="134"/>
        <v>13243403.624257721</v>
      </c>
      <c r="D4318" s="39">
        <f t="shared" si="135"/>
        <v>13670486.31286669</v>
      </c>
    </row>
    <row r="4319" spans="2:4" x14ac:dyDescent="0.25">
      <c r="B4319" s="90">
        <v>4315</v>
      </c>
      <c r="C4319" s="39">
        <f t="shared" si="134"/>
        <v>13246066.536548926</v>
      </c>
      <c r="D4319" s="39">
        <f t="shared" si="135"/>
        <v>13673655.178493224</v>
      </c>
    </row>
    <row r="4320" spans="2:4" x14ac:dyDescent="0.25">
      <c r="B4320" s="90">
        <v>4316</v>
      </c>
      <c r="C4320" s="39">
        <f t="shared" si="134"/>
        <v>13248729.448840132</v>
      </c>
      <c r="D4320" s="39">
        <f t="shared" si="135"/>
        <v>13676824.044119757</v>
      </c>
    </row>
    <row r="4321" spans="2:4" x14ac:dyDescent="0.25">
      <c r="B4321" s="90">
        <v>4317</v>
      </c>
      <c r="C4321" s="39">
        <f t="shared" si="134"/>
        <v>13251392.361131337</v>
      </c>
      <c r="D4321" s="39">
        <f t="shared" si="135"/>
        <v>13679992.909746291</v>
      </c>
    </row>
    <row r="4322" spans="2:4" x14ac:dyDescent="0.25">
      <c r="B4322" s="90">
        <v>4318</v>
      </c>
      <c r="C4322" s="39">
        <f t="shared" si="134"/>
        <v>13254055.273422541</v>
      </c>
      <c r="D4322" s="39">
        <f t="shared" si="135"/>
        <v>13683161.775372824</v>
      </c>
    </row>
    <row r="4323" spans="2:4" x14ac:dyDescent="0.25">
      <c r="B4323" s="90">
        <v>4319</v>
      </c>
      <c r="C4323" s="39">
        <f t="shared" si="134"/>
        <v>13256718.185713746</v>
      </c>
      <c r="D4323" s="39">
        <f t="shared" si="135"/>
        <v>13686330.640999358</v>
      </c>
    </row>
    <row r="4324" spans="2:4" x14ac:dyDescent="0.25">
      <c r="B4324" s="90">
        <v>4320</v>
      </c>
      <c r="C4324" s="39">
        <f t="shared" si="134"/>
        <v>13259381.09800495</v>
      </c>
      <c r="D4324" s="39">
        <f t="shared" si="135"/>
        <v>13689499.506625893</v>
      </c>
    </row>
    <row r="4325" spans="2:4" x14ac:dyDescent="0.25">
      <c r="B4325" s="90">
        <v>4321</v>
      </c>
      <c r="C4325" s="39">
        <f t="shared" si="134"/>
        <v>13262044.010296155</v>
      </c>
      <c r="D4325" s="39">
        <f t="shared" si="135"/>
        <v>13692668.372252425</v>
      </c>
    </row>
    <row r="4326" spans="2:4" x14ac:dyDescent="0.25">
      <c r="B4326" s="90">
        <v>4322</v>
      </c>
      <c r="C4326" s="39">
        <f t="shared" si="134"/>
        <v>13264706.922587361</v>
      </c>
      <c r="D4326" s="39">
        <f t="shared" si="135"/>
        <v>13695837.23787896</v>
      </c>
    </row>
    <row r="4327" spans="2:4" x14ac:dyDescent="0.25">
      <c r="B4327" s="90">
        <v>4323</v>
      </c>
      <c r="C4327" s="39">
        <f t="shared" si="134"/>
        <v>13267369.834878566</v>
      </c>
      <c r="D4327" s="39">
        <f t="shared" si="135"/>
        <v>13699006.103505494</v>
      </c>
    </row>
    <row r="4328" spans="2:4" x14ac:dyDescent="0.25">
      <c r="B4328" s="90">
        <v>4324</v>
      </c>
      <c r="C4328" s="39">
        <f t="shared" si="134"/>
        <v>13270032.74716977</v>
      </c>
      <c r="D4328" s="39">
        <f t="shared" si="135"/>
        <v>13702174.969132027</v>
      </c>
    </row>
    <row r="4329" spans="2:4" x14ac:dyDescent="0.25">
      <c r="B4329" s="90">
        <v>4325</v>
      </c>
      <c r="C4329" s="39">
        <f t="shared" si="134"/>
        <v>13272695.659460975</v>
      </c>
      <c r="D4329" s="39">
        <f t="shared" si="135"/>
        <v>13705343.834758561</v>
      </c>
    </row>
    <row r="4330" spans="2:4" x14ac:dyDescent="0.25">
      <c r="B4330" s="90">
        <v>4326</v>
      </c>
      <c r="C4330" s="39">
        <f t="shared" si="134"/>
        <v>13275358.571752179</v>
      </c>
      <c r="D4330" s="39">
        <f t="shared" si="135"/>
        <v>13708512.700385096</v>
      </c>
    </row>
    <row r="4331" spans="2:4" x14ac:dyDescent="0.25">
      <c r="B4331" s="90">
        <v>4327</v>
      </c>
      <c r="C4331" s="39">
        <f t="shared" si="134"/>
        <v>13278021.484043384</v>
      </c>
      <c r="D4331" s="39">
        <f t="shared" si="135"/>
        <v>13711681.566011628</v>
      </c>
    </row>
    <row r="4332" spans="2:4" x14ac:dyDescent="0.25">
      <c r="B4332" s="90">
        <v>4328</v>
      </c>
      <c r="C4332" s="39">
        <f t="shared" si="134"/>
        <v>13280684.396334589</v>
      </c>
      <c r="D4332" s="39">
        <f t="shared" si="135"/>
        <v>13714850.431638163</v>
      </c>
    </row>
    <row r="4333" spans="2:4" x14ac:dyDescent="0.25">
      <c r="B4333" s="90">
        <v>4329</v>
      </c>
      <c r="C4333" s="39">
        <f t="shared" si="134"/>
        <v>13283347.308625795</v>
      </c>
      <c r="D4333" s="39">
        <f t="shared" si="135"/>
        <v>13718019.297264695</v>
      </c>
    </row>
    <row r="4334" spans="2:4" x14ac:dyDescent="0.25">
      <c r="B4334" s="90">
        <v>4330</v>
      </c>
      <c r="C4334" s="39">
        <f t="shared" si="134"/>
        <v>13286010.220917</v>
      </c>
      <c r="D4334" s="39">
        <f t="shared" si="135"/>
        <v>13721188.16289123</v>
      </c>
    </row>
    <row r="4335" spans="2:4" x14ac:dyDescent="0.25">
      <c r="B4335" s="90">
        <v>4331</v>
      </c>
      <c r="C4335" s="39">
        <f t="shared" si="134"/>
        <v>13288673.133208204</v>
      </c>
      <c r="D4335" s="39">
        <f t="shared" si="135"/>
        <v>13724357.028517764</v>
      </c>
    </row>
    <row r="4336" spans="2:4" x14ac:dyDescent="0.25">
      <c r="B4336" s="90">
        <v>4332</v>
      </c>
      <c r="C4336" s="39">
        <f t="shared" si="134"/>
        <v>13291336.045499409</v>
      </c>
      <c r="D4336" s="39">
        <f t="shared" si="135"/>
        <v>13727525.894144297</v>
      </c>
    </row>
    <row r="4337" spans="2:4" x14ac:dyDescent="0.25">
      <c r="B4337" s="90">
        <v>4333</v>
      </c>
      <c r="C4337" s="39">
        <f t="shared" ref="C4337:C4400" si="136">($C$2*B4337)+$C$1</f>
        <v>13293998.957790613</v>
      </c>
      <c r="D4337" s="39">
        <f t="shared" ref="D4337:D4400" si="137">$D$2*B4337</f>
        <v>13730694.759770831</v>
      </c>
    </row>
    <row r="4338" spans="2:4" x14ac:dyDescent="0.25">
      <c r="B4338" s="90">
        <v>4334</v>
      </c>
      <c r="C4338" s="39">
        <f t="shared" si="136"/>
        <v>13296661.870081818</v>
      </c>
      <c r="D4338" s="39">
        <f t="shared" si="137"/>
        <v>13733863.625397366</v>
      </c>
    </row>
    <row r="4339" spans="2:4" x14ac:dyDescent="0.25">
      <c r="B4339" s="90">
        <v>4335</v>
      </c>
      <c r="C4339" s="39">
        <f t="shared" si="136"/>
        <v>13299324.782373024</v>
      </c>
      <c r="D4339" s="39">
        <f t="shared" si="137"/>
        <v>13737032.491023898</v>
      </c>
    </row>
    <row r="4340" spans="2:4" x14ac:dyDescent="0.25">
      <c r="B4340" s="90">
        <v>4336</v>
      </c>
      <c r="C4340" s="39">
        <f t="shared" si="136"/>
        <v>13301987.694664229</v>
      </c>
      <c r="D4340" s="39">
        <f t="shared" si="137"/>
        <v>13740201.356650433</v>
      </c>
    </row>
    <row r="4341" spans="2:4" x14ac:dyDescent="0.25">
      <c r="B4341" s="90">
        <v>4337</v>
      </c>
      <c r="C4341" s="39">
        <f t="shared" si="136"/>
        <v>13304650.606955433</v>
      </c>
      <c r="D4341" s="39">
        <f t="shared" si="137"/>
        <v>13743370.222276967</v>
      </c>
    </row>
    <row r="4342" spans="2:4" x14ac:dyDescent="0.25">
      <c r="B4342" s="90">
        <v>4338</v>
      </c>
      <c r="C4342" s="39">
        <f t="shared" si="136"/>
        <v>13307313.519246638</v>
      </c>
      <c r="D4342" s="39">
        <f t="shared" si="137"/>
        <v>13746539.0879035</v>
      </c>
    </row>
    <row r="4343" spans="2:4" x14ac:dyDescent="0.25">
      <c r="B4343" s="90">
        <v>4339</v>
      </c>
      <c r="C4343" s="39">
        <f t="shared" si="136"/>
        <v>13309976.431537842</v>
      </c>
      <c r="D4343" s="39">
        <f t="shared" si="137"/>
        <v>13749707.953530034</v>
      </c>
    </row>
    <row r="4344" spans="2:4" x14ac:dyDescent="0.25">
      <c r="B4344" s="90">
        <v>4340</v>
      </c>
      <c r="C4344" s="39">
        <f t="shared" si="136"/>
        <v>13312639.343829047</v>
      </c>
      <c r="D4344" s="39">
        <f t="shared" si="137"/>
        <v>13752876.819156567</v>
      </c>
    </row>
    <row r="4345" spans="2:4" x14ac:dyDescent="0.25">
      <c r="B4345" s="90">
        <v>4341</v>
      </c>
      <c r="C4345" s="39">
        <f t="shared" si="136"/>
        <v>13315302.256120253</v>
      </c>
      <c r="D4345" s="39">
        <f t="shared" si="137"/>
        <v>13756045.684783101</v>
      </c>
    </row>
    <row r="4346" spans="2:4" x14ac:dyDescent="0.25">
      <c r="B4346" s="90">
        <v>4342</v>
      </c>
      <c r="C4346" s="39">
        <f t="shared" si="136"/>
        <v>13317965.168411458</v>
      </c>
      <c r="D4346" s="39">
        <f t="shared" si="137"/>
        <v>13759214.550409636</v>
      </c>
    </row>
    <row r="4347" spans="2:4" x14ac:dyDescent="0.25">
      <c r="B4347" s="90">
        <v>4343</v>
      </c>
      <c r="C4347" s="39">
        <f t="shared" si="136"/>
        <v>13320628.080702662</v>
      </c>
      <c r="D4347" s="39">
        <f t="shared" si="137"/>
        <v>13762383.416036168</v>
      </c>
    </row>
    <row r="4348" spans="2:4" x14ac:dyDescent="0.25">
      <c r="B4348" s="90">
        <v>4344</v>
      </c>
      <c r="C4348" s="39">
        <f t="shared" si="136"/>
        <v>13323290.992993867</v>
      </c>
      <c r="D4348" s="39">
        <f t="shared" si="137"/>
        <v>13765552.281662703</v>
      </c>
    </row>
    <row r="4349" spans="2:4" x14ac:dyDescent="0.25">
      <c r="B4349" s="90">
        <v>4345</v>
      </c>
      <c r="C4349" s="39">
        <f t="shared" si="136"/>
        <v>13325953.905285072</v>
      </c>
      <c r="D4349" s="39">
        <f t="shared" si="137"/>
        <v>13768721.147289237</v>
      </c>
    </row>
    <row r="4350" spans="2:4" x14ac:dyDescent="0.25">
      <c r="B4350" s="90">
        <v>4346</v>
      </c>
      <c r="C4350" s="39">
        <f t="shared" si="136"/>
        <v>13328616.817576276</v>
      </c>
      <c r="D4350" s="39">
        <f t="shared" si="137"/>
        <v>13771890.01291577</v>
      </c>
    </row>
    <row r="4351" spans="2:4" x14ac:dyDescent="0.25">
      <c r="B4351" s="90">
        <v>4347</v>
      </c>
      <c r="C4351" s="39">
        <f t="shared" si="136"/>
        <v>13331279.729867481</v>
      </c>
      <c r="D4351" s="39">
        <f t="shared" si="137"/>
        <v>13775058.878542304</v>
      </c>
    </row>
    <row r="4352" spans="2:4" x14ac:dyDescent="0.25">
      <c r="B4352" s="90">
        <v>4348</v>
      </c>
      <c r="C4352" s="39">
        <f t="shared" si="136"/>
        <v>13333942.642158687</v>
      </c>
      <c r="D4352" s="39">
        <f t="shared" si="137"/>
        <v>13778227.744168838</v>
      </c>
    </row>
    <row r="4353" spans="2:4" x14ac:dyDescent="0.25">
      <c r="B4353" s="90">
        <v>4349</v>
      </c>
      <c r="C4353" s="39">
        <f t="shared" si="136"/>
        <v>13336605.554449892</v>
      </c>
      <c r="D4353" s="39">
        <f t="shared" si="137"/>
        <v>13781396.609795371</v>
      </c>
    </row>
    <row r="4354" spans="2:4" x14ac:dyDescent="0.25">
      <c r="B4354" s="90">
        <v>4350</v>
      </c>
      <c r="C4354" s="39">
        <f t="shared" si="136"/>
        <v>13339268.466741096</v>
      </c>
      <c r="D4354" s="39">
        <f t="shared" si="137"/>
        <v>13784565.475421906</v>
      </c>
    </row>
    <row r="4355" spans="2:4" x14ac:dyDescent="0.25">
      <c r="B4355" s="90">
        <v>4351</v>
      </c>
      <c r="C4355" s="39">
        <f t="shared" si="136"/>
        <v>13341931.379032301</v>
      </c>
      <c r="D4355" s="39">
        <f t="shared" si="137"/>
        <v>13787734.341048438</v>
      </c>
    </row>
    <row r="4356" spans="2:4" x14ac:dyDescent="0.25">
      <c r="B4356" s="90">
        <v>4352</v>
      </c>
      <c r="C4356" s="39">
        <f t="shared" si="136"/>
        <v>13344594.291323505</v>
      </c>
      <c r="D4356" s="39">
        <f t="shared" si="137"/>
        <v>13790903.206674973</v>
      </c>
    </row>
    <row r="4357" spans="2:4" x14ac:dyDescent="0.25">
      <c r="B4357" s="90">
        <v>4353</v>
      </c>
      <c r="C4357" s="39">
        <f t="shared" si="136"/>
        <v>13347257.20361471</v>
      </c>
      <c r="D4357" s="39">
        <f t="shared" si="137"/>
        <v>13794072.072301507</v>
      </c>
    </row>
    <row r="4358" spans="2:4" x14ac:dyDescent="0.25">
      <c r="B4358" s="90">
        <v>4354</v>
      </c>
      <c r="C4358" s="39">
        <f t="shared" si="136"/>
        <v>13349920.115905916</v>
      </c>
      <c r="D4358" s="39">
        <f t="shared" si="137"/>
        <v>13797240.93792804</v>
      </c>
    </row>
    <row r="4359" spans="2:4" x14ac:dyDescent="0.25">
      <c r="B4359" s="90">
        <v>4355</v>
      </c>
      <c r="C4359" s="39">
        <f t="shared" si="136"/>
        <v>13352583.028197121</v>
      </c>
      <c r="D4359" s="39">
        <f t="shared" si="137"/>
        <v>13800409.803554574</v>
      </c>
    </row>
    <row r="4360" spans="2:4" x14ac:dyDescent="0.25">
      <c r="B4360" s="90">
        <v>4356</v>
      </c>
      <c r="C4360" s="39">
        <f t="shared" si="136"/>
        <v>13355245.940488325</v>
      </c>
      <c r="D4360" s="39">
        <f t="shared" si="137"/>
        <v>13803578.669181108</v>
      </c>
    </row>
    <row r="4361" spans="2:4" x14ac:dyDescent="0.25">
      <c r="B4361" s="90">
        <v>4357</v>
      </c>
      <c r="C4361" s="39">
        <f t="shared" si="136"/>
        <v>13357908.85277953</v>
      </c>
      <c r="D4361" s="39">
        <f t="shared" si="137"/>
        <v>13806747.534807641</v>
      </c>
    </row>
    <row r="4362" spans="2:4" x14ac:dyDescent="0.25">
      <c r="B4362" s="90">
        <v>4358</v>
      </c>
      <c r="C4362" s="39">
        <f t="shared" si="136"/>
        <v>13360571.765070735</v>
      </c>
      <c r="D4362" s="39">
        <f t="shared" si="137"/>
        <v>13809916.400434176</v>
      </c>
    </row>
    <row r="4363" spans="2:4" x14ac:dyDescent="0.25">
      <c r="B4363" s="90">
        <v>4359</v>
      </c>
      <c r="C4363" s="39">
        <f t="shared" si="136"/>
        <v>13363234.677361939</v>
      </c>
      <c r="D4363" s="39">
        <f t="shared" si="137"/>
        <v>13813085.26606071</v>
      </c>
    </row>
    <row r="4364" spans="2:4" x14ac:dyDescent="0.25">
      <c r="B4364" s="90">
        <v>4360</v>
      </c>
      <c r="C4364" s="39">
        <f t="shared" si="136"/>
        <v>13365897.589653146</v>
      </c>
      <c r="D4364" s="39">
        <f t="shared" si="137"/>
        <v>13816254.131687243</v>
      </c>
    </row>
    <row r="4365" spans="2:4" x14ac:dyDescent="0.25">
      <c r="B4365" s="90">
        <v>4361</v>
      </c>
      <c r="C4365" s="39">
        <f t="shared" si="136"/>
        <v>13368560.50194435</v>
      </c>
      <c r="D4365" s="39">
        <f t="shared" si="137"/>
        <v>13819422.997313777</v>
      </c>
    </row>
    <row r="4366" spans="2:4" x14ac:dyDescent="0.25">
      <c r="B4366" s="90">
        <v>4362</v>
      </c>
      <c r="C4366" s="39">
        <f t="shared" si="136"/>
        <v>13371223.414235555</v>
      </c>
      <c r="D4366" s="39">
        <f t="shared" si="137"/>
        <v>13822591.86294031</v>
      </c>
    </row>
    <row r="4367" spans="2:4" x14ac:dyDescent="0.25">
      <c r="B4367" s="90">
        <v>4363</v>
      </c>
      <c r="C4367" s="39">
        <f t="shared" si="136"/>
        <v>13373886.326526759</v>
      </c>
      <c r="D4367" s="39">
        <f t="shared" si="137"/>
        <v>13825760.728566844</v>
      </c>
    </row>
    <row r="4368" spans="2:4" x14ac:dyDescent="0.25">
      <c r="B4368" s="90">
        <v>4364</v>
      </c>
      <c r="C4368" s="39">
        <f t="shared" si="136"/>
        <v>13376549.238817964</v>
      </c>
      <c r="D4368" s="39">
        <f t="shared" si="137"/>
        <v>13828929.594193378</v>
      </c>
    </row>
    <row r="4369" spans="2:4" x14ac:dyDescent="0.25">
      <c r="B4369" s="90">
        <v>4365</v>
      </c>
      <c r="C4369" s="39">
        <f t="shared" si="136"/>
        <v>13379212.151109168</v>
      </c>
      <c r="D4369" s="39">
        <f t="shared" si="137"/>
        <v>13832098.459819911</v>
      </c>
    </row>
    <row r="4370" spans="2:4" x14ac:dyDescent="0.25">
      <c r="B4370" s="90">
        <v>4366</v>
      </c>
      <c r="C4370" s="39">
        <f t="shared" si="136"/>
        <v>13381875.063400373</v>
      </c>
      <c r="D4370" s="39">
        <f t="shared" si="137"/>
        <v>13835267.325446445</v>
      </c>
    </row>
    <row r="4371" spans="2:4" x14ac:dyDescent="0.25">
      <c r="B4371" s="90">
        <v>4367</v>
      </c>
      <c r="C4371" s="39">
        <f t="shared" si="136"/>
        <v>13384537.975691579</v>
      </c>
      <c r="D4371" s="39">
        <f t="shared" si="137"/>
        <v>13838436.19107298</v>
      </c>
    </row>
    <row r="4372" spans="2:4" x14ac:dyDescent="0.25">
      <c r="B4372" s="90">
        <v>4368</v>
      </c>
      <c r="C4372" s="39">
        <f t="shared" si="136"/>
        <v>13387200.887982784</v>
      </c>
      <c r="D4372" s="39">
        <f t="shared" si="137"/>
        <v>13841605.056699513</v>
      </c>
    </row>
    <row r="4373" spans="2:4" x14ac:dyDescent="0.25">
      <c r="B4373" s="90">
        <v>4369</v>
      </c>
      <c r="C4373" s="39">
        <f t="shared" si="136"/>
        <v>13389863.800273988</v>
      </c>
      <c r="D4373" s="39">
        <f t="shared" si="137"/>
        <v>13844773.922326047</v>
      </c>
    </row>
    <row r="4374" spans="2:4" x14ac:dyDescent="0.25">
      <c r="B4374" s="90">
        <v>4370</v>
      </c>
      <c r="C4374" s="39">
        <f t="shared" si="136"/>
        <v>13392526.712565193</v>
      </c>
      <c r="D4374" s="39">
        <f t="shared" si="137"/>
        <v>13847942.787952581</v>
      </c>
    </row>
    <row r="4375" spans="2:4" x14ac:dyDescent="0.25">
      <c r="B4375" s="90">
        <v>4371</v>
      </c>
      <c r="C4375" s="39">
        <f t="shared" si="136"/>
        <v>13395189.624856398</v>
      </c>
      <c r="D4375" s="39">
        <f t="shared" si="137"/>
        <v>13851111.653579114</v>
      </c>
    </row>
    <row r="4376" spans="2:4" x14ac:dyDescent="0.25">
      <c r="B4376" s="90">
        <v>4372</v>
      </c>
      <c r="C4376" s="39">
        <f t="shared" si="136"/>
        <v>13397852.537147602</v>
      </c>
      <c r="D4376" s="39">
        <f t="shared" si="137"/>
        <v>13854280.519205648</v>
      </c>
    </row>
    <row r="4377" spans="2:4" x14ac:dyDescent="0.25">
      <c r="B4377" s="90">
        <v>4373</v>
      </c>
      <c r="C4377" s="39">
        <f t="shared" si="136"/>
        <v>13400515.449438808</v>
      </c>
      <c r="D4377" s="39">
        <f t="shared" si="137"/>
        <v>13857449.384832183</v>
      </c>
    </row>
    <row r="4378" spans="2:4" x14ac:dyDescent="0.25">
      <c r="B4378" s="90">
        <v>4374</v>
      </c>
      <c r="C4378" s="39">
        <f t="shared" si="136"/>
        <v>13403178.361730013</v>
      </c>
      <c r="D4378" s="39">
        <f t="shared" si="137"/>
        <v>13860618.250458715</v>
      </c>
    </row>
    <row r="4379" spans="2:4" x14ac:dyDescent="0.25">
      <c r="B4379" s="90">
        <v>4375</v>
      </c>
      <c r="C4379" s="39">
        <f t="shared" si="136"/>
        <v>13405841.274021218</v>
      </c>
      <c r="D4379" s="39">
        <f t="shared" si="137"/>
        <v>13863787.11608525</v>
      </c>
    </row>
    <row r="4380" spans="2:4" x14ac:dyDescent="0.25">
      <c r="B4380" s="90">
        <v>4376</v>
      </c>
      <c r="C4380" s="39">
        <f t="shared" si="136"/>
        <v>13408504.186312422</v>
      </c>
      <c r="D4380" s="39">
        <f t="shared" si="137"/>
        <v>13866955.981711783</v>
      </c>
    </row>
    <row r="4381" spans="2:4" x14ac:dyDescent="0.25">
      <c r="B4381" s="90">
        <v>4377</v>
      </c>
      <c r="C4381" s="39">
        <f t="shared" si="136"/>
        <v>13411167.098603627</v>
      </c>
      <c r="D4381" s="39">
        <f t="shared" si="137"/>
        <v>13870124.847338317</v>
      </c>
    </row>
    <row r="4382" spans="2:4" x14ac:dyDescent="0.25">
      <c r="B4382" s="90">
        <v>4378</v>
      </c>
      <c r="C4382" s="39">
        <f t="shared" si="136"/>
        <v>13413830.010894831</v>
      </c>
      <c r="D4382" s="39">
        <f t="shared" si="137"/>
        <v>13873293.712964851</v>
      </c>
    </row>
    <row r="4383" spans="2:4" x14ac:dyDescent="0.25">
      <c r="B4383" s="90">
        <v>4379</v>
      </c>
      <c r="C4383" s="39">
        <f t="shared" si="136"/>
        <v>13416492.923186036</v>
      </c>
      <c r="D4383" s="39">
        <f t="shared" si="137"/>
        <v>13876462.578591384</v>
      </c>
    </row>
    <row r="4384" spans="2:4" x14ac:dyDescent="0.25">
      <c r="B4384" s="90">
        <v>4380</v>
      </c>
      <c r="C4384" s="39">
        <f t="shared" si="136"/>
        <v>13419155.835477242</v>
      </c>
      <c r="D4384" s="39">
        <f t="shared" si="137"/>
        <v>13879631.444217918</v>
      </c>
    </row>
    <row r="4385" spans="2:4" x14ac:dyDescent="0.25">
      <c r="B4385" s="90">
        <v>4381</v>
      </c>
      <c r="C4385" s="39">
        <f t="shared" si="136"/>
        <v>13421818.747768447</v>
      </c>
      <c r="D4385" s="39">
        <f t="shared" si="137"/>
        <v>13882800.309844453</v>
      </c>
    </row>
    <row r="4386" spans="2:4" x14ac:dyDescent="0.25">
      <c r="B4386" s="90">
        <v>4382</v>
      </c>
      <c r="C4386" s="39">
        <f t="shared" si="136"/>
        <v>13424481.660059651</v>
      </c>
      <c r="D4386" s="39">
        <f t="shared" si="137"/>
        <v>13885969.175470985</v>
      </c>
    </row>
    <row r="4387" spans="2:4" x14ac:dyDescent="0.25">
      <c r="B4387" s="90">
        <v>4383</v>
      </c>
      <c r="C4387" s="39">
        <f t="shared" si="136"/>
        <v>13427144.572350856</v>
      </c>
      <c r="D4387" s="39">
        <f t="shared" si="137"/>
        <v>13889138.04109752</v>
      </c>
    </row>
    <row r="4388" spans="2:4" x14ac:dyDescent="0.25">
      <c r="B4388" s="90">
        <v>4384</v>
      </c>
      <c r="C4388" s="39">
        <f t="shared" si="136"/>
        <v>13429807.48464206</v>
      </c>
      <c r="D4388" s="39">
        <f t="shared" si="137"/>
        <v>13892306.906724054</v>
      </c>
    </row>
    <row r="4389" spans="2:4" x14ac:dyDescent="0.25">
      <c r="B4389" s="90">
        <v>4385</v>
      </c>
      <c r="C4389" s="39">
        <f t="shared" si="136"/>
        <v>13432470.396933265</v>
      </c>
      <c r="D4389" s="39">
        <f t="shared" si="137"/>
        <v>13895475.772350587</v>
      </c>
    </row>
    <row r="4390" spans="2:4" x14ac:dyDescent="0.25">
      <c r="B4390" s="90">
        <v>4386</v>
      </c>
      <c r="C4390" s="39">
        <f t="shared" si="136"/>
        <v>13435133.309224471</v>
      </c>
      <c r="D4390" s="39">
        <f t="shared" si="137"/>
        <v>13898644.637977121</v>
      </c>
    </row>
    <row r="4391" spans="2:4" x14ac:dyDescent="0.25">
      <c r="B4391" s="90">
        <v>4387</v>
      </c>
      <c r="C4391" s="39">
        <f t="shared" si="136"/>
        <v>13437796.221515676</v>
      </c>
      <c r="D4391" s="39">
        <f t="shared" si="137"/>
        <v>13901813.503603654</v>
      </c>
    </row>
    <row r="4392" spans="2:4" x14ac:dyDescent="0.25">
      <c r="B4392" s="90">
        <v>4388</v>
      </c>
      <c r="C4392" s="39">
        <f t="shared" si="136"/>
        <v>13440459.133806881</v>
      </c>
      <c r="D4392" s="39">
        <f t="shared" si="137"/>
        <v>13904982.369230188</v>
      </c>
    </row>
    <row r="4393" spans="2:4" x14ac:dyDescent="0.25">
      <c r="B4393" s="90">
        <v>4389</v>
      </c>
      <c r="C4393" s="39">
        <f t="shared" si="136"/>
        <v>13443122.046098085</v>
      </c>
      <c r="D4393" s="39">
        <f t="shared" si="137"/>
        <v>13908151.234856723</v>
      </c>
    </row>
    <row r="4394" spans="2:4" x14ac:dyDescent="0.25">
      <c r="B4394" s="90">
        <v>4390</v>
      </c>
      <c r="C4394" s="39">
        <f t="shared" si="136"/>
        <v>13445784.95838929</v>
      </c>
      <c r="D4394" s="39">
        <f t="shared" si="137"/>
        <v>13911320.100483255</v>
      </c>
    </row>
    <row r="4395" spans="2:4" x14ac:dyDescent="0.25">
      <c r="B4395" s="90">
        <v>4391</v>
      </c>
      <c r="C4395" s="39">
        <f t="shared" si="136"/>
        <v>13448447.870680494</v>
      </c>
      <c r="D4395" s="39">
        <f t="shared" si="137"/>
        <v>13914488.96610979</v>
      </c>
    </row>
    <row r="4396" spans="2:4" x14ac:dyDescent="0.25">
      <c r="B4396" s="90">
        <v>4392</v>
      </c>
      <c r="C4396" s="39">
        <f t="shared" si="136"/>
        <v>13451110.782971701</v>
      </c>
      <c r="D4396" s="39">
        <f t="shared" si="137"/>
        <v>13917657.831736324</v>
      </c>
    </row>
    <row r="4397" spans="2:4" x14ac:dyDescent="0.25">
      <c r="B4397" s="90">
        <v>4393</v>
      </c>
      <c r="C4397" s="39">
        <f t="shared" si="136"/>
        <v>13453773.695262905</v>
      </c>
      <c r="D4397" s="39">
        <f t="shared" si="137"/>
        <v>13920826.697362857</v>
      </c>
    </row>
    <row r="4398" spans="2:4" x14ac:dyDescent="0.25">
      <c r="B4398" s="90">
        <v>4394</v>
      </c>
      <c r="C4398" s="39">
        <f t="shared" si="136"/>
        <v>13456436.60755411</v>
      </c>
      <c r="D4398" s="39">
        <f t="shared" si="137"/>
        <v>13923995.562989391</v>
      </c>
    </row>
    <row r="4399" spans="2:4" x14ac:dyDescent="0.25">
      <c r="B4399" s="90">
        <v>4395</v>
      </c>
      <c r="C4399" s="39">
        <f t="shared" si="136"/>
        <v>13459099.519845314</v>
      </c>
      <c r="D4399" s="39">
        <f t="shared" si="137"/>
        <v>13927164.428615926</v>
      </c>
    </row>
    <row r="4400" spans="2:4" x14ac:dyDescent="0.25">
      <c r="B4400" s="90">
        <v>4396</v>
      </c>
      <c r="C4400" s="39">
        <f t="shared" si="136"/>
        <v>13461762.432136519</v>
      </c>
      <c r="D4400" s="39">
        <f t="shared" si="137"/>
        <v>13930333.294242458</v>
      </c>
    </row>
    <row r="4401" spans="2:4" x14ac:dyDescent="0.25">
      <c r="B4401" s="90">
        <v>4397</v>
      </c>
      <c r="C4401" s="39">
        <f t="shared" ref="C4401:C4464" si="138">($C$2*B4401)+$C$1</f>
        <v>13464425.344427723</v>
      </c>
      <c r="D4401" s="39">
        <f t="shared" ref="D4401:D4464" si="139">$D$2*B4401</f>
        <v>13933502.159868993</v>
      </c>
    </row>
    <row r="4402" spans="2:4" x14ac:dyDescent="0.25">
      <c r="B4402" s="90">
        <v>4398</v>
      </c>
      <c r="C4402" s="39">
        <f t="shared" si="138"/>
        <v>13467088.256718928</v>
      </c>
      <c r="D4402" s="39">
        <f t="shared" si="139"/>
        <v>13936671.025495525</v>
      </c>
    </row>
    <row r="4403" spans="2:4" x14ac:dyDescent="0.25">
      <c r="B4403" s="90">
        <v>4399</v>
      </c>
      <c r="C4403" s="39">
        <f t="shared" si="138"/>
        <v>13469751.169010134</v>
      </c>
      <c r="D4403" s="39">
        <f t="shared" si="139"/>
        <v>13939839.89112206</v>
      </c>
    </row>
    <row r="4404" spans="2:4" x14ac:dyDescent="0.25">
      <c r="B4404" s="90">
        <v>4400</v>
      </c>
      <c r="C4404" s="39">
        <f t="shared" si="138"/>
        <v>13472414.081301339</v>
      </c>
      <c r="D4404" s="39">
        <f t="shared" si="139"/>
        <v>13943008.756748594</v>
      </c>
    </row>
    <row r="4405" spans="2:4" x14ac:dyDescent="0.25">
      <c r="B4405" s="90">
        <v>4401</v>
      </c>
      <c r="C4405" s="39">
        <f t="shared" si="138"/>
        <v>13475076.993592544</v>
      </c>
      <c r="D4405" s="39">
        <f t="shared" si="139"/>
        <v>13946177.622375127</v>
      </c>
    </row>
    <row r="4406" spans="2:4" x14ac:dyDescent="0.25">
      <c r="B4406" s="90">
        <v>4402</v>
      </c>
      <c r="C4406" s="39">
        <f t="shared" si="138"/>
        <v>13477739.905883748</v>
      </c>
      <c r="D4406" s="39">
        <f t="shared" si="139"/>
        <v>13949346.488001661</v>
      </c>
    </row>
    <row r="4407" spans="2:4" x14ac:dyDescent="0.25">
      <c r="B4407" s="90">
        <v>4403</v>
      </c>
      <c r="C4407" s="39">
        <f t="shared" si="138"/>
        <v>13480402.818174953</v>
      </c>
      <c r="D4407" s="39">
        <f t="shared" si="139"/>
        <v>13952515.353628196</v>
      </c>
    </row>
    <row r="4408" spans="2:4" x14ac:dyDescent="0.25">
      <c r="B4408" s="90">
        <v>4404</v>
      </c>
      <c r="C4408" s="39">
        <f t="shared" si="138"/>
        <v>13483065.730466157</v>
      </c>
      <c r="D4408" s="39">
        <f t="shared" si="139"/>
        <v>13955684.219254728</v>
      </c>
    </row>
    <row r="4409" spans="2:4" x14ac:dyDescent="0.25">
      <c r="B4409" s="90">
        <v>4405</v>
      </c>
      <c r="C4409" s="39">
        <f t="shared" si="138"/>
        <v>13485728.642757364</v>
      </c>
      <c r="D4409" s="39">
        <f t="shared" si="139"/>
        <v>13958853.084881263</v>
      </c>
    </row>
    <row r="4410" spans="2:4" x14ac:dyDescent="0.25">
      <c r="B4410" s="90">
        <v>4406</v>
      </c>
      <c r="C4410" s="39">
        <f t="shared" si="138"/>
        <v>13488391.555048568</v>
      </c>
      <c r="D4410" s="39">
        <f t="shared" si="139"/>
        <v>13962021.950507797</v>
      </c>
    </row>
    <row r="4411" spans="2:4" x14ac:dyDescent="0.25">
      <c r="B4411" s="90">
        <v>4407</v>
      </c>
      <c r="C4411" s="39">
        <f t="shared" si="138"/>
        <v>13491054.467339773</v>
      </c>
      <c r="D4411" s="39">
        <f t="shared" si="139"/>
        <v>13965190.81613433</v>
      </c>
    </row>
    <row r="4412" spans="2:4" x14ac:dyDescent="0.25">
      <c r="B4412" s="90">
        <v>4408</v>
      </c>
      <c r="C4412" s="39">
        <f t="shared" si="138"/>
        <v>13493717.379630977</v>
      </c>
      <c r="D4412" s="39">
        <f t="shared" si="139"/>
        <v>13968359.681760864</v>
      </c>
    </row>
    <row r="4413" spans="2:4" x14ac:dyDescent="0.25">
      <c r="B4413" s="90">
        <v>4409</v>
      </c>
      <c r="C4413" s="39">
        <f t="shared" si="138"/>
        <v>13496380.291922182</v>
      </c>
      <c r="D4413" s="39">
        <f t="shared" si="139"/>
        <v>13971528.547387397</v>
      </c>
    </row>
    <row r="4414" spans="2:4" x14ac:dyDescent="0.25">
      <c r="B4414" s="90">
        <v>4410</v>
      </c>
      <c r="C4414" s="39">
        <f t="shared" si="138"/>
        <v>13499043.204213386</v>
      </c>
      <c r="D4414" s="39">
        <f t="shared" si="139"/>
        <v>13974697.413013931</v>
      </c>
    </row>
    <row r="4415" spans="2:4" x14ac:dyDescent="0.25">
      <c r="B4415" s="90">
        <v>4411</v>
      </c>
      <c r="C4415" s="39">
        <f t="shared" si="138"/>
        <v>13501706.116504593</v>
      </c>
      <c r="D4415" s="39">
        <f t="shared" si="139"/>
        <v>13977866.278640466</v>
      </c>
    </row>
    <row r="4416" spans="2:4" x14ac:dyDescent="0.25">
      <c r="B4416" s="90">
        <v>4412</v>
      </c>
      <c r="C4416" s="39">
        <f t="shared" si="138"/>
        <v>13504369.028795797</v>
      </c>
      <c r="D4416" s="39">
        <f t="shared" si="139"/>
        <v>13981035.144266998</v>
      </c>
    </row>
    <row r="4417" spans="2:4" x14ac:dyDescent="0.25">
      <c r="B4417" s="90">
        <v>4413</v>
      </c>
      <c r="C4417" s="39">
        <f t="shared" si="138"/>
        <v>13507031.941087002</v>
      </c>
      <c r="D4417" s="39">
        <f t="shared" si="139"/>
        <v>13984204.009893533</v>
      </c>
    </row>
    <row r="4418" spans="2:4" x14ac:dyDescent="0.25">
      <c r="B4418" s="90">
        <v>4414</v>
      </c>
      <c r="C4418" s="39">
        <f t="shared" si="138"/>
        <v>13509694.853378206</v>
      </c>
      <c r="D4418" s="39">
        <f t="shared" si="139"/>
        <v>13987372.875520067</v>
      </c>
    </row>
    <row r="4419" spans="2:4" x14ac:dyDescent="0.25">
      <c r="B4419" s="90">
        <v>4415</v>
      </c>
      <c r="C4419" s="39">
        <f t="shared" si="138"/>
        <v>13512357.765669411</v>
      </c>
      <c r="D4419" s="39">
        <f t="shared" si="139"/>
        <v>13990541.7411466</v>
      </c>
    </row>
    <row r="4420" spans="2:4" x14ac:dyDescent="0.25">
      <c r="B4420" s="90">
        <v>4416</v>
      </c>
      <c r="C4420" s="39">
        <f t="shared" si="138"/>
        <v>13515020.677960616</v>
      </c>
      <c r="D4420" s="39">
        <f t="shared" si="139"/>
        <v>13993710.606773134</v>
      </c>
    </row>
    <row r="4421" spans="2:4" x14ac:dyDescent="0.25">
      <c r="B4421" s="90">
        <v>4417</v>
      </c>
      <c r="C4421" s="39">
        <f t="shared" si="138"/>
        <v>13517683.59025182</v>
      </c>
      <c r="D4421" s="39">
        <f t="shared" si="139"/>
        <v>13996879.472399669</v>
      </c>
    </row>
    <row r="4422" spans="2:4" x14ac:dyDescent="0.25">
      <c r="B4422" s="90">
        <v>4418</v>
      </c>
      <c r="C4422" s="39">
        <f t="shared" si="138"/>
        <v>13520346.502543027</v>
      </c>
      <c r="D4422" s="39">
        <f t="shared" si="139"/>
        <v>14000048.338026201</v>
      </c>
    </row>
    <row r="4423" spans="2:4" x14ac:dyDescent="0.25">
      <c r="B4423" s="90">
        <v>4419</v>
      </c>
      <c r="C4423" s="39">
        <f t="shared" si="138"/>
        <v>13523009.414834231</v>
      </c>
      <c r="D4423" s="39">
        <f t="shared" si="139"/>
        <v>14003217.203652736</v>
      </c>
    </row>
    <row r="4424" spans="2:4" x14ac:dyDescent="0.25">
      <c r="B4424" s="90">
        <v>4420</v>
      </c>
      <c r="C4424" s="39">
        <f t="shared" si="138"/>
        <v>13525672.327125436</v>
      </c>
      <c r="D4424" s="39">
        <f t="shared" si="139"/>
        <v>14006386.069279268</v>
      </c>
    </row>
    <row r="4425" spans="2:4" x14ac:dyDescent="0.25">
      <c r="B4425" s="90">
        <v>4421</v>
      </c>
      <c r="C4425" s="39">
        <f t="shared" si="138"/>
        <v>13528335.23941664</v>
      </c>
      <c r="D4425" s="39">
        <f t="shared" si="139"/>
        <v>14009554.934905803</v>
      </c>
    </row>
    <row r="4426" spans="2:4" x14ac:dyDescent="0.25">
      <c r="B4426" s="90">
        <v>4422</v>
      </c>
      <c r="C4426" s="39">
        <f t="shared" si="138"/>
        <v>13530998.151707845</v>
      </c>
      <c r="D4426" s="39">
        <f t="shared" si="139"/>
        <v>14012723.800532337</v>
      </c>
    </row>
    <row r="4427" spans="2:4" x14ac:dyDescent="0.25">
      <c r="B4427" s="90">
        <v>4423</v>
      </c>
      <c r="C4427" s="39">
        <f t="shared" si="138"/>
        <v>13533661.063999049</v>
      </c>
      <c r="D4427" s="39">
        <f t="shared" si="139"/>
        <v>14015892.66615887</v>
      </c>
    </row>
    <row r="4428" spans="2:4" x14ac:dyDescent="0.25">
      <c r="B4428" s="90">
        <v>4424</v>
      </c>
      <c r="C4428" s="39">
        <f t="shared" si="138"/>
        <v>13536323.976290256</v>
      </c>
      <c r="D4428" s="39">
        <f t="shared" si="139"/>
        <v>14019061.531785404</v>
      </c>
    </row>
    <row r="4429" spans="2:4" x14ac:dyDescent="0.25">
      <c r="B4429" s="90">
        <v>4425</v>
      </c>
      <c r="C4429" s="39">
        <f t="shared" si="138"/>
        <v>13538986.88858146</v>
      </c>
      <c r="D4429" s="39">
        <f t="shared" si="139"/>
        <v>14022230.397411939</v>
      </c>
    </row>
    <row r="4430" spans="2:4" x14ac:dyDescent="0.25">
      <c r="B4430" s="90">
        <v>4426</v>
      </c>
      <c r="C4430" s="39">
        <f t="shared" si="138"/>
        <v>13541649.800872665</v>
      </c>
      <c r="D4430" s="39">
        <f t="shared" si="139"/>
        <v>14025399.263038471</v>
      </c>
    </row>
    <row r="4431" spans="2:4" x14ac:dyDescent="0.25">
      <c r="B4431" s="90">
        <v>4427</v>
      </c>
      <c r="C4431" s="39">
        <f t="shared" si="138"/>
        <v>13544312.713163869</v>
      </c>
      <c r="D4431" s="39">
        <f t="shared" si="139"/>
        <v>14028568.128665006</v>
      </c>
    </row>
    <row r="4432" spans="2:4" x14ac:dyDescent="0.25">
      <c r="B4432" s="90">
        <v>4428</v>
      </c>
      <c r="C4432" s="39">
        <f t="shared" si="138"/>
        <v>13546975.625455074</v>
      </c>
      <c r="D4432" s="39">
        <f t="shared" si="139"/>
        <v>14031736.99429154</v>
      </c>
    </row>
    <row r="4433" spans="2:4" x14ac:dyDescent="0.25">
      <c r="B4433" s="90">
        <v>4429</v>
      </c>
      <c r="C4433" s="39">
        <f t="shared" si="138"/>
        <v>13549638.537746279</v>
      </c>
      <c r="D4433" s="39">
        <f t="shared" si="139"/>
        <v>14034905.859918073</v>
      </c>
    </row>
    <row r="4434" spans="2:4" x14ac:dyDescent="0.25">
      <c r="B4434" s="90">
        <v>4430</v>
      </c>
      <c r="C4434" s="39">
        <f t="shared" si="138"/>
        <v>13552301.450037485</v>
      </c>
      <c r="D4434" s="39">
        <f t="shared" si="139"/>
        <v>14038074.725544607</v>
      </c>
    </row>
    <row r="4435" spans="2:4" x14ac:dyDescent="0.25">
      <c r="B4435" s="90">
        <v>4431</v>
      </c>
      <c r="C4435" s="39">
        <f t="shared" si="138"/>
        <v>13554964.36232869</v>
      </c>
      <c r="D4435" s="39">
        <f t="shared" si="139"/>
        <v>14041243.59117114</v>
      </c>
    </row>
    <row r="4436" spans="2:4" x14ac:dyDescent="0.25">
      <c r="B4436" s="90">
        <v>4432</v>
      </c>
      <c r="C4436" s="39">
        <f t="shared" si="138"/>
        <v>13557627.274619894</v>
      </c>
      <c r="D4436" s="39">
        <f t="shared" si="139"/>
        <v>14044412.456797674</v>
      </c>
    </row>
    <row r="4437" spans="2:4" x14ac:dyDescent="0.25">
      <c r="B4437" s="90">
        <v>4433</v>
      </c>
      <c r="C4437" s="39">
        <f t="shared" si="138"/>
        <v>13560290.186911099</v>
      </c>
      <c r="D4437" s="39">
        <f t="shared" si="139"/>
        <v>14047581.322424209</v>
      </c>
    </row>
    <row r="4438" spans="2:4" x14ac:dyDescent="0.25">
      <c r="B4438" s="90">
        <v>4434</v>
      </c>
      <c r="C4438" s="39">
        <f t="shared" si="138"/>
        <v>13562953.099202303</v>
      </c>
      <c r="D4438" s="39">
        <f t="shared" si="139"/>
        <v>14050750.188050741</v>
      </c>
    </row>
    <row r="4439" spans="2:4" x14ac:dyDescent="0.25">
      <c r="B4439" s="90">
        <v>4435</v>
      </c>
      <c r="C4439" s="39">
        <f t="shared" si="138"/>
        <v>13565616.011493508</v>
      </c>
      <c r="D4439" s="39">
        <f t="shared" si="139"/>
        <v>14053919.053677276</v>
      </c>
    </row>
    <row r="4440" spans="2:4" x14ac:dyDescent="0.25">
      <c r="B4440" s="90">
        <v>4436</v>
      </c>
      <c r="C4440" s="39">
        <f t="shared" si="138"/>
        <v>13568278.923784712</v>
      </c>
      <c r="D4440" s="39">
        <f t="shared" si="139"/>
        <v>14057087.91930381</v>
      </c>
    </row>
    <row r="4441" spans="2:4" x14ac:dyDescent="0.25">
      <c r="B4441" s="90">
        <v>4437</v>
      </c>
      <c r="C4441" s="39">
        <f t="shared" si="138"/>
        <v>13570941.836075919</v>
      </c>
      <c r="D4441" s="39">
        <f t="shared" si="139"/>
        <v>14060256.784930343</v>
      </c>
    </row>
    <row r="4442" spans="2:4" x14ac:dyDescent="0.25">
      <c r="B4442" s="90">
        <v>4438</v>
      </c>
      <c r="C4442" s="39">
        <f t="shared" si="138"/>
        <v>13573604.748367123</v>
      </c>
      <c r="D4442" s="39">
        <f t="shared" si="139"/>
        <v>14063425.650556877</v>
      </c>
    </row>
    <row r="4443" spans="2:4" x14ac:dyDescent="0.25">
      <c r="B4443" s="90">
        <v>4439</v>
      </c>
      <c r="C4443" s="39">
        <f t="shared" si="138"/>
        <v>13576267.660658328</v>
      </c>
      <c r="D4443" s="39">
        <f t="shared" si="139"/>
        <v>14066594.516183412</v>
      </c>
    </row>
    <row r="4444" spans="2:4" x14ac:dyDescent="0.25">
      <c r="B4444" s="90">
        <v>4440</v>
      </c>
      <c r="C4444" s="39">
        <f t="shared" si="138"/>
        <v>13578930.572949532</v>
      </c>
      <c r="D4444" s="39">
        <f t="shared" si="139"/>
        <v>14069763.381809944</v>
      </c>
    </row>
    <row r="4445" spans="2:4" x14ac:dyDescent="0.25">
      <c r="B4445" s="90">
        <v>4441</v>
      </c>
      <c r="C4445" s="39">
        <f t="shared" si="138"/>
        <v>13581593.485240737</v>
      </c>
      <c r="D4445" s="39">
        <f t="shared" si="139"/>
        <v>14072932.247436479</v>
      </c>
    </row>
    <row r="4446" spans="2:4" x14ac:dyDescent="0.25">
      <c r="B4446" s="90">
        <v>4442</v>
      </c>
      <c r="C4446" s="39">
        <f t="shared" si="138"/>
        <v>13584256.397531942</v>
      </c>
      <c r="D4446" s="39">
        <f t="shared" si="139"/>
        <v>14076101.113063011</v>
      </c>
    </row>
    <row r="4447" spans="2:4" x14ac:dyDescent="0.25">
      <c r="B4447" s="90">
        <v>4443</v>
      </c>
      <c r="C4447" s="39">
        <f t="shared" si="138"/>
        <v>13586919.309823148</v>
      </c>
      <c r="D4447" s="39">
        <f t="shared" si="139"/>
        <v>14079269.978689546</v>
      </c>
    </row>
    <row r="4448" spans="2:4" x14ac:dyDescent="0.25">
      <c r="B4448" s="90">
        <v>4444</v>
      </c>
      <c r="C4448" s="39">
        <f t="shared" si="138"/>
        <v>13589582.222114353</v>
      </c>
      <c r="D4448" s="39">
        <f t="shared" si="139"/>
        <v>14082438.84431608</v>
      </c>
    </row>
    <row r="4449" spans="2:4" x14ac:dyDescent="0.25">
      <c r="B4449" s="90">
        <v>4445</v>
      </c>
      <c r="C4449" s="39">
        <f t="shared" si="138"/>
        <v>13592245.134405557</v>
      </c>
      <c r="D4449" s="39">
        <f t="shared" si="139"/>
        <v>14085607.709942613</v>
      </c>
    </row>
    <row r="4450" spans="2:4" x14ac:dyDescent="0.25">
      <c r="B4450" s="90">
        <v>4446</v>
      </c>
      <c r="C4450" s="39">
        <f t="shared" si="138"/>
        <v>13594908.046696762</v>
      </c>
      <c r="D4450" s="39">
        <f t="shared" si="139"/>
        <v>14088776.575569147</v>
      </c>
    </row>
    <row r="4451" spans="2:4" x14ac:dyDescent="0.25">
      <c r="B4451" s="90">
        <v>4447</v>
      </c>
      <c r="C4451" s="39">
        <f t="shared" si="138"/>
        <v>13597570.958987966</v>
      </c>
      <c r="D4451" s="39">
        <f t="shared" si="139"/>
        <v>14091945.441195682</v>
      </c>
    </row>
    <row r="4452" spans="2:4" x14ac:dyDescent="0.25">
      <c r="B4452" s="90">
        <v>4448</v>
      </c>
      <c r="C4452" s="39">
        <f t="shared" si="138"/>
        <v>13600233.871279171</v>
      </c>
      <c r="D4452" s="39">
        <f t="shared" si="139"/>
        <v>14095114.306822214</v>
      </c>
    </row>
    <row r="4453" spans="2:4" x14ac:dyDescent="0.25">
      <c r="B4453" s="90">
        <v>4449</v>
      </c>
      <c r="C4453" s="39">
        <f t="shared" si="138"/>
        <v>13602896.783570377</v>
      </c>
      <c r="D4453" s="39">
        <f t="shared" si="139"/>
        <v>14098283.172448749</v>
      </c>
    </row>
    <row r="4454" spans="2:4" x14ac:dyDescent="0.25">
      <c r="B4454" s="90">
        <v>4450</v>
      </c>
      <c r="C4454" s="39">
        <f t="shared" si="138"/>
        <v>13605559.695861582</v>
      </c>
      <c r="D4454" s="39">
        <f t="shared" si="139"/>
        <v>14101452.038075283</v>
      </c>
    </row>
    <row r="4455" spans="2:4" x14ac:dyDescent="0.25">
      <c r="B4455" s="90">
        <v>4451</v>
      </c>
      <c r="C4455" s="39">
        <f t="shared" si="138"/>
        <v>13608222.608152786</v>
      </c>
      <c r="D4455" s="39">
        <f t="shared" si="139"/>
        <v>14104620.903701816</v>
      </c>
    </row>
    <row r="4456" spans="2:4" x14ac:dyDescent="0.25">
      <c r="B4456" s="90">
        <v>4452</v>
      </c>
      <c r="C4456" s="39">
        <f t="shared" si="138"/>
        <v>13610885.520443991</v>
      </c>
      <c r="D4456" s="39">
        <f t="shared" si="139"/>
        <v>14107789.76932835</v>
      </c>
    </row>
    <row r="4457" spans="2:4" x14ac:dyDescent="0.25">
      <c r="B4457" s="90">
        <v>4453</v>
      </c>
      <c r="C4457" s="39">
        <f t="shared" si="138"/>
        <v>13613548.432735195</v>
      </c>
      <c r="D4457" s="39">
        <f t="shared" si="139"/>
        <v>14110958.634954883</v>
      </c>
    </row>
    <row r="4458" spans="2:4" x14ac:dyDescent="0.25">
      <c r="B4458" s="90">
        <v>4454</v>
      </c>
      <c r="C4458" s="39">
        <f t="shared" si="138"/>
        <v>13616211.3450264</v>
      </c>
      <c r="D4458" s="39">
        <f t="shared" si="139"/>
        <v>14114127.500581417</v>
      </c>
    </row>
    <row r="4459" spans="2:4" x14ac:dyDescent="0.25">
      <c r="B4459" s="90">
        <v>4455</v>
      </c>
      <c r="C4459" s="39">
        <f t="shared" si="138"/>
        <v>13618874.257317604</v>
      </c>
      <c r="D4459" s="39">
        <f t="shared" si="139"/>
        <v>14117296.366207952</v>
      </c>
    </row>
    <row r="4460" spans="2:4" x14ac:dyDescent="0.25">
      <c r="B4460" s="90">
        <v>4456</v>
      </c>
      <c r="C4460" s="39">
        <f t="shared" si="138"/>
        <v>13621537.169608811</v>
      </c>
      <c r="D4460" s="39">
        <f t="shared" si="139"/>
        <v>14120465.231834484</v>
      </c>
    </row>
    <row r="4461" spans="2:4" x14ac:dyDescent="0.25">
      <c r="B4461" s="90">
        <v>4457</v>
      </c>
      <c r="C4461" s="39">
        <f t="shared" si="138"/>
        <v>13624200.081900015</v>
      </c>
      <c r="D4461" s="39">
        <f t="shared" si="139"/>
        <v>14123634.097461019</v>
      </c>
    </row>
    <row r="4462" spans="2:4" x14ac:dyDescent="0.25">
      <c r="B4462" s="90">
        <v>4458</v>
      </c>
      <c r="C4462" s="39">
        <f t="shared" si="138"/>
        <v>13626862.99419122</v>
      </c>
      <c r="D4462" s="39">
        <f t="shared" si="139"/>
        <v>14126802.963087553</v>
      </c>
    </row>
    <row r="4463" spans="2:4" x14ac:dyDescent="0.25">
      <c r="B4463" s="90">
        <v>4459</v>
      </c>
      <c r="C4463" s="39">
        <f t="shared" si="138"/>
        <v>13629525.906482425</v>
      </c>
      <c r="D4463" s="39">
        <f t="shared" si="139"/>
        <v>14129971.828714086</v>
      </c>
    </row>
    <row r="4464" spans="2:4" x14ac:dyDescent="0.25">
      <c r="B4464" s="90">
        <v>4460</v>
      </c>
      <c r="C4464" s="39">
        <f t="shared" si="138"/>
        <v>13632188.818773629</v>
      </c>
      <c r="D4464" s="39">
        <f t="shared" si="139"/>
        <v>14133140.69434062</v>
      </c>
    </row>
    <row r="4465" spans="2:4" x14ac:dyDescent="0.25">
      <c r="B4465" s="90">
        <v>4461</v>
      </c>
      <c r="C4465" s="39">
        <f t="shared" ref="C4465:C4528" si="140">($C$2*B4465)+$C$1</f>
        <v>13634851.731064834</v>
      </c>
      <c r="D4465" s="39">
        <f t="shared" ref="D4465:D4528" si="141">$D$2*B4465</f>
        <v>14136309.559967155</v>
      </c>
    </row>
    <row r="4466" spans="2:4" x14ac:dyDescent="0.25">
      <c r="B4466" s="90">
        <v>4462</v>
      </c>
      <c r="C4466" s="39">
        <f t="shared" si="140"/>
        <v>13637514.64335604</v>
      </c>
      <c r="D4466" s="39">
        <f t="shared" si="141"/>
        <v>14139478.425593687</v>
      </c>
    </row>
    <row r="4467" spans="2:4" x14ac:dyDescent="0.25">
      <c r="B4467" s="90">
        <v>4463</v>
      </c>
      <c r="C4467" s="39">
        <f t="shared" si="140"/>
        <v>13640177.555647245</v>
      </c>
      <c r="D4467" s="39">
        <f t="shared" si="141"/>
        <v>14142647.291220222</v>
      </c>
    </row>
    <row r="4468" spans="2:4" x14ac:dyDescent="0.25">
      <c r="B4468" s="90">
        <v>4464</v>
      </c>
      <c r="C4468" s="39">
        <f t="shared" si="140"/>
        <v>13642840.467938449</v>
      </c>
      <c r="D4468" s="39">
        <f t="shared" si="141"/>
        <v>14145816.156846754</v>
      </c>
    </row>
    <row r="4469" spans="2:4" x14ac:dyDescent="0.25">
      <c r="B4469" s="90">
        <v>4465</v>
      </c>
      <c r="C4469" s="39">
        <f t="shared" si="140"/>
        <v>13645503.380229654</v>
      </c>
      <c r="D4469" s="39">
        <f t="shared" si="141"/>
        <v>14148985.022473289</v>
      </c>
    </row>
    <row r="4470" spans="2:4" x14ac:dyDescent="0.25">
      <c r="B4470" s="90">
        <v>4466</v>
      </c>
      <c r="C4470" s="39">
        <f t="shared" si="140"/>
        <v>13648166.292520858</v>
      </c>
      <c r="D4470" s="39">
        <f t="shared" si="141"/>
        <v>14152153.888099823</v>
      </c>
    </row>
    <row r="4471" spans="2:4" x14ac:dyDescent="0.25">
      <c r="B4471" s="90">
        <v>4467</v>
      </c>
      <c r="C4471" s="39">
        <f t="shared" si="140"/>
        <v>13650829.204812063</v>
      </c>
      <c r="D4471" s="39">
        <f t="shared" si="141"/>
        <v>14155322.753726356</v>
      </c>
    </row>
    <row r="4472" spans="2:4" x14ac:dyDescent="0.25">
      <c r="B4472" s="90">
        <v>4468</v>
      </c>
      <c r="C4472" s="39">
        <f t="shared" si="140"/>
        <v>13653492.117103267</v>
      </c>
      <c r="D4472" s="39">
        <f t="shared" si="141"/>
        <v>14158491.61935289</v>
      </c>
    </row>
    <row r="4473" spans="2:4" x14ac:dyDescent="0.25">
      <c r="B4473" s="90">
        <v>4469</v>
      </c>
      <c r="C4473" s="39">
        <f t="shared" si="140"/>
        <v>13656155.029394474</v>
      </c>
      <c r="D4473" s="39">
        <f t="shared" si="141"/>
        <v>14161660.484979425</v>
      </c>
    </row>
    <row r="4474" spans="2:4" x14ac:dyDescent="0.25">
      <c r="B4474" s="90">
        <v>4470</v>
      </c>
      <c r="C4474" s="39">
        <f t="shared" si="140"/>
        <v>13658817.941685678</v>
      </c>
      <c r="D4474" s="39">
        <f t="shared" si="141"/>
        <v>14164829.350605957</v>
      </c>
    </row>
    <row r="4475" spans="2:4" x14ac:dyDescent="0.25">
      <c r="B4475" s="90">
        <v>4471</v>
      </c>
      <c r="C4475" s="39">
        <f t="shared" si="140"/>
        <v>13661480.853976883</v>
      </c>
      <c r="D4475" s="39">
        <f t="shared" si="141"/>
        <v>14167998.216232492</v>
      </c>
    </row>
    <row r="4476" spans="2:4" x14ac:dyDescent="0.25">
      <c r="B4476" s="90">
        <v>4472</v>
      </c>
      <c r="C4476" s="39">
        <f t="shared" si="140"/>
        <v>13664143.766268088</v>
      </c>
      <c r="D4476" s="39">
        <f t="shared" si="141"/>
        <v>14171167.081859026</v>
      </c>
    </row>
    <row r="4477" spans="2:4" x14ac:dyDescent="0.25">
      <c r="B4477" s="90">
        <v>4473</v>
      </c>
      <c r="C4477" s="39">
        <f t="shared" si="140"/>
        <v>13666806.678559292</v>
      </c>
      <c r="D4477" s="39">
        <f t="shared" si="141"/>
        <v>14174335.947485559</v>
      </c>
    </row>
    <row r="4478" spans="2:4" x14ac:dyDescent="0.25">
      <c r="B4478" s="90">
        <v>4474</v>
      </c>
      <c r="C4478" s="39">
        <f t="shared" si="140"/>
        <v>13669469.590850497</v>
      </c>
      <c r="D4478" s="39">
        <f t="shared" si="141"/>
        <v>14177504.813112093</v>
      </c>
    </row>
    <row r="4479" spans="2:4" x14ac:dyDescent="0.25">
      <c r="B4479" s="90">
        <v>4475</v>
      </c>
      <c r="C4479" s="39">
        <f t="shared" si="140"/>
        <v>13672132.503141703</v>
      </c>
      <c r="D4479" s="39">
        <f t="shared" si="141"/>
        <v>14180673.678738628</v>
      </c>
    </row>
    <row r="4480" spans="2:4" x14ac:dyDescent="0.25">
      <c r="B4480" s="90">
        <v>4476</v>
      </c>
      <c r="C4480" s="39">
        <f t="shared" si="140"/>
        <v>13674795.415432908</v>
      </c>
      <c r="D4480" s="39">
        <f t="shared" si="141"/>
        <v>14183842.54436516</v>
      </c>
    </row>
    <row r="4481" spans="2:4" x14ac:dyDescent="0.25">
      <c r="B4481" s="90">
        <v>4477</v>
      </c>
      <c r="C4481" s="39">
        <f t="shared" si="140"/>
        <v>13677458.327724112</v>
      </c>
      <c r="D4481" s="39">
        <f t="shared" si="141"/>
        <v>14187011.409991695</v>
      </c>
    </row>
    <row r="4482" spans="2:4" x14ac:dyDescent="0.25">
      <c r="B4482" s="90">
        <v>4478</v>
      </c>
      <c r="C4482" s="39">
        <f t="shared" si="140"/>
        <v>13680121.240015317</v>
      </c>
      <c r="D4482" s="39">
        <f t="shared" si="141"/>
        <v>14190180.275618227</v>
      </c>
    </row>
    <row r="4483" spans="2:4" x14ac:dyDescent="0.25">
      <c r="B4483" s="90">
        <v>4479</v>
      </c>
      <c r="C4483" s="39">
        <f t="shared" si="140"/>
        <v>13682784.152306521</v>
      </c>
      <c r="D4483" s="39">
        <f t="shared" si="141"/>
        <v>14193349.141244762</v>
      </c>
    </row>
    <row r="4484" spans="2:4" x14ac:dyDescent="0.25">
      <c r="B4484" s="90">
        <v>4480</v>
      </c>
      <c r="C4484" s="39">
        <f t="shared" si="140"/>
        <v>13685447.064597726</v>
      </c>
      <c r="D4484" s="39">
        <f t="shared" si="141"/>
        <v>14196518.006871296</v>
      </c>
    </row>
    <row r="4485" spans="2:4" x14ac:dyDescent="0.25">
      <c r="B4485" s="90">
        <v>4481</v>
      </c>
      <c r="C4485" s="39">
        <f t="shared" si="140"/>
        <v>13688109.976888932</v>
      </c>
      <c r="D4485" s="39">
        <f t="shared" si="141"/>
        <v>14199686.872497829</v>
      </c>
    </row>
    <row r="4486" spans="2:4" x14ac:dyDescent="0.25">
      <c r="B4486" s="90">
        <v>4482</v>
      </c>
      <c r="C4486" s="39">
        <f t="shared" si="140"/>
        <v>13690772.889180137</v>
      </c>
      <c r="D4486" s="39">
        <f t="shared" si="141"/>
        <v>14202855.738124363</v>
      </c>
    </row>
    <row r="4487" spans="2:4" x14ac:dyDescent="0.25">
      <c r="B4487" s="90">
        <v>4483</v>
      </c>
      <c r="C4487" s="39">
        <f t="shared" si="140"/>
        <v>13693435.801471341</v>
      </c>
      <c r="D4487" s="39">
        <f t="shared" si="141"/>
        <v>14206024.603750898</v>
      </c>
    </row>
    <row r="4488" spans="2:4" x14ac:dyDescent="0.25">
      <c r="B4488" s="90">
        <v>4484</v>
      </c>
      <c r="C4488" s="39">
        <f t="shared" si="140"/>
        <v>13696098.713762546</v>
      </c>
      <c r="D4488" s="39">
        <f t="shared" si="141"/>
        <v>14209193.46937743</v>
      </c>
    </row>
    <row r="4489" spans="2:4" x14ac:dyDescent="0.25">
      <c r="B4489" s="90">
        <v>4485</v>
      </c>
      <c r="C4489" s="39">
        <f t="shared" si="140"/>
        <v>13698761.626053751</v>
      </c>
      <c r="D4489" s="39">
        <f t="shared" si="141"/>
        <v>14212362.335003965</v>
      </c>
    </row>
    <row r="4490" spans="2:4" x14ac:dyDescent="0.25">
      <c r="B4490" s="90">
        <v>4486</v>
      </c>
      <c r="C4490" s="39">
        <f t="shared" si="140"/>
        <v>13701424.538344955</v>
      </c>
      <c r="D4490" s="39">
        <f t="shared" si="141"/>
        <v>14215531.200630499</v>
      </c>
    </row>
    <row r="4491" spans="2:4" x14ac:dyDescent="0.25">
      <c r="B4491" s="90">
        <v>4487</v>
      </c>
      <c r="C4491" s="39">
        <f t="shared" si="140"/>
        <v>13704087.45063616</v>
      </c>
      <c r="D4491" s="39">
        <f t="shared" si="141"/>
        <v>14218700.066257032</v>
      </c>
    </row>
    <row r="4492" spans="2:4" x14ac:dyDescent="0.25">
      <c r="B4492" s="90">
        <v>4488</v>
      </c>
      <c r="C4492" s="39">
        <f t="shared" si="140"/>
        <v>13706750.362927366</v>
      </c>
      <c r="D4492" s="39">
        <f t="shared" si="141"/>
        <v>14221868.931883566</v>
      </c>
    </row>
    <row r="4493" spans="2:4" x14ac:dyDescent="0.25">
      <c r="B4493" s="90">
        <v>4489</v>
      </c>
      <c r="C4493" s="39">
        <f t="shared" si="140"/>
        <v>13709413.275218571</v>
      </c>
      <c r="D4493" s="39">
        <f t="shared" si="141"/>
        <v>14225037.797510099</v>
      </c>
    </row>
    <row r="4494" spans="2:4" x14ac:dyDescent="0.25">
      <c r="B4494" s="90">
        <v>4490</v>
      </c>
      <c r="C4494" s="39">
        <f t="shared" si="140"/>
        <v>13712076.187509775</v>
      </c>
      <c r="D4494" s="39">
        <f t="shared" si="141"/>
        <v>14228206.663136633</v>
      </c>
    </row>
    <row r="4495" spans="2:4" x14ac:dyDescent="0.25">
      <c r="B4495" s="90">
        <v>4491</v>
      </c>
      <c r="C4495" s="39">
        <f t="shared" si="140"/>
        <v>13714739.09980098</v>
      </c>
      <c r="D4495" s="39">
        <f t="shared" si="141"/>
        <v>14231375.528763168</v>
      </c>
    </row>
    <row r="4496" spans="2:4" x14ac:dyDescent="0.25">
      <c r="B4496" s="90">
        <v>4492</v>
      </c>
      <c r="C4496" s="39">
        <f t="shared" si="140"/>
        <v>13717402.012092184</v>
      </c>
      <c r="D4496" s="39">
        <f t="shared" si="141"/>
        <v>14234544.3943897</v>
      </c>
    </row>
    <row r="4497" spans="2:4" x14ac:dyDescent="0.25">
      <c r="B4497" s="90">
        <v>4493</v>
      </c>
      <c r="C4497" s="39">
        <f t="shared" si="140"/>
        <v>13720064.924383389</v>
      </c>
      <c r="D4497" s="39">
        <f t="shared" si="141"/>
        <v>14237713.260016235</v>
      </c>
    </row>
    <row r="4498" spans="2:4" x14ac:dyDescent="0.25">
      <c r="B4498" s="90">
        <v>4494</v>
      </c>
      <c r="C4498" s="39">
        <f t="shared" si="140"/>
        <v>13722727.836674595</v>
      </c>
      <c r="D4498" s="39">
        <f t="shared" si="141"/>
        <v>14240882.125642769</v>
      </c>
    </row>
    <row r="4499" spans="2:4" x14ac:dyDescent="0.25">
      <c r="B4499" s="90">
        <v>4495</v>
      </c>
      <c r="C4499" s="39">
        <f t="shared" si="140"/>
        <v>13725390.7489658</v>
      </c>
      <c r="D4499" s="39">
        <f t="shared" si="141"/>
        <v>14244050.991269302</v>
      </c>
    </row>
    <row r="4500" spans="2:4" x14ac:dyDescent="0.25">
      <c r="B4500" s="90">
        <v>4496</v>
      </c>
      <c r="C4500" s="39">
        <f t="shared" si="140"/>
        <v>13728053.661257004</v>
      </c>
      <c r="D4500" s="39">
        <f t="shared" si="141"/>
        <v>14247219.856895836</v>
      </c>
    </row>
    <row r="4501" spans="2:4" x14ac:dyDescent="0.25">
      <c r="B4501" s="90">
        <v>4497</v>
      </c>
      <c r="C4501" s="39">
        <f t="shared" si="140"/>
        <v>13730716.573548209</v>
      </c>
      <c r="D4501" s="39">
        <f t="shared" si="141"/>
        <v>14250388.722522371</v>
      </c>
    </row>
    <row r="4502" spans="2:4" x14ac:dyDescent="0.25">
      <c r="B4502" s="90">
        <v>4498</v>
      </c>
      <c r="C4502" s="39">
        <f t="shared" si="140"/>
        <v>13733379.485839413</v>
      </c>
      <c r="D4502" s="39">
        <f t="shared" si="141"/>
        <v>14253557.588148903</v>
      </c>
    </row>
    <row r="4503" spans="2:4" x14ac:dyDescent="0.25">
      <c r="B4503" s="90">
        <v>4499</v>
      </c>
      <c r="C4503" s="39">
        <f t="shared" si="140"/>
        <v>13736042.398130618</v>
      </c>
      <c r="D4503" s="39">
        <f t="shared" si="141"/>
        <v>14256726.453775438</v>
      </c>
    </row>
    <row r="4504" spans="2:4" x14ac:dyDescent="0.25">
      <c r="B4504" s="90">
        <v>4500</v>
      </c>
      <c r="C4504" s="39">
        <f t="shared" si="140"/>
        <v>13738705.310421824</v>
      </c>
      <c r="D4504" s="39">
        <f t="shared" si="141"/>
        <v>14259895.31940197</v>
      </c>
    </row>
    <row r="4505" spans="2:4" x14ac:dyDescent="0.25">
      <c r="B4505" s="90">
        <v>4501</v>
      </c>
      <c r="C4505" s="39">
        <f t="shared" si="140"/>
        <v>13741368.222713029</v>
      </c>
      <c r="D4505" s="39">
        <f t="shared" si="141"/>
        <v>14263064.185028505</v>
      </c>
    </row>
    <row r="4506" spans="2:4" x14ac:dyDescent="0.25">
      <c r="B4506" s="90">
        <v>4502</v>
      </c>
      <c r="C4506" s="39">
        <f t="shared" si="140"/>
        <v>13744031.135004234</v>
      </c>
      <c r="D4506" s="39">
        <f t="shared" si="141"/>
        <v>14266233.050655039</v>
      </c>
    </row>
    <row r="4507" spans="2:4" x14ac:dyDescent="0.25">
      <c r="B4507" s="90">
        <v>4503</v>
      </c>
      <c r="C4507" s="39">
        <f t="shared" si="140"/>
        <v>13746694.047295438</v>
      </c>
      <c r="D4507" s="39">
        <f t="shared" si="141"/>
        <v>14269401.916281572</v>
      </c>
    </row>
    <row r="4508" spans="2:4" x14ac:dyDescent="0.25">
      <c r="B4508" s="90">
        <v>4504</v>
      </c>
      <c r="C4508" s="39">
        <f t="shared" si="140"/>
        <v>13749356.959586643</v>
      </c>
      <c r="D4508" s="39">
        <f t="shared" si="141"/>
        <v>14272570.781908106</v>
      </c>
    </row>
    <row r="4509" spans="2:4" x14ac:dyDescent="0.25">
      <c r="B4509" s="90">
        <v>4505</v>
      </c>
      <c r="C4509" s="39">
        <f t="shared" si="140"/>
        <v>13752019.871877847</v>
      </c>
      <c r="D4509" s="39">
        <f t="shared" si="141"/>
        <v>14275739.647534641</v>
      </c>
    </row>
    <row r="4510" spans="2:4" x14ac:dyDescent="0.25">
      <c r="B4510" s="90">
        <v>4506</v>
      </c>
      <c r="C4510" s="39">
        <f t="shared" si="140"/>
        <v>13754682.784169052</v>
      </c>
      <c r="D4510" s="39">
        <f t="shared" si="141"/>
        <v>14278908.513161173</v>
      </c>
    </row>
    <row r="4511" spans="2:4" x14ac:dyDescent="0.25">
      <c r="B4511" s="90">
        <v>4507</v>
      </c>
      <c r="C4511" s="39">
        <f t="shared" si="140"/>
        <v>13757345.696460258</v>
      </c>
      <c r="D4511" s="39">
        <f t="shared" si="141"/>
        <v>14282077.378787708</v>
      </c>
    </row>
    <row r="4512" spans="2:4" x14ac:dyDescent="0.25">
      <c r="B4512" s="90">
        <v>4508</v>
      </c>
      <c r="C4512" s="39">
        <f t="shared" si="140"/>
        <v>13760008.608751463</v>
      </c>
      <c r="D4512" s="39">
        <f t="shared" si="141"/>
        <v>14285246.244414242</v>
      </c>
    </row>
    <row r="4513" spans="2:4" x14ac:dyDescent="0.25">
      <c r="B4513" s="90">
        <v>4509</v>
      </c>
      <c r="C4513" s="39">
        <f t="shared" si="140"/>
        <v>13762671.521042667</v>
      </c>
      <c r="D4513" s="39">
        <f t="shared" si="141"/>
        <v>14288415.110040775</v>
      </c>
    </row>
    <row r="4514" spans="2:4" x14ac:dyDescent="0.25">
      <c r="B4514" s="90">
        <v>4510</v>
      </c>
      <c r="C4514" s="39">
        <f t="shared" si="140"/>
        <v>13765334.433333872</v>
      </c>
      <c r="D4514" s="39">
        <f t="shared" si="141"/>
        <v>14291583.975667309</v>
      </c>
    </row>
    <row r="4515" spans="2:4" x14ac:dyDescent="0.25">
      <c r="B4515" s="90">
        <v>4511</v>
      </c>
      <c r="C4515" s="39">
        <f t="shared" si="140"/>
        <v>13767997.345625076</v>
      </c>
      <c r="D4515" s="39">
        <f t="shared" si="141"/>
        <v>14294752.841293842</v>
      </c>
    </row>
    <row r="4516" spans="2:4" x14ac:dyDescent="0.25">
      <c r="B4516" s="90">
        <v>4512</v>
      </c>
      <c r="C4516" s="39">
        <f t="shared" si="140"/>
        <v>13770660.257916281</v>
      </c>
      <c r="D4516" s="39">
        <f t="shared" si="141"/>
        <v>14297921.706920376</v>
      </c>
    </row>
    <row r="4517" spans="2:4" x14ac:dyDescent="0.25">
      <c r="B4517" s="90">
        <v>4513</v>
      </c>
      <c r="C4517" s="39">
        <f t="shared" si="140"/>
        <v>13773323.170207487</v>
      </c>
      <c r="D4517" s="39">
        <f t="shared" si="141"/>
        <v>14301090.57254691</v>
      </c>
    </row>
    <row r="4518" spans="2:4" x14ac:dyDescent="0.25">
      <c r="B4518" s="90">
        <v>4514</v>
      </c>
      <c r="C4518" s="39">
        <f t="shared" si="140"/>
        <v>13775986.082498692</v>
      </c>
      <c r="D4518" s="39">
        <f t="shared" si="141"/>
        <v>14304259.438173443</v>
      </c>
    </row>
    <row r="4519" spans="2:4" x14ac:dyDescent="0.25">
      <c r="B4519" s="90">
        <v>4515</v>
      </c>
      <c r="C4519" s="39">
        <f t="shared" si="140"/>
        <v>13778648.994789897</v>
      </c>
      <c r="D4519" s="39">
        <f t="shared" si="141"/>
        <v>14307428.303799978</v>
      </c>
    </row>
    <row r="4520" spans="2:4" x14ac:dyDescent="0.25">
      <c r="B4520" s="90">
        <v>4516</v>
      </c>
      <c r="C4520" s="39">
        <f t="shared" si="140"/>
        <v>13781311.907081101</v>
      </c>
      <c r="D4520" s="39">
        <f t="shared" si="141"/>
        <v>14310597.169426512</v>
      </c>
    </row>
    <row r="4521" spans="2:4" x14ac:dyDescent="0.25">
      <c r="B4521" s="90">
        <v>4517</v>
      </c>
      <c r="C4521" s="39">
        <f t="shared" si="140"/>
        <v>13783974.819372306</v>
      </c>
      <c r="D4521" s="39">
        <f t="shared" si="141"/>
        <v>14313766.035053045</v>
      </c>
    </row>
    <row r="4522" spans="2:4" x14ac:dyDescent="0.25">
      <c r="B4522" s="90">
        <v>4518</v>
      </c>
      <c r="C4522" s="39">
        <f t="shared" si="140"/>
        <v>13786637.73166351</v>
      </c>
      <c r="D4522" s="39">
        <f t="shared" si="141"/>
        <v>14316934.900679579</v>
      </c>
    </row>
    <row r="4523" spans="2:4" x14ac:dyDescent="0.25">
      <c r="B4523" s="90">
        <v>4519</v>
      </c>
      <c r="C4523" s="39">
        <f t="shared" si="140"/>
        <v>13789300.643954717</v>
      </c>
      <c r="D4523" s="39">
        <f t="shared" si="141"/>
        <v>14320103.766306113</v>
      </c>
    </row>
    <row r="4524" spans="2:4" x14ac:dyDescent="0.25">
      <c r="B4524" s="90">
        <v>4520</v>
      </c>
      <c r="C4524" s="39">
        <f t="shared" si="140"/>
        <v>13791963.556245921</v>
      </c>
      <c r="D4524" s="39">
        <f t="shared" si="141"/>
        <v>14323272.631932646</v>
      </c>
    </row>
    <row r="4525" spans="2:4" x14ac:dyDescent="0.25">
      <c r="B4525" s="90">
        <v>4521</v>
      </c>
      <c r="C4525" s="39">
        <f t="shared" si="140"/>
        <v>13794626.468537126</v>
      </c>
      <c r="D4525" s="39">
        <f t="shared" si="141"/>
        <v>14326441.49755918</v>
      </c>
    </row>
    <row r="4526" spans="2:4" x14ac:dyDescent="0.25">
      <c r="B4526" s="90">
        <v>4522</v>
      </c>
      <c r="C4526" s="39">
        <f t="shared" si="140"/>
        <v>13797289.38082833</v>
      </c>
      <c r="D4526" s="39">
        <f t="shared" si="141"/>
        <v>14329610.363185713</v>
      </c>
    </row>
    <row r="4527" spans="2:4" x14ac:dyDescent="0.25">
      <c r="B4527" s="90">
        <v>4523</v>
      </c>
      <c r="C4527" s="39">
        <f t="shared" si="140"/>
        <v>13799952.293119535</v>
      </c>
      <c r="D4527" s="39">
        <f t="shared" si="141"/>
        <v>14332779.228812248</v>
      </c>
    </row>
    <row r="4528" spans="2:4" x14ac:dyDescent="0.25">
      <c r="B4528" s="90">
        <v>4524</v>
      </c>
      <c r="C4528" s="39">
        <f t="shared" si="140"/>
        <v>13802615.205410739</v>
      </c>
      <c r="D4528" s="39">
        <f t="shared" si="141"/>
        <v>14335948.094438782</v>
      </c>
    </row>
    <row r="4529" spans="2:4" x14ac:dyDescent="0.25">
      <c r="B4529" s="90">
        <v>4525</v>
      </c>
      <c r="C4529" s="39">
        <f t="shared" ref="C4529:C4592" si="142">($C$2*B4529)+$C$1</f>
        <v>13805278.117701944</v>
      </c>
      <c r="D4529" s="39">
        <f t="shared" ref="D4529:D4592" si="143">$D$2*B4529</f>
        <v>14339116.960065315</v>
      </c>
    </row>
    <row r="4530" spans="2:4" x14ac:dyDescent="0.25">
      <c r="B4530" s="90">
        <v>4526</v>
      </c>
      <c r="C4530" s="39">
        <f t="shared" si="142"/>
        <v>13807941.02999315</v>
      </c>
      <c r="D4530" s="39">
        <f t="shared" si="143"/>
        <v>14342285.825691849</v>
      </c>
    </row>
    <row r="4531" spans="2:4" x14ac:dyDescent="0.25">
      <c r="B4531" s="90">
        <v>4527</v>
      </c>
      <c r="C4531" s="39">
        <f t="shared" si="142"/>
        <v>13810603.942284355</v>
      </c>
      <c r="D4531" s="39">
        <f t="shared" si="143"/>
        <v>14345454.691318383</v>
      </c>
    </row>
    <row r="4532" spans="2:4" x14ac:dyDescent="0.25">
      <c r="B4532" s="90">
        <v>4528</v>
      </c>
      <c r="C4532" s="39">
        <f t="shared" si="142"/>
        <v>13813266.854575559</v>
      </c>
      <c r="D4532" s="39">
        <f t="shared" si="143"/>
        <v>14348623.556944916</v>
      </c>
    </row>
    <row r="4533" spans="2:4" x14ac:dyDescent="0.25">
      <c r="B4533" s="90">
        <v>4529</v>
      </c>
      <c r="C4533" s="39">
        <f t="shared" si="142"/>
        <v>13815929.766866764</v>
      </c>
      <c r="D4533" s="39">
        <f t="shared" si="143"/>
        <v>14351792.42257145</v>
      </c>
    </row>
    <row r="4534" spans="2:4" x14ac:dyDescent="0.25">
      <c r="B4534" s="90">
        <v>4530</v>
      </c>
      <c r="C4534" s="39">
        <f t="shared" si="142"/>
        <v>13818592.679157969</v>
      </c>
      <c r="D4534" s="39">
        <f t="shared" si="143"/>
        <v>14354961.288197985</v>
      </c>
    </row>
    <row r="4535" spans="2:4" x14ac:dyDescent="0.25">
      <c r="B4535" s="90">
        <v>4531</v>
      </c>
      <c r="C4535" s="39">
        <f t="shared" si="142"/>
        <v>13821255.591449173</v>
      </c>
      <c r="D4535" s="39">
        <f t="shared" si="143"/>
        <v>14358130.153824518</v>
      </c>
    </row>
    <row r="4536" spans="2:4" x14ac:dyDescent="0.25">
      <c r="B4536" s="90">
        <v>4532</v>
      </c>
      <c r="C4536" s="39">
        <f t="shared" si="142"/>
        <v>13823918.50374038</v>
      </c>
      <c r="D4536" s="39">
        <f t="shared" si="143"/>
        <v>14361299.019451052</v>
      </c>
    </row>
    <row r="4537" spans="2:4" x14ac:dyDescent="0.25">
      <c r="B4537" s="90">
        <v>4533</v>
      </c>
      <c r="C4537" s="39">
        <f t="shared" si="142"/>
        <v>13826581.416031584</v>
      </c>
      <c r="D4537" s="39">
        <f t="shared" si="143"/>
        <v>14364467.885077585</v>
      </c>
    </row>
    <row r="4538" spans="2:4" x14ac:dyDescent="0.25">
      <c r="B4538" s="90">
        <v>4534</v>
      </c>
      <c r="C4538" s="39">
        <f t="shared" si="142"/>
        <v>13829244.328322789</v>
      </c>
      <c r="D4538" s="39">
        <f t="shared" si="143"/>
        <v>14367636.750704119</v>
      </c>
    </row>
    <row r="4539" spans="2:4" x14ac:dyDescent="0.25">
      <c r="B4539" s="90">
        <v>4535</v>
      </c>
      <c r="C4539" s="39">
        <f t="shared" si="142"/>
        <v>13831907.240613993</v>
      </c>
      <c r="D4539" s="39">
        <f t="shared" si="143"/>
        <v>14370805.616330653</v>
      </c>
    </row>
    <row r="4540" spans="2:4" x14ac:dyDescent="0.25">
      <c r="B4540" s="90">
        <v>4536</v>
      </c>
      <c r="C4540" s="39">
        <f t="shared" si="142"/>
        <v>13834570.152905198</v>
      </c>
      <c r="D4540" s="39">
        <f t="shared" si="143"/>
        <v>14373974.481957186</v>
      </c>
    </row>
    <row r="4541" spans="2:4" x14ac:dyDescent="0.25">
      <c r="B4541" s="90">
        <v>4537</v>
      </c>
      <c r="C4541" s="39">
        <f t="shared" si="142"/>
        <v>13837233.065196402</v>
      </c>
      <c r="D4541" s="39">
        <f t="shared" si="143"/>
        <v>14377143.34758372</v>
      </c>
    </row>
    <row r="4542" spans="2:4" x14ac:dyDescent="0.25">
      <c r="B4542" s="90">
        <v>4538</v>
      </c>
      <c r="C4542" s="39">
        <f t="shared" si="142"/>
        <v>13839895.977487607</v>
      </c>
      <c r="D4542" s="39">
        <f t="shared" si="143"/>
        <v>14380312.213210255</v>
      </c>
    </row>
    <row r="4543" spans="2:4" x14ac:dyDescent="0.25">
      <c r="B4543" s="90">
        <v>4539</v>
      </c>
      <c r="C4543" s="39">
        <f t="shared" si="142"/>
        <v>13842558.889778813</v>
      </c>
      <c r="D4543" s="39">
        <f t="shared" si="143"/>
        <v>14383481.078836787</v>
      </c>
    </row>
    <row r="4544" spans="2:4" x14ac:dyDescent="0.25">
      <c r="B4544" s="90">
        <v>4540</v>
      </c>
      <c r="C4544" s="39">
        <f t="shared" si="142"/>
        <v>13845221.802070018</v>
      </c>
      <c r="D4544" s="39">
        <f t="shared" si="143"/>
        <v>14386649.944463322</v>
      </c>
    </row>
    <row r="4545" spans="2:4" x14ac:dyDescent="0.25">
      <c r="B4545" s="90">
        <v>4541</v>
      </c>
      <c r="C4545" s="39">
        <f t="shared" si="142"/>
        <v>13847884.714361222</v>
      </c>
      <c r="D4545" s="39">
        <f t="shared" si="143"/>
        <v>14389818.810089856</v>
      </c>
    </row>
    <row r="4546" spans="2:4" x14ac:dyDescent="0.25">
      <c r="B4546" s="90">
        <v>4542</v>
      </c>
      <c r="C4546" s="39">
        <f t="shared" si="142"/>
        <v>13850547.626652427</v>
      </c>
      <c r="D4546" s="39">
        <f t="shared" si="143"/>
        <v>14392987.675716389</v>
      </c>
    </row>
    <row r="4547" spans="2:4" x14ac:dyDescent="0.25">
      <c r="B4547" s="90">
        <v>4543</v>
      </c>
      <c r="C4547" s="39">
        <f t="shared" si="142"/>
        <v>13853210.538943632</v>
      </c>
      <c r="D4547" s="39">
        <f t="shared" si="143"/>
        <v>14396156.541342923</v>
      </c>
    </row>
    <row r="4548" spans="2:4" x14ac:dyDescent="0.25">
      <c r="B4548" s="90">
        <v>4544</v>
      </c>
      <c r="C4548" s="39">
        <f t="shared" si="142"/>
        <v>13855873.451234836</v>
      </c>
      <c r="D4548" s="39">
        <f t="shared" si="143"/>
        <v>14399325.406969456</v>
      </c>
    </row>
    <row r="4549" spans="2:4" x14ac:dyDescent="0.25">
      <c r="B4549" s="90">
        <v>4545</v>
      </c>
      <c r="C4549" s="39">
        <f t="shared" si="142"/>
        <v>13858536.363526043</v>
      </c>
      <c r="D4549" s="39">
        <f t="shared" si="143"/>
        <v>14402494.27259599</v>
      </c>
    </row>
    <row r="4550" spans="2:4" x14ac:dyDescent="0.25">
      <c r="B4550" s="90">
        <v>4546</v>
      </c>
      <c r="C4550" s="39">
        <f t="shared" si="142"/>
        <v>13861199.275817247</v>
      </c>
      <c r="D4550" s="39">
        <f t="shared" si="143"/>
        <v>14405663.138222525</v>
      </c>
    </row>
    <row r="4551" spans="2:4" x14ac:dyDescent="0.25">
      <c r="B4551" s="90">
        <v>4547</v>
      </c>
      <c r="C4551" s="39">
        <f t="shared" si="142"/>
        <v>13863862.188108452</v>
      </c>
      <c r="D4551" s="39">
        <f t="shared" si="143"/>
        <v>14408832.003849057</v>
      </c>
    </row>
    <row r="4552" spans="2:4" x14ac:dyDescent="0.25">
      <c r="B4552" s="90">
        <v>4548</v>
      </c>
      <c r="C4552" s="39">
        <f t="shared" si="142"/>
        <v>13866525.100399656</v>
      </c>
      <c r="D4552" s="39">
        <f t="shared" si="143"/>
        <v>14412000.869475592</v>
      </c>
    </row>
    <row r="4553" spans="2:4" x14ac:dyDescent="0.25">
      <c r="B4553" s="90">
        <v>4549</v>
      </c>
      <c r="C4553" s="39">
        <f t="shared" si="142"/>
        <v>13869188.012690861</v>
      </c>
      <c r="D4553" s="39">
        <f t="shared" si="143"/>
        <v>14415169.735102126</v>
      </c>
    </row>
    <row r="4554" spans="2:4" x14ac:dyDescent="0.25">
      <c r="B4554" s="90">
        <v>4550</v>
      </c>
      <c r="C4554" s="39">
        <f t="shared" si="142"/>
        <v>13871850.924982065</v>
      </c>
      <c r="D4554" s="39">
        <f t="shared" si="143"/>
        <v>14418338.600728659</v>
      </c>
    </row>
    <row r="4555" spans="2:4" x14ac:dyDescent="0.25">
      <c r="B4555" s="90">
        <v>4551</v>
      </c>
      <c r="C4555" s="39">
        <f t="shared" si="142"/>
        <v>13874513.837273272</v>
      </c>
      <c r="D4555" s="39">
        <f t="shared" si="143"/>
        <v>14421507.466355193</v>
      </c>
    </row>
    <row r="4556" spans="2:4" x14ac:dyDescent="0.25">
      <c r="B4556" s="90">
        <v>4552</v>
      </c>
      <c r="C4556" s="39">
        <f t="shared" si="142"/>
        <v>13877176.749564476</v>
      </c>
      <c r="D4556" s="39">
        <f t="shared" si="143"/>
        <v>14424676.331981728</v>
      </c>
    </row>
    <row r="4557" spans="2:4" x14ac:dyDescent="0.25">
      <c r="B4557" s="90">
        <v>4553</v>
      </c>
      <c r="C4557" s="39">
        <f t="shared" si="142"/>
        <v>13879839.661855681</v>
      </c>
      <c r="D4557" s="39">
        <f t="shared" si="143"/>
        <v>14427845.19760826</v>
      </c>
    </row>
    <row r="4558" spans="2:4" x14ac:dyDescent="0.25">
      <c r="B4558" s="90">
        <v>4554</v>
      </c>
      <c r="C4558" s="39">
        <f t="shared" si="142"/>
        <v>13882502.574146885</v>
      </c>
      <c r="D4558" s="39">
        <f t="shared" si="143"/>
        <v>14431014.063234795</v>
      </c>
    </row>
    <row r="4559" spans="2:4" x14ac:dyDescent="0.25">
      <c r="B4559" s="90">
        <v>4555</v>
      </c>
      <c r="C4559" s="39">
        <f t="shared" si="142"/>
        <v>13885165.48643809</v>
      </c>
      <c r="D4559" s="39">
        <f t="shared" si="143"/>
        <v>14434182.928861327</v>
      </c>
    </row>
    <row r="4560" spans="2:4" x14ac:dyDescent="0.25">
      <c r="B4560" s="90">
        <v>4556</v>
      </c>
      <c r="C4560" s="39">
        <f t="shared" si="142"/>
        <v>13887828.398729295</v>
      </c>
      <c r="D4560" s="39">
        <f t="shared" si="143"/>
        <v>14437351.794487862</v>
      </c>
    </row>
    <row r="4561" spans="2:4" x14ac:dyDescent="0.25">
      <c r="B4561" s="90">
        <v>4557</v>
      </c>
      <c r="C4561" s="39">
        <f t="shared" si="142"/>
        <v>13890491.311020499</v>
      </c>
      <c r="D4561" s="39">
        <f t="shared" si="143"/>
        <v>14440520.660114396</v>
      </c>
    </row>
    <row r="4562" spans="2:4" x14ac:dyDescent="0.25">
      <c r="B4562" s="90">
        <v>4558</v>
      </c>
      <c r="C4562" s="39">
        <f t="shared" si="142"/>
        <v>13893154.223311706</v>
      </c>
      <c r="D4562" s="39">
        <f t="shared" si="143"/>
        <v>14443689.525740929</v>
      </c>
    </row>
    <row r="4563" spans="2:4" x14ac:dyDescent="0.25">
      <c r="B4563" s="90">
        <v>4559</v>
      </c>
      <c r="C4563" s="39">
        <f t="shared" si="142"/>
        <v>13895817.13560291</v>
      </c>
      <c r="D4563" s="39">
        <f t="shared" si="143"/>
        <v>14446858.391367463</v>
      </c>
    </row>
    <row r="4564" spans="2:4" x14ac:dyDescent="0.25">
      <c r="B4564" s="90">
        <v>4560</v>
      </c>
      <c r="C4564" s="39">
        <f t="shared" si="142"/>
        <v>13898480.047894115</v>
      </c>
      <c r="D4564" s="39">
        <f t="shared" si="143"/>
        <v>14450027.256993998</v>
      </c>
    </row>
    <row r="4565" spans="2:4" x14ac:dyDescent="0.25">
      <c r="B4565" s="90">
        <v>4561</v>
      </c>
      <c r="C4565" s="39">
        <f t="shared" si="142"/>
        <v>13901142.960185319</v>
      </c>
      <c r="D4565" s="39">
        <f t="shared" si="143"/>
        <v>14453196.12262053</v>
      </c>
    </row>
    <row r="4566" spans="2:4" x14ac:dyDescent="0.25">
      <c r="B4566" s="90">
        <v>4562</v>
      </c>
      <c r="C4566" s="39">
        <f t="shared" si="142"/>
        <v>13903805.872476524</v>
      </c>
      <c r="D4566" s="39">
        <f t="shared" si="143"/>
        <v>14456364.988247065</v>
      </c>
    </row>
    <row r="4567" spans="2:4" x14ac:dyDescent="0.25">
      <c r="B4567" s="90">
        <v>4563</v>
      </c>
      <c r="C4567" s="39">
        <f t="shared" si="142"/>
        <v>13906468.784767728</v>
      </c>
      <c r="D4567" s="39">
        <f t="shared" si="143"/>
        <v>14459533.853873599</v>
      </c>
    </row>
    <row r="4568" spans="2:4" x14ac:dyDescent="0.25">
      <c r="B4568" s="90">
        <v>4564</v>
      </c>
      <c r="C4568" s="39">
        <f t="shared" si="142"/>
        <v>13909131.697058935</v>
      </c>
      <c r="D4568" s="39">
        <f t="shared" si="143"/>
        <v>14462702.719500132</v>
      </c>
    </row>
    <row r="4569" spans="2:4" x14ac:dyDescent="0.25">
      <c r="B4569" s="90">
        <v>4565</v>
      </c>
      <c r="C4569" s="39">
        <f t="shared" si="142"/>
        <v>13911794.609350139</v>
      </c>
      <c r="D4569" s="39">
        <f t="shared" si="143"/>
        <v>14465871.585126666</v>
      </c>
    </row>
    <row r="4570" spans="2:4" x14ac:dyDescent="0.25">
      <c r="B4570" s="90">
        <v>4566</v>
      </c>
      <c r="C4570" s="39">
        <f t="shared" si="142"/>
        <v>13914457.521641344</v>
      </c>
      <c r="D4570" s="39">
        <f t="shared" si="143"/>
        <v>14469040.450753199</v>
      </c>
    </row>
    <row r="4571" spans="2:4" x14ac:dyDescent="0.25">
      <c r="B4571" s="90">
        <v>4567</v>
      </c>
      <c r="C4571" s="39">
        <f t="shared" si="142"/>
        <v>13917120.433932548</v>
      </c>
      <c r="D4571" s="39">
        <f t="shared" si="143"/>
        <v>14472209.316379733</v>
      </c>
    </row>
    <row r="4572" spans="2:4" x14ac:dyDescent="0.25">
      <c r="B4572" s="90">
        <v>4568</v>
      </c>
      <c r="C4572" s="39">
        <f t="shared" si="142"/>
        <v>13919783.346223753</v>
      </c>
      <c r="D4572" s="39">
        <f t="shared" si="143"/>
        <v>14475378.182006268</v>
      </c>
    </row>
    <row r="4573" spans="2:4" x14ac:dyDescent="0.25">
      <c r="B4573" s="90">
        <v>4569</v>
      </c>
      <c r="C4573" s="39">
        <f t="shared" si="142"/>
        <v>13922446.258514958</v>
      </c>
      <c r="D4573" s="39">
        <f t="shared" si="143"/>
        <v>14478547.0476328</v>
      </c>
    </row>
    <row r="4574" spans="2:4" x14ac:dyDescent="0.25">
      <c r="B4574" s="90">
        <v>4570</v>
      </c>
      <c r="C4574" s="39">
        <f t="shared" si="142"/>
        <v>13925109.170806164</v>
      </c>
      <c r="D4574" s="39">
        <f t="shared" si="143"/>
        <v>14481715.913259335</v>
      </c>
    </row>
    <row r="4575" spans="2:4" x14ac:dyDescent="0.25">
      <c r="B4575" s="90">
        <v>4571</v>
      </c>
      <c r="C4575" s="39">
        <f t="shared" si="142"/>
        <v>13927772.083097368</v>
      </c>
      <c r="D4575" s="39">
        <f t="shared" si="143"/>
        <v>14484884.778885869</v>
      </c>
    </row>
    <row r="4576" spans="2:4" x14ac:dyDescent="0.25">
      <c r="B4576" s="90">
        <v>4572</v>
      </c>
      <c r="C4576" s="39">
        <f t="shared" si="142"/>
        <v>13930434.995388573</v>
      </c>
      <c r="D4576" s="39">
        <f t="shared" si="143"/>
        <v>14488053.644512402</v>
      </c>
    </row>
    <row r="4577" spans="2:4" x14ac:dyDescent="0.25">
      <c r="B4577" s="90">
        <v>4573</v>
      </c>
      <c r="C4577" s="39">
        <f t="shared" si="142"/>
        <v>13933097.907679778</v>
      </c>
      <c r="D4577" s="39">
        <f t="shared" si="143"/>
        <v>14491222.510138936</v>
      </c>
    </row>
    <row r="4578" spans="2:4" x14ac:dyDescent="0.25">
      <c r="B4578" s="90">
        <v>4574</v>
      </c>
      <c r="C4578" s="39">
        <f t="shared" si="142"/>
        <v>13935760.819970982</v>
      </c>
      <c r="D4578" s="39">
        <f t="shared" si="143"/>
        <v>14494391.375765471</v>
      </c>
    </row>
    <row r="4579" spans="2:4" x14ac:dyDescent="0.25">
      <c r="B4579" s="90">
        <v>4575</v>
      </c>
      <c r="C4579" s="39">
        <f t="shared" si="142"/>
        <v>13938423.732262187</v>
      </c>
      <c r="D4579" s="39">
        <f t="shared" si="143"/>
        <v>14497560.241392003</v>
      </c>
    </row>
    <row r="4580" spans="2:4" x14ac:dyDescent="0.25">
      <c r="B4580" s="90">
        <v>4576</v>
      </c>
      <c r="C4580" s="39">
        <f t="shared" si="142"/>
        <v>13941086.644553391</v>
      </c>
      <c r="D4580" s="39">
        <f t="shared" si="143"/>
        <v>14500729.107018538</v>
      </c>
    </row>
    <row r="4581" spans="2:4" x14ac:dyDescent="0.25">
      <c r="B4581" s="90">
        <v>4577</v>
      </c>
      <c r="C4581" s="39">
        <f t="shared" si="142"/>
        <v>13943749.556844598</v>
      </c>
      <c r="D4581" s="39">
        <f t="shared" si="143"/>
        <v>14503897.97264507</v>
      </c>
    </row>
    <row r="4582" spans="2:4" x14ac:dyDescent="0.25">
      <c r="B4582" s="90">
        <v>4578</v>
      </c>
      <c r="C4582" s="39">
        <f t="shared" si="142"/>
        <v>13946412.469135802</v>
      </c>
      <c r="D4582" s="39">
        <f t="shared" si="143"/>
        <v>14507066.838271605</v>
      </c>
    </row>
    <row r="4583" spans="2:4" x14ac:dyDescent="0.25">
      <c r="B4583" s="90">
        <v>4579</v>
      </c>
      <c r="C4583" s="39">
        <f t="shared" si="142"/>
        <v>13949075.381427007</v>
      </c>
      <c r="D4583" s="39">
        <f t="shared" si="143"/>
        <v>14510235.703898139</v>
      </c>
    </row>
    <row r="4584" spans="2:4" x14ac:dyDescent="0.25">
      <c r="B4584" s="90">
        <v>4580</v>
      </c>
      <c r="C4584" s="39">
        <f t="shared" si="142"/>
        <v>13951738.293718211</v>
      </c>
      <c r="D4584" s="39">
        <f t="shared" si="143"/>
        <v>14513404.569524672</v>
      </c>
    </row>
    <row r="4585" spans="2:4" x14ac:dyDescent="0.25">
      <c r="B4585" s="90">
        <v>4581</v>
      </c>
      <c r="C4585" s="39">
        <f t="shared" si="142"/>
        <v>13954401.206009416</v>
      </c>
      <c r="D4585" s="39">
        <f t="shared" si="143"/>
        <v>14516573.435151206</v>
      </c>
    </row>
    <row r="4586" spans="2:4" x14ac:dyDescent="0.25">
      <c r="B4586" s="90">
        <v>4582</v>
      </c>
      <c r="C4586" s="39">
        <f t="shared" si="142"/>
        <v>13957064.11830062</v>
      </c>
      <c r="D4586" s="39">
        <f t="shared" si="143"/>
        <v>14519742.300777741</v>
      </c>
    </row>
    <row r="4587" spans="2:4" x14ac:dyDescent="0.25">
      <c r="B4587" s="90">
        <v>4583</v>
      </c>
      <c r="C4587" s="39">
        <f t="shared" si="142"/>
        <v>13959727.030591827</v>
      </c>
      <c r="D4587" s="39">
        <f t="shared" si="143"/>
        <v>14522911.166404273</v>
      </c>
    </row>
    <row r="4588" spans="2:4" x14ac:dyDescent="0.25">
      <c r="B4588" s="90">
        <v>4584</v>
      </c>
      <c r="C4588" s="39">
        <f t="shared" si="142"/>
        <v>13962389.942883031</v>
      </c>
      <c r="D4588" s="39">
        <f t="shared" si="143"/>
        <v>14526080.032030808</v>
      </c>
    </row>
    <row r="4589" spans="2:4" x14ac:dyDescent="0.25">
      <c r="B4589" s="90">
        <v>4585</v>
      </c>
      <c r="C4589" s="39">
        <f t="shared" si="142"/>
        <v>13965052.855174236</v>
      </c>
      <c r="D4589" s="39">
        <f t="shared" si="143"/>
        <v>14529248.897657342</v>
      </c>
    </row>
    <row r="4590" spans="2:4" x14ac:dyDescent="0.25">
      <c r="B4590" s="90">
        <v>4586</v>
      </c>
      <c r="C4590" s="39">
        <f t="shared" si="142"/>
        <v>13967715.767465441</v>
      </c>
      <c r="D4590" s="39">
        <f t="shared" si="143"/>
        <v>14532417.763283875</v>
      </c>
    </row>
    <row r="4591" spans="2:4" x14ac:dyDescent="0.25">
      <c r="B4591" s="90">
        <v>4587</v>
      </c>
      <c r="C4591" s="39">
        <f t="shared" si="142"/>
        <v>13970378.679756645</v>
      </c>
      <c r="D4591" s="39">
        <f t="shared" si="143"/>
        <v>14535586.628910409</v>
      </c>
    </row>
    <row r="4592" spans="2:4" x14ac:dyDescent="0.25">
      <c r="B4592" s="90">
        <v>4588</v>
      </c>
      <c r="C4592" s="39">
        <f t="shared" si="142"/>
        <v>13973041.59204785</v>
      </c>
      <c r="D4592" s="39">
        <f t="shared" si="143"/>
        <v>14538755.494536944</v>
      </c>
    </row>
    <row r="4593" spans="2:4" x14ac:dyDescent="0.25">
      <c r="B4593" s="90">
        <v>4589</v>
      </c>
      <c r="C4593" s="39">
        <f t="shared" ref="C4593:C4656" si="144">($C$2*B4593)+$C$1</f>
        <v>13975704.504339056</v>
      </c>
      <c r="D4593" s="39">
        <f t="shared" ref="D4593:D4656" si="145">$D$2*B4593</f>
        <v>14541924.360163476</v>
      </c>
    </row>
    <row r="4594" spans="2:4" x14ac:dyDescent="0.25">
      <c r="B4594" s="90">
        <v>4590</v>
      </c>
      <c r="C4594" s="39">
        <f t="shared" si="144"/>
        <v>13978367.416630261</v>
      </c>
      <c r="D4594" s="39">
        <f t="shared" si="145"/>
        <v>14545093.225790011</v>
      </c>
    </row>
    <row r="4595" spans="2:4" x14ac:dyDescent="0.25">
      <c r="B4595" s="90">
        <v>4591</v>
      </c>
      <c r="C4595" s="39">
        <f t="shared" si="144"/>
        <v>13981030.328921465</v>
      </c>
      <c r="D4595" s="39">
        <f t="shared" si="145"/>
        <v>14548262.091416543</v>
      </c>
    </row>
    <row r="4596" spans="2:4" x14ac:dyDescent="0.25">
      <c r="B4596" s="90">
        <v>4592</v>
      </c>
      <c r="C4596" s="39">
        <f t="shared" si="144"/>
        <v>13983693.24121267</v>
      </c>
      <c r="D4596" s="39">
        <f t="shared" si="145"/>
        <v>14551430.957043078</v>
      </c>
    </row>
    <row r="4597" spans="2:4" x14ac:dyDescent="0.25">
      <c r="B4597" s="90">
        <v>4593</v>
      </c>
      <c r="C4597" s="39">
        <f t="shared" si="144"/>
        <v>13986356.153503874</v>
      </c>
      <c r="D4597" s="39">
        <f t="shared" si="145"/>
        <v>14554599.822669612</v>
      </c>
    </row>
    <row r="4598" spans="2:4" x14ac:dyDescent="0.25">
      <c r="B4598" s="90">
        <v>4594</v>
      </c>
      <c r="C4598" s="39">
        <f t="shared" si="144"/>
        <v>13989019.065795079</v>
      </c>
      <c r="D4598" s="39">
        <f t="shared" si="145"/>
        <v>14557768.688296145</v>
      </c>
    </row>
    <row r="4599" spans="2:4" x14ac:dyDescent="0.25">
      <c r="B4599" s="90">
        <v>4595</v>
      </c>
      <c r="C4599" s="39">
        <f t="shared" si="144"/>
        <v>13991681.978086283</v>
      </c>
      <c r="D4599" s="39">
        <f t="shared" si="145"/>
        <v>14560937.553922679</v>
      </c>
    </row>
    <row r="4600" spans="2:4" x14ac:dyDescent="0.25">
      <c r="B4600" s="90">
        <v>4596</v>
      </c>
      <c r="C4600" s="39">
        <f t="shared" si="144"/>
        <v>13994344.89037749</v>
      </c>
      <c r="D4600" s="39">
        <f t="shared" si="145"/>
        <v>14564106.419549214</v>
      </c>
    </row>
    <row r="4601" spans="2:4" x14ac:dyDescent="0.25">
      <c r="B4601" s="90">
        <v>4597</v>
      </c>
      <c r="C4601" s="39">
        <f t="shared" si="144"/>
        <v>13997007.802668694</v>
      </c>
      <c r="D4601" s="39">
        <f t="shared" si="145"/>
        <v>14567275.285175746</v>
      </c>
    </row>
    <row r="4602" spans="2:4" x14ac:dyDescent="0.25">
      <c r="B4602" s="90">
        <v>4598</v>
      </c>
      <c r="C4602" s="39">
        <f t="shared" si="144"/>
        <v>13999670.714959899</v>
      </c>
      <c r="D4602" s="39">
        <f t="shared" si="145"/>
        <v>14570444.150802281</v>
      </c>
    </row>
    <row r="4603" spans="2:4" x14ac:dyDescent="0.25">
      <c r="B4603" s="90">
        <v>4599</v>
      </c>
      <c r="C4603" s="39">
        <f t="shared" si="144"/>
        <v>14002333.627251104</v>
      </c>
      <c r="D4603" s="39">
        <f t="shared" si="145"/>
        <v>14573613.016428815</v>
      </c>
    </row>
    <row r="4604" spans="2:4" x14ac:dyDescent="0.25">
      <c r="B4604" s="90">
        <v>4600</v>
      </c>
      <c r="C4604" s="39">
        <f t="shared" si="144"/>
        <v>14004996.539542308</v>
      </c>
      <c r="D4604" s="39">
        <f t="shared" si="145"/>
        <v>14576781.882055348</v>
      </c>
    </row>
    <row r="4605" spans="2:4" x14ac:dyDescent="0.25">
      <c r="B4605" s="90">
        <v>4601</v>
      </c>
      <c r="C4605" s="39">
        <f t="shared" si="144"/>
        <v>14007659.451833513</v>
      </c>
      <c r="D4605" s="39">
        <f t="shared" si="145"/>
        <v>14579950.747681882</v>
      </c>
    </row>
    <row r="4606" spans="2:4" x14ac:dyDescent="0.25">
      <c r="B4606" s="90">
        <v>4602</v>
      </c>
      <c r="C4606" s="39">
        <f t="shared" si="144"/>
        <v>14010322.364124719</v>
      </c>
      <c r="D4606" s="39">
        <f t="shared" si="145"/>
        <v>14583119.613308415</v>
      </c>
    </row>
    <row r="4607" spans="2:4" x14ac:dyDescent="0.25">
      <c r="B4607" s="90">
        <v>4603</v>
      </c>
      <c r="C4607" s="39">
        <f t="shared" si="144"/>
        <v>14012985.276415924</v>
      </c>
      <c r="D4607" s="39">
        <f t="shared" si="145"/>
        <v>14586288.478934949</v>
      </c>
    </row>
    <row r="4608" spans="2:4" x14ac:dyDescent="0.25">
      <c r="B4608" s="90">
        <v>4604</v>
      </c>
      <c r="C4608" s="39">
        <f t="shared" si="144"/>
        <v>14015648.188707128</v>
      </c>
      <c r="D4608" s="39">
        <f t="shared" si="145"/>
        <v>14589457.344561484</v>
      </c>
    </row>
    <row r="4609" spans="2:4" x14ac:dyDescent="0.25">
      <c r="B4609" s="90">
        <v>4605</v>
      </c>
      <c r="C4609" s="39">
        <f t="shared" si="144"/>
        <v>14018311.100998333</v>
      </c>
      <c r="D4609" s="39">
        <f t="shared" si="145"/>
        <v>14592626.210188016</v>
      </c>
    </row>
    <row r="4610" spans="2:4" x14ac:dyDescent="0.25">
      <c r="B4610" s="90">
        <v>4606</v>
      </c>
      <c r="C4610" s="39">
        <f t="shared" si="144"/>
        <v>14020974.013289537</v>
      </c>
      <c r="D4610" s="39">
        <f t="shared" si="145"/>
        <v>14595795.075814551</v>
      </c>
    </row>
    <row r="4611" spans="2:4" x14ac:dyDescent="0.25">
      <c r="B4611" s="90">
        <v>4607</v>
      </c>
      <c r="C4611" s="39">
        <f t="shared" si="144"/>
        <v>14023636.925580742</v>
      </c>
      <c r="D4611" s="39">
        <f t="shared" si="145"/>
        <v>14598963.941441085</v>
      </c>
    </row>
    <row r="4612" spans="2:4" x14ac:dyDescent="0.25">
      <c r="B4612" s="90">
        <v>4608</v>
      </c>
      <c r="C4612" s="39">
        <f t="shared" si="144"/>
        <v>14026299.837871946</v>
      </c>
      <c r="D4612" s="39">
        <f t="shared" si="145"/>
        <v>14602132.807067618</v>
      </c>
    </row>
    <row r="4613" spans="2:4" x14ac:dyDescent="0.25">
      <c r="B4613" s="90">
        <v>4609</v>
      </c>
      <c r="C4613" s="39">
        <f t="shared" si="144"/>
        <v>14028962.750163153</v>
      </c>
      <c r="D4613" s="39">
        <f t="shared" si="145"/>
        <v>14605301.672694152</v>
      </c>
    </row>
    <row r="4614" spans="2:4" x14ac:dyDescent="0.25">
      <c r="B4614" s="90">
        <v>4610</v>
      </c>
      <c r="C4614" s="39">
        <f t="shared" si="144"/>
        <v>14031625.662454357</v>
      </c>
      <c r="D4614" s="39">
        <f t="shared" si="145"/>
        <v>14608470.538320687</v>
      </c>
    </row>
    <row r="4615" spans="2:4" x14ac:dyDescent="0.25">
      <c r="B4615" s="90">
        <v>4611</v>
      </c>
      <c r="C4615" s="39">
        <f t="shared" si="144"/>
        <v>14034288.574745562</v>
      </c>
      <c r="D4615" s="39">
        <f t="shared" si="145"/>
        <v>14611639.403947219</v>
      </c>
    </row>
    <row r="4616" spans="2:4" x14ac:dyDescent="0.25">
      <c r="B4616" s="90">
        <v>4612</v>
      </c>
      <c r="C4616" s="39">
        <f t="shared" si="144"/>
        <v>14036951.487036766</v>
      </c>
      <c r="D4616" s="39">
        <f t="shared" si="145"/>
        <v>14614808.269573754</v>
      </c>
    </row>
    <row r="4617" spans="2:4" x14ac:dyDescent="0.25">
      <c r="B4617" s="90">
        <v>4613</v>
      </c>
      <c r="C4617" s="39">
        <f t="shared" si="144"/>
        <v>14039614.399327971</v>
      </c>
      <c r="D4617" s="39">
        <f t="shared" si="145"/>
        <v>14617977.135200286</v>
      </c>
    </row>
    <row r="4618" spans="2:4" x14ac:dyDescent="0.25">
      <c r="B4618" s="90">
        <v>4614</v>
      </c>
      <c r="C4618" s="39">
        <f t="shared" si="144"/>
        <v>14042277.311619176</v>
      </c>
      <c r="D4618" s="39">
        <f t="shared" si="145"/>
        <v>14621146.000826821</v>
      </c>
    </row>
    <row r="4619" spans="2:4" x14ac:dyDescent="0.25">
      <c r="B4619" s="90">
        <v>4615</v>
      </c>
      <c r="C4619" s="39">
        <f t="shared" si="144"/>
        <v>14044940.223910382</v>
      </c>
      <c r="D4619" s="39">
        <f t="shared" si="145"/>
        <v>14624314.866453355</v>
      </c>
    </row>
    <row r="4620" spans="2:4" x14ac:dyDescent="0.25">
      <c r="B4620" s="90">
        <v>4616</v>
      </c>
      <c r="C4620" s="39">
        <f t="shared" si="144"/>
        <v>14047603.136201587</v>
      </c>
      <c r="D4620" s="39">
        <f t="shared" si="145"/>
        <v>14627483.732079888</v>
      </c>
    </row>
    <row r="4621" spans="2:4" x14ac:dyDescent="0.25">
      <c r="B4621" s="90">
        <v>4617</v>
      </c>
      <c r="C4621" s="39">
        <f t="shared" si="144"/>
        <v>14050266.048492791</v>
      </c>
      <c r="D4621" s="39">
        <f t="shared" si="145"/>
        <v>14630652.597706422</v>
      </c>
    </row>
    <row r="4622" spans="2:4" x14ac:dyDescent="0.25">
      <c r="B4622" s="90">
        <v>4618</v>
      </c>
      <c r="C4622" s="39">
        <f t="shared" si="144"/>
        <v>14052928.960783996</v>
      </c>
      <c r="D4622" s="39">
        <f t="shared" si="145"/>
        <v>14633821.463332957</v>
      </c>
    </row>
    <row r="4623" spans="2:4" x14ac:dyDescent="0.25">
      <c r="B4623" s="90">
        <v>4619</v>
      </c>
      <c r="C4623" s="39">
        <f t="shared" si="144"/>
        <v>14055591.8730752</v>
      </c>
      <c r="D4623" s="39">
        <f t="shared" si="145"/>
        <v>14636990.328959489</v>
      </c>
    </row>
    <row r="4624" spans="2:4" x14ac:dyDescent="0.25">
      <c r="B4624" s="90">
        <v>4620</v>
      </c>
      <c r="C4624" s="39">
        <f t="shared" si="144"/>
        <v>14058254.785366405</v>
      </c>
      <c r="D4624" s="39">
        <f t="shared" si="145"/>
        <v>14640159.194586024</v>
      </c>
    </row>
    <row r="4625" spans="2:4" x14ac:dyDescent="0.25">
      <c r="B4625" s="90">
        <v>4621</v>
      </c>
      <c r="C4625" s="39">
        <f t="shared" si="144"/>
        <v>14060917.697657611</v>
      </c>
      <c r="D4625" s="39">
        <f t="shared" si="145"/>
        <v>14643328.060212558</v>
      </c>
    </row>
    <row r="4626" spans="2:4" x14ac:dyDescent="0.25">
      <c r="B4626" s="90">
        <v>4622</v>
      </c>
      <c r="C4626" s="39">
        <f t="shared" si="144"/>
        <v>14063580.609948816</v>
      </c>
      <c r="D4626" s="39">
        <f t="shared" si="145"/>
        <v>14646496.925839091</v>
      </c>
    </row>
    <row r="4627" spans="2:4" x14ac:dyDescent="0.25">
      <c r="B4627" s="90">
        <v>4623</v>
      </c>
      <c r="C4627" s="39">
        <f t="shared" si="144"/>
        <v>14066243.52224002</v>
      </c>
      <c r="D4627" s="39">
        <f t="shared" si="145"/>
        <v>14649665.791465625</v>
      </c>
    </row>
    <row r="4628" spans="2:4" x14ac:dyDescent="0.25">
      <c r="B4628" s="90">
        <v>4624</v>
      </c>
      <c r="C4628" s="39">
        <f t="shared" si="144"/>
        <v>14068906.434531225</v>
      </c>
      <c r="D4628" s="39">
        <f t="shared" si="145"/>
        <v>14652834.657092158</v>
      </c>
    </row>
    <row r="4629" spans="2:4" x14ac:dyDescent="0.25">
      <c r="B4629" s="90">
        <v>4625</v>
      </c>
      <c r="C4629" s="39">
        <f t="shared" si="144"/>
        <v>14071569.346822429</v>
      </c>
      <c r="D4629" s="39">
        <f t="shared" si="145"/>
        <v>14656003.522718692</v>
      </c>
    </row>
    <row r="4630" spans="2:4" x14ac:dyDescent="0.25">
      <c r="B4630" s="90">
        <v>4626</v>
      </c>
      <c r="C4630" s="39">
        <f t="shared" si="144"/>
        <v>14074232.259113634</v>
      </c>
      <c r="D4630" s="39">
        <f t="shared" si="145"/>
        <v>14659172.388345227</v>
      </c>
    </row>
    <row r="4631" spans="2:4" x14ac:dyDescent="0.25">
      <c r="B4631" s="90">
        <v>4627</v>
      </c>
      <c r="C4631" s="39">
        <f t="shared" si="144"/>
        <v>14076895.171404839</v>
      </c>
      <c r="D4631" s="39">
        <f t="shared" si="145"/>
        <v>14662341.253971759</v>
      </c>
    </row>
    <row r="4632" spans="2:4" x14ac:dyDescent="0.25">
      <c r="B4632" s="90">
        <v>4628</v>
      </c>
      <c r="C4632" s="39">
        <f t="shared" si="144"/>
        <v>14079558.083696045</v>
      </c>
      <c r="D4632" s="39">
        <f t="shared" si="145"/>
        <v>14665510.119598294</v>
      </c>
    </row>
    <row r="4633" spans="2:4" x14ac:dyDescent="0.25">
      <c r="B4633" s="90">
        <v>4629</v>
      </c>
      <c r="C4633" s="39">
        <f t="shared" si="144"/>
        <v>14082220.99598725</v>
      </c>
      <c r="D4633" s="39">
        <f t="shared" si="145"/>
        <v>14668678.985224828</v>
      </c>
    </row>
    <row r="4634" spans="2:4" x14ac:dyDescent="0.25">
      <c r="B4634" s="90">
        <v>4630</v>
      </c>
      <c r="C4634" s="39">
        <f t="shared" si="144"/>
        <v>14084883.908278454</v>
      </c>
      <c r="D4634" s="39">
        <f t="shared" si="145"/>
        <v>14671847.850851361</v>
      </c>
    </row>
    <row r="4635" spans="2:4" x14ac:dyDescent="0.25">
      <c r="B4635" s="90">
        <v>4631</v>
      </c>
      <c r="C4635" s="39">
        <f t="shared" si="144"/>
        <v>14087546.820569659</v>
      </c>
      <c r="D4635" s="39">
        <f t="shared" si="145"/>
        <v>14675016.716477895</v>
      </c>
    </row>
    <row r="4636" spans="2:4" x14ac:dyDescent="0.25">
      <c r="B4636" s="90">
        <v>4632</v>
      </c>
      <c r="C4636" s="39">
        <f t="shared" si="144"/>
        <v>14090209.732860863</v>
      </c>
      <c r="D4636" s="39">
        <f t="shared" si="145"/>
        <v>14678185.58210443</v>
      </c>
    </row>
    <row r="4637" spans="2:4" x14ac:dyDescent="0.25">
      <c r="B4637" s="90">
        <v>4633</v>
      </c>
      <c r="C4637" s="39">
        <f t="shared" si="144"/>
        <v>14092872.645152068</v>
      </c>
      <c r="D4637" s="39">
        <f t="shared" si="145"/>
        <v>14681354.447730962</v>
      </c>
    </row>
    <row r="4638" spans="2:4" x14ac:dyDescent="0.25">
      <c r="B4638" s="90">
        <v>4634</v>
      </c>
      <c r="C4638" s="39">
        <f t="shared" si="144"/>
        <v>14095535.557443274</v>
      </c>
      <c r="D4638" s="39">
        <f t="shared" si="145"/>
        <v>14684523.313357497</v>
      </c>
    </row>
    <row r="4639" spans="2:4" x14ac:dyDescent="0.25">
      <c r="B4639" s="90">
        <v>4635</v>
      </c>
      <c r="C4639" s="39">
        <f t="shared" si="144"/>
        <v>14098198.469734479</v>
      </c>
      <c r="D4639" s="39">
        <f t="shared" si="145"/>
        <v>14687692.178984029</v>
      </c>
    </row>
    <row r="4640" spans="2:4" x14ac:dyDescent="0.25">
      <c r="B4640" s="90">
        <v>4636</v>
      </c>
      <c r="C4640" s="39">
        <f t="shared" si="144"/>
        <v>14100861.382025683</v>
      </c>
      <c r="D4640" s="39">
        <f t="shared" si="145"/>
        <v>14690861.044610564</v>
      </c>
    </row>
    <row r="4641" spans="2:4" x14ac:dyDescent="0.25">
      <c r="B4641" s="90">
        <v>4637</v>
      </c>
      <c r="C4641" s="39">
        <f t="shared" si="144"/>
        <v>14103524.294316888</v>
      </c>
      <c r="D4641" s="39">
        <f t="shared" si="145"/>
        <v>14694029.910237098</v>
      </c>
    </row>
    <row r="4642" spans="2:4" x14ac:dyDescent="0.25">
      <c r="B4642" s="90">
        <v>4638</v>
      </c>
      <c r="C4642" s="39">
        <f t="shared" si="144"/>
        <v>14106187.206608092</v>
      </c>
      <c r="D4642" s="39">
        <f t="shared" si="145"/>
        <v>14697198.775863631</v>
      </c>
    </row>
    <row r="4643" spans="2:4" x14ac:dyDescent="0.25">
      <c r="B4643" s="90">
        <v>4639</v>
      </c>
      <c r="C4643" s="39">
        <f t="shared" si="144"/>
        <v>14108850.118899297</v>
      </c>
      <c r="D4643" s="39">
        <f t="shared" si="145"/>
        <v>14700367.641490165</v>
      </c>
    </row>
    <row r="4644" spans="2:4" x14ac:dyDescent="0.25">
      <c r="B4644" s="90">
        <v>4640</v>
      </c>
      <c r="C4644" s="39">
        <f t="shared" si="144"/>
        <v>14111513.031190503</v>
      </c>
      <c r="D4644" s="39">
        <f t="shared" si="145"/>
        <v>14703536.5071167</v>
      </c>
    </row>
    <row r="4645" spans="2:4" x14ac:dyDescent="0.25">
      <c r="B4645" s="90">
        <v>4641</v>
      </c>
      <c r="C4645" s="39">
        <f t="shared" si="144"/>
        <v>14114175.943481708</v>
      </c>
      <c r="D4645" s="39">
        <f t="shared" si="145"/>
        <v>14706705.372743232</v>
      </c>
    </row>
    <row r="4646" spans="2:4" x14ac:dyDescent="0.25">
      <c r="B4646" s="90">
        <v>4642</v>
      </c>
      <c r="C4646" s="39">
        <f t="shared" si="144"/>
        <v>14116838.855772913</v>
      </c>
      <c r="D4646" s="39">
        <f t="shared" si="145"/>
        <v>14709874.238369767</v>
      </c>
    </row>
    <row r="4647" spans="2:4" x14ac:dyDescent="0.25">
      <c r="B4647" s="90">
        <v>4643</v>
      </c>
      <c r="C4647" s="39">
        <f t="shared" si="144"/>
        <v>14119501.768064117</v>
      </c>
      <c r="D4647" s="39">
        <f t="shared" si="145"/>
        <v>14713043.103996301</v>
      </c>
    </row>
    <row r="4648" spans="2:4" x14ac:dyDescent="0.25">
      <c r="B4648" s="90">
        <v>4644</v>
      </c>
      <c r="C4648" s="39">
        <f t="shared" si="144"/>
        <v>14122164.680355322</v>
      </c>
      <c r="D4648" s="39">
        <f t="shared" si="145"/>
        <v>14716211.969622834</v>
      </c>
    </row>
    <row r="4649" spans="2:4" x14ac:dyDescent="0.25">
      <c r="B4649" s="90">
        <v>4645</v>
      </c>
      <c r="C4649" s="39">
        <f t="shared" si="144"/>
        <v>14124827.592646526</v>
      </c>
      <c r="D4649" s="39">
        <f t="shared" si="145"/>
        <v>14719380.835249368</v>
      </c>
    </row>
    <row r="4650" spans="2:4" x14ac:dyDescent="0.25">
      <c r="B4650" s="90">
        <v>4646</v>
      </c>
      <c r="C4650" s="39">
        <f t="shared" si="144"/>
        <v>14127490.504937731</v>
      </c>
      <c r="D4650" s="39">
        <f t="shared" si="145"/>
        <v>14722549.700875901</v>
      </c>
    </row>
    <row r="4651" spans="2:4" x14ac:dyDescent="0.25">
      <c r="B4651" s="90">
        <v>4647</v>
      </c>
      <c r="C4651" s="39">
        <f t="shared" si="144"/>
        <v>14130153.417228937</v>
      </c>
      <c r="D4651" s="39">
        <f t="shared" si="145"/>
        <v>14725718.566502435</v>
      </c>
    </row>
    <row r="4652" spans="2:4" x14ac:dyDescent="0.25">
      <c r="B4652" s="90">
        <v>4648</v>
      </c>
      <c r="C4652" s="39">
        <f t="shared" si="144"/>
        <v>14132816.329520142</v>
      </c>
      <c r="D4652" s="39">
        <f t="shared" si="145"/>
        <v>14728887.43212897</v>
      </c>
    </row>
    <row r="4653" spans="2:4" x14ac:dyDescent="0.25">
      <c r="B4653" s="90">
        <v>4649</v>
      </c>
      <c r="C4653" s="39">
        <f t="shared" si="144"/>
        <v>14135479.241811346</v>
      </c>
      <c r="D4653" s="39">
        <f t="shared" si="145"/>
        <v>14732056.297755502</v>
      </c>
    </row>
    <row r="4654" spans="2:4" x14ac:dyDescent="0.25">
      <c r="B4654" s="90">
        <v>4650</v>
      </c>
      <c r="C4654" s="39">
        <f t="shared" si="144"/>
        <v>14138142.154102551</v>
      </c>
      <c r="D4654" s="39">
        <f t="shared" si="145"/>
        <v>14735225.163382037</v>
      </c>
    </row>
    <row r="4655" spans="2:4" x14ac:dyDescent="0.25">
      <c r="B4655" s="90">
        <v>4651</v>
      </c>
      <c r="C4655" s="39">
        <f t="shared" si="144"/>
        <v>14140805.066393755</v>
      </c>
      <c r="D4655" s="39">
        <f t="shared" si="145"/>
        <v>14738394.029008571</v>
      </c>
    </row>
    <row r="4656" spans="2:4" x14ac:dyDescent="0.25">
      <c r="B4656" s="90">
        <v>4652</v>
      </c>
      <c r="C4656" s="39">
        <f t="shared" si="144"/>
        <v>14143467.97868496</v>
      </c>
      <c r="D4656" s="39">
        <f t="shared" si="145"/>
        <v>14741562.894635104</v>
      </c>
    </row>
    <row r="4657" spans="2:4" x14ac:dyDescent="0.25">
      <c r="B4657" s="90">
        <v>4653</v>
      </c>
      <c r="C4657" s="39">
        <f t="shared" ref="C4657:C4720" si="146">($C$2*B4657)+$C$1</f>
        <v>14146130.890976166</v>
      </c>
      <c r="D4657" s="39">
        <f t="shared" ref="D4657:D4720" si="147">$D$2*B4657</f>
        <v>14744731.760261638</v>
      </c>
    </row>
    <row r="4658" spans="2:4" x14ac:dyDescent="0.25">
      <c r="B4658" s="90">
        <v>4654</v>
      </c>
      <c r="C4658" s="39">
        <f t="shared" si="146"/>
        <v>14148793.803267371</v>
      </c>
      <c r="D4658" s="39">
        <f t="shared" si="147"/>
        <v>14747900.625888173</v>
      </c>
    </row>
    <row r="4659" spans="2:4" x14ac:dyDescent="0.25">
      <c r="B4659" s="90">
        <v>4655</v>
      </c>
      <c r="C4659" s="39">
        <f t="shared" si="146"/>
        <v>14151456.715558575</v>
      </c>
      <c r="D4659" s="39">
        <f t="shared" si="147"/>
        <v>14751069.491514705</v>
      </c>
    </row>
    <row r="4660" spans="2:4" x14ac:dyDescent="0.25">
      <c r="B4660" s="90">
        <v>4656</v>
      </c>
      <c r="C4660" s="39">
        <f t="shared" si="146"/>
        <v>14154119.62784978</v>
      </c>
      <c r="D4660" s="39">
        <f t="shared" si="147"/>
        <v>14754238.35714124</v>
      </c>
    </row>
    <row r="4661" spans="2:4" x14ac:dyDescent="0.25">
      <c r="B4661" s="90">
        <v>4657</v>
      </c>
      <c r="C4661" s="39">
        <f t="shared" si="146"/>
        <v>14156782.540140985</v>
      </c>
      <c r="D4661" s="39">
        <f t="shared" si="147"/>
        <v>14757407.222767772</v>
      </c>
    </row>
    <row r="4662" spans="2:4" x14ac:dyDescent="0.25">
      <c r="B4662" s="90">
        <v>4658</v>
      </c>
      <c r="C4662" s="39">
        <f t="shared" si="146"/>
        <v>14159445.452432189</v>
      </c>
      <c r="D4662" s="39">
        <f t="shared" si="147"/>
        <v>14760576.088394307</v>
      </c>
    </row>
    <row r="4663" spans="2:4" x14ac:dyDescent="0.25">
      <c r="B4663" s="90">
        <v>4659</v>
      </c>
      <c r="C4663" s="39">
        <f t="shared" si="146"/>
        <v>14162108.364723396</v>
      </c>
      <c r="D4663" s="39">
        <f t="shared" si="147"/>
        <v>14763744.954020841</v>
      </c>
    </row>
    <row r="4664" spans="2:4" x14ac:dyDescent="0.25">
      <c r="B4664" s="90">
        <v>4660</v>
      </c>
      <c r="C4664" s="39">
        <f t="shared" si="146"/>
        <v>14164771.2770146</v>
      </c>
      <c r="D4664" s="39">
        <f t="shared" si="147"/>
        <v>14766913.819647374</v>
      </c>
    </row>
    <row r="4665" spans="2:4" x14ac:dyDescent="0.25">
      <c r="B4665" s="90">
        <v>4661</v>
      </c>
      <c r="C4665" s="39">
        <f t="shared" si="146"/>
        <v>14167434.189305805</v>
      </c>
      <c r="D4665" s="39">
        <f t="shared" si="147"/>
        <v>14770082.685273908</v>
      </c>
    </row>
    <row r="4666" spans="2:4" x14ac:dyDescent="0.25">
      <c r="B4666" s="90">
        <v>4662</v>
      </c>
      <c r="C4666" s="39">
        <f t="shared" si="146"/>
        <v>14170097.101597009</v>
      </c>
      <c r="D4666" s="39">
        <f t="shared" si="147"/>
        <v>14773251.550900443</v>
      </c>
    </row>
    <row r="4667" spans="2:4" x14ac:dyDescent="0.25">
      <c r="B4667" s="90">
        <v>4663</v>
      </c>
      <c r="C4667" s="39">
        <f t="shared" si="146"/>
        <v>14172760.013888214</v>
      </c>
      <c r="D4667" s="39">
        <f t="shared" si="147"/>
        <v>14776420.416526975</v>
      </c>
    </row>
    <row r="4668" spans="2:4" x14ac:dyDescent="0.25">
      <c r="B4668" s="90">
        <v>4664</v>
      </c>
      <c r="C4668" s="39">
        <f t="shared" si="146"/>
        <v>14175422.926179418</v>
      </c>
      <c r="D4668" s="39">
        <f t="shared" si="147"/>
        <v>14779589.28215351</v>
      </c>
    </row>
    <row r="4669" spans="2:4" x14ac:dyDescent="0.25">
      <c r="B4669" s="90">
        <v>4665</v>
      </c>
      <c r="C4669" s="39">
        <f t="shared" si="146"/>
        <v>14178085.838470623</v>
      </c>
      <c r="D4669" s="39">
        <f t="shared" si="147"/>
        <v>14782758.147780044</v>
      </c>
    </row>
    <row r="4670" spans="2:4" x14ac:dyDescent="0.25">
      <c r="B4670" s="90">
        <v>4666</v>
      </c>
      <c r="C4670" s="39">
        <f t="shared" si="146"/>
        <v>14180748.750761829</v>
      </c>
      <c r="D4670" s="39">
        <f t="shared" si="147"/>
        <v>14785927.013406577</v>
      </c>
    </row>
    <row r="4671" spans="2:4" x14ac:dyDescent="0.25">
      <c r="B4671" s="90">
        <v>4667</v>
      </c>
      <c r="C4671" s="39">
        <f t="shared" si="146"/>
        <v>14183411.663053034</v>
      </c>
      <c r="D4671" s="39">
        <f t="shared" si="147"/>
        <v>14789095.879033111</v>
      </c>
    </row>
    <row r="4672" spans="2:4" x14ac:dyDescent="0.25">
      <c r="B4672" s="90">
        <v>4668</v>
      </c>
      <c r="C4672" s="39">
        <f t="shared" si="146"/>
        <v>14186074.575344238</v>
      </c>
      <c r="D4672" s="39">
        <f t="shared" si="147"/>
        <v>14792264.744659644</v>
      </c>
    </row>
    <row r="4673" spans="2:4" x14ac:dyDescent="0.25">
      <c r="B4673" s="90">
        <v>4669</v>
      </c>
      <c r="C4673" s="39">
        <f t="shared" si="146"/>
        <v>14188737.487635443</v>
      </c>
      <c r="D4673" s="39">
        <f t="shared" si="147"/>
        <v>14795433.610286178</v>
      </c>
    </row>
    <row r="4674" spans="2:4" x14ac:dyDescent="0.25">
      <c r="B4674" s="90">
        <v>4670</v>
      </c>
      <c r="C4674" s="39">
        <f t="shared" si="146"/>
        <v>14191400.399926648</v>
      </c>
      <c r="D4674" s="39">
        <f t="shared" si="147"/>
        <v>14798602.475912713</v>
      </c>
    </row>
    <row r="4675" spans="2:4" x14ac:dyDescent="0.25">
      <c r="B4675" s="90">
        <v>4671</v>
      </c>
      <c r="C4675" s="39">
        <f t="shared" si="146"/>
        <v>14194063.312217852</v>
      </c>
      <c r="D4675" s="39">
        <f t="shared" si="147"/>
        <v>14801771.341539245</v>
      </c>
    </row>
    <row r="4676" spans="2:4" x14ac:dyDescent="0.25">
      <c r="B4676" s="90">
        <v>4672</v>
      </c>
      <c r="C4676" s="39">
        <f t="shared" si="146"/>
        <v>14196726.224509059</v>
      </c>
      <c r="D4676" s="39">
        <f t="shared" si="147"/>
        <v>14804940.20716578</v>
      </c>
    </row>
    <row r="4677" spans="2:4" x14ac:dyDescent="0.25">
      <c r="B4677" s="90">
        <v>4673</v>
      </c>
      <c r="C4677" s="39">
        <f t="shared" si="146"/>
        <v>14199389.136800263</v>
      </c>
      <c r="D4677" s="39">
        <f t="shared" si="147"/>
        <v>14808109.072792314</v>
      </c>
    </row>
    <row r="4678" spans="2:4" x14ac:dyDescent="0.25">
      <c r="B4678" s="90">
        <v>4674</v>
      </c>
      <c r="C4678" s="39">
        <f t="shared" si="146"/>
        <v>14202052.049091468</v>
      </c>
      <c r="D4678" s="39">
        <f t="shared" si="147"/>
        <v>14811277.938418847</v>
      </c>
    </row>
    <row r="4679" spans="2:4" x14ac:dyDescent="0.25">
      <c r="B4679" s="90">
        <v>4675</v>
      </c>
      <c r="C4679" s="39">
        <f t="shared" si="146"/>
        <v>14204714.961382672</v>
      </c>
      <c r="D4679" s="39">
        <f t="shared" si="147"/>
        <v>14814446.804045381</v>
      </c>
    </row>
    <row r="4680" spans="2:4" x14ac:dyDescent="0.25">
      <c r="B4680" s="90">
        <v>4676</v>
      </c>
      <c r="C4680" s="39">
        <f t="shared" si="146"/>
        <v>14207377.873673877</v>
      </c>
      <c r="D4680" s="39">
        <f t="shared" si="147"/>
        <v>14817615.669671915</v>
      </c>
    </row>
    <row r="4681" spans="2:4" x14ac:dyDescent="0.25">
      <c r="B4681" s="90">
        <v>4677</v>
      </c>
      <c r="C4681" s="39">
        <f t="shared" si="146"/>
        <v>14210040.785965081</v>
      </c>
      <c r="D4681" s="39">
        <f t="shared" si="147"/>
        <v>14820784.535298448</v>
      </c>
    </row>
    <row r="4682" spans="2:4" x14ac:dyDescent="0.25">
      <c r="B4682" s="90">
        <v>4678</v>
      </c>
      <c r="C4682" s="39">
        <f t="shared" si="146"/>
        <v>14212703.698256288</v>
      </c>
      <c r="D4682" s="39">
        <f t="shared" si="147"/>
        <v>14823953.400924983</v>
      </c>
    </row>
    <row r="4683" spans="2:4" x14ac:dyDescent="0.25">
      <c r="B4683" s="90">
        <v>4679</v>
      </c>
      <c r="C4683" s="39">
        <f t="shared" si="146"/>
        <v>14215366.610547492</v>
      </c>
      <c r="D4683" s="39">
        <f t="shared" si="147"/>
        <v>14827122.266551515</v>
      </c>
    </row>
    <row r="4684" spans="2:4" x14ac:dyDescent="0.25">
      <c r="B4684" s="90">
        <v>4680</v>
      </c>
      <c r="C4684" s="39">
        <f t="shared" si="146"/>
        <v>14218029.522838697</v>
      </c>
      <c r="D4684" s="39">
        <f t="shared" si="147"/>
        <v>14830291.13217805</v>
      </c>
    </row>
    <row r="4685" spans="2:4" x14ac:dyDescent="0.25">
      <c r="B4685" s="90">
        <v>4681</v>
      </c>
      <c r="C4685" s="39">
        <f t="shared" si="146"/>
        <v>14220692.435129901</v>
      </c>
      <c r="D4685" s="39">
        <f t="shared" si="147"/>
        <v>14833459.997804584</v>
      </c>
    </row>
    <row r="4686" spans="2:4" x14ac:dyDescent="0.25">
      <c r="B4686" s="90">
        <v>4682</v>
      </c>
      <c r="C4686" s="39">
        <f t="shared" si="146"/>
        <v>14223355.347421106</v>
      </c>
      <c r="D4686" s="39">
        <f t="shared" si="147"/>
        <v>14836628.863431117</v>
      </c>
    </row>
    <row r="4687" spans="2:4" x14ac:dyDescent="0.25">
      <c r="B4687" s="90">
        <v>4683</v>
      </c>
      <c r="C4687" s="39">
        <f t="shared" si="146"/>
        <v>14226018.259712311</v>
      </c>
      <c r="D4687" s="39">
        <f t="shared" si="147"/>
        <v>14839797.729057651</v>
      </c>
    </row>
    <row r="4688" spans="2:4" x14ac:dyDescent="0.25">
      <c r="B4688" s="90">
        <v>4684</v>
      </c>
      <c r="C4688" s="39">
        <f t="shared" si="146"/>
        <v>14228681.172003515</v>
      </c>
      <c r="D4688" s="39">
        <f t="shared" si="147"/>
        <v>14842966.594684185</v>
      </c>
    </row>
    <row r="4689" spans="2:4" x14ac:dyDescent="0.25">
      <c r="B4689" s="90">
        <v>4685</v>
      </c>
      <c r="C4689" s="39">
        <f t="shared" si="146"/>
        <v>14231344.084294721</v>
      </c>
      <c r="D4689" s="39">
        <f t="shared" si="147"/>
        <v>14846135.460310718</v>
      </c>
    </row>
    <row r="4690" spans="2:4" x14ac:dyDescent="0.25">
      <c r="B4690" s="90">
        <v>4686</v>
      </c>
      <c r="C4690" s="39">
        <f t="shared" si="146"/>
        <v>14234006.996585926</v>
      </c>
      <c r="D4690" s="39">
        <f t="shared" si="147"/>
        <v>14849304.325937252</v>
      </c>
    </row>
    <row r="4691" spans="2:4" x14ac:dyDescent="0.25">
      <c r="B4691" s="90">
        <v>4687</v>
      </c>
      <c r="C4691" s="39">
        <f t="shared" si="146"/>
        <v>14236669.908877131</v>
      </c>
      <c r="D4691" s="39">
        <f t="shared" si="147"/>
        <v>14852473.191563787</v>
      </c>
    </row>
    <row r="4692" spans="2:4" x14ac:dyDescent="0.25">
      <c r="B4692" s="90">
        <v>4688</v>
      </c>
      <c r="C4692" s="39">
        <f t="shared" si="146"/>
        <v>14239332.821168335</v>
      </c>
      <c r="D4692" s="39">
        <f t="shared" si="147"/>
        <v>14855642.05719032</v>
      </c>
    </row>
    <row r="4693" spans="2:4" x14ac:dyDescent="0.25">
      <c r="B4693" s="90">
        <v>4689</v>
      </c>
      <c r="C4693" s="39">
        <f t="shared" si="146"/>
        <v>14241995.73345954</v>
      </c>
      <c r="D4693" s="39">
        <f t="shared" si="147"/>
        <v>14858810.922816854</v>
      </c>
    </row>
    <row r="4694" spans="2:4" x14ac:dyDescent="0.25">
      <c r="B4694" s="90">
        <v>4690</v>
      </c>
      <c r="C4694" s="39">
        <f t="shared" si="146"/>
        <v>14244658.645750744</v>
      </c>
      <c r="D4694" s="39">
        <f t="shared" si="147"/>
        <v>14861979.788443388</v>
      </c>
    </row>
    <row r="4695" spans="2:4" x14ac:dyDescent="0.25">
      <c r="B4695" s="90">
        <v>4691</v>
      </c>
      <c r="C4695" s="39">
        <f t="shared" si="146"/>
        <v>14247321.558041951</v>
      </c>
      <c r="D4695" s="39">
        <f t="shared" si="147"/>
        <v>14865148.654069921</v>
      </c>
    </row>
    <row r="4696" spans="2:4" x14ac:dyDescent="0.25">
      <c r="B4696" s="90">
        <v>4692</v>
      </c>
      <c r="C4696" s="39">
        <f t="shared" si="146"/>
        <v>14249984.470333155</v>
      </c>
      <c r="D4696" s="39">
        <f t="shared" si="147"/>
        <v>14868317.519696455</v>
      </c>
    </row>
    <row r="4697" spans="2:4" x14ac:dyDescent="0.25">
      <c r="B4697" s="90">
        <v>4693</v>
      </c>
      <c r="C4697" s="39">
        <f t="shared" si="146"/>
        <v>14252647.38262436</v>
      </c>
      <c r="D4697" s="39">
        <f t="shared" si="147"/>
        <v>14871486.385322988</v>
      </c>
    </row>
    <row r="4698" spans="2:4" x14ac:dyDescent="0.25">
      <c r="B4698" s="90">
        <v>4694</v>
      </c>
      <c r="C4698" s="39">
        <f t="shared" si="146"/>
        <v>14255310.294915564</v>
      </c>
      <c r="D4698" s="39">
        <f t="shared" si="147"/>
        <v>14874655.250949522</v>
      </c>
    </row>
    <row r="4699" spans="2:4" x14ac:dyDescent="0.25">
      <c r="B4699" s="90">
        <v>4695</v>
      </c>
      <c r="C4699" s="39">
        <f t="shared" si="146"/>
        <v>14257973.207206769</v>
      </c>
      <c r="D4699" s="39">
        <f t="shared" si="147"/>
        <v>14877824.116576057</v>
      </c>
    </row>
    <row r="4700" spans="2:4" x14ac:dyDescent="0.25">
      <c r="B4700" s="90">
        <v>4696</v>
      </c>
      <c r="C4700" s="39">
        <f t="shared" si="146"/>
        <v>14260636.119497973</v>
      </c>
      <c r="D4700" s="39">
        <f t="shared" si="147"/>
        <v>14880992.98220259</v>
      </c>
    </row>
    <row r="4701" spans="2:4" x14ac:dyDescent="0.25">
      <c r="B4701" s="90">
        <v>4697</v>
      </c>
      <c r="C4701" s="39">
        <f t="shared" si="146"/>
        <v>14263299.031789178</v>
      </c>
      <c r="D4701" s="39">
        <f t="shared" si="147"/>
        <v>14884161.847829124</v>
      </c>
    </row>
    <row r="4702" spans="2:4" x14ac:dyDescent="0.25">
      <c r="B4702" s="90">
        <v>4698</v>
      </c>
      <c r="C4702" s="39">
        <f t="shared" si="146"/>
        <v>14265961.944080384</v>
      </c>
      <c r="D4702" s="39">
        <f t="shared" si="147"/>
        <v>14887330.713455658</v>
      </c>
    </row>
    <row r="4703" spans="2:4" x14ac:dyDescent="0.25">
      <c r="B4703" s="90">
        <v>4699</v>
      </c>
      <c r="C4703" s="39">
        <f t="shared" si="146"/>
        <v>14268624.856371589</v>
      </c>
      <c r="D4703" s="39">
        <f t="shared" si="147"/>
        <v>14890499.579082191</v>
      </c>
    </row>
    <row r="4704" spans="2:4" x14ac:dyDescent="0.25">
      <c r="B4704" s="90">
        <v>4700</v>
      </c>
      <c r="C4704" s="39">
        <f t="shared" si="146"/>
        <v>14271287.768662794</v>
      </c>
      <c r="D4704" s="39">
        <f t="shared" si="147"/>
        <v>14893668.444708725</v>
      </c>
    </row>
    <row r="4705" spans="2:4" x14ac:dyDescent="0.25">
      <c r="B4705" s="90">
        <v>4701</v>
      </c>
      <c r="C4705" s="39">
        <f t="shared" si="146"/>
        <v>14273950.680953998</v>
      </c>
      <c r="D4705" s="39">
        <f t="shared" si="147"/>
        <v>14896837.31033526</v>
      </c>
    </row>
    <row r="4706" spans="2:4" x14ac:dyDescent="0.25">
      <c r="B4706" s="90">
        <v>4702</v>
      </c>
      <c r="C4706" s="39">
        <f t="shared" si="146"/>
        <v>14276613.593245203</v>
      </c>
      <c r="D4706" s="39">
        <f t="shared" si="147"/>
        <v>14900006.175961792</v>
      </c>
    </row>
    <row r="4707" spans="2:4" x14ac:dyDescent="0.25">
      <c r="B4707" s="90">
        <v>4703</v>
      </c>
      <c r="C4707" s="39">
        <f t="shared" si="146"/>
        <v>14279276.505536407</v>
      </c>
      <c r="D4707" s="39">
        <f t="shared" si="147"/>
        <v>14903175.041588327</v>
      </c>
    </row>
    <row r="4708" spans="2:4" x14ac:dyDescent="0.25">
      <c r="B4708" s="90">
        <v>4704</v>
      </c>
      <c r="C4708" s="39">
        <f t="shared" si="146"/>
        <v>14281939.417827614</v>
      </c>
      <c r="D4708" s="39">
        <f t="shared" si="147"/>
        <v>14906343.90721486</v>
      </c>
    </row>
    <row r="4709" spans="2:4" x14ac:dyDescent="0.25">
      <c r="B4709" s="90">
        <v>4705</v>
      </c>
      <c r="C4709" s="39">
        <f t="shared" si="146"/>
        <v>14284602.330118818</v>
      </c>
      <c r="D4709" s="39">
        <f t="shared" si="147"/>
        <v>14909512.772841394</v>
      </c>
    </row>
    <row r="4710" spans="2:4" x14ac:dyDescent="0.25">
      <c r="B4710" s="90">
        <v>4706</v>
      </c>
      <c r="C4710" s="39">
        <f t="shared" si="146"/>
        <v>14287265.242410023</v>
      </c>
      <c r="D4710" s="39">
        <f t="shared" si="147"/>
        <v>14912681.638467928</v>
      </c>
    </row>
    <row r="4711" spans="2:4" x14ac:dyDescent="0.25">
      <c r="B4711" s="90">
        <v>4707</v>
      </c>
      <c r="C4711" s="39">
        <f t="shared" si="146"/>
        <v>14289928.154701227</v>
      </c>
      <c r="D4711" s="39">
        <f t="shared" si="147"/>
        <v>14915850.504094461</v>
      </c>
    </row>
    <row r="4712" spans="2:4" x14ac:dyDescent="0.25">
      <c r="B4712" s="90">
        <v>4708</v>
      </c>
      <c r="C4712" s="39">
        <f t="shared" si="146"/>
        <v>14292591.066992432</v>
      </c>
      <c r="D4712" s="39">
        <f t="shared" si="147"/>
        <v>14919019.369720995</v>
      </c>
    </row>
    <row r="4713" spans="2:4" x14ac:dyDescent="0.25">
      <c r="B4713" s="90">
        <v>4709</v>
      </c>
      <c r="C4713" s="39">
        <f t="shared" si="146"/>
        <v>14295253.979283636</v>
      </c>
      <c r="D4713" s="39">
        <f t="shared" si="147"/>
        <v>14922188.23534753</v>
      </c>
    </row>
    <row r="4714" spans="2:4" x14ac:dyDescent="0.25">
      <c r="B4714" s="90">
        <v>4710</v>
      </c>
      <c r="C4714" s="39">
        <f t="shared" si="146"/>
        <v>14297916.891574843</v>
      </c>
      <c r="D4714" s="39">
        <f t="shared" si="147"/>
        <v>14925357.100974062</v>
      </c>
    </row>
    <row r="4715" spans="2:4" x14ac:dyDescent="0.25">
      <c r="B4715" s="90">
        <v>4711</v>
      </c>
      <c r="C4715" s="39">
        <f t="shared" si="146"/>
        <v>14300579.803866047</v>
      </c>
      <c r="D4715" s="39">
        <f t="shared" si="147"/>
        <v>14928525.966600597</v>
      </c>
    </row>
    <row r="4716" spans="2:4" x14ac:dyDescent="0.25">
      <c r="B4716" s="90">
        <v>4712</v>
      </c>
      <c r="C4716" s="39">
        <f t="shared" si="146"/>
        <v>14303242.716157252</v>
      </c>
      <c r="D4716" s="39">
        <f t="shared" si="147"/>
        <v>14931694.832227131</v>
      </c>
    </row>
    <row r="4717" spans="2:4" x14ac:dyDescent="0.25">
      <c r="B4717" s="90">
        <v>4713</v>
      </c>
      <c r="C4717" s="39">
        <f t="shared" si="146"/>
        <v>14305905.628448457</v>
      </c>
      <c r="D4717" s="39">
        <f t="shared" si="147"/>
        <v>14934863.697853664</v>
      </c>
    </row>
    <row r="4718" spans="2:4" x14ac:dyDescent="0.25">
      <c r="B4718" s="90">
        <v>4714</v>
      </c>
      <c r="C4718" s="39">
        <f t="shared" si="146"/>
        <v>14308568.540739661</v>
      </c>
      <c r="D4718" s="39">
        <f t="shared" si="147"/>
        <v>14938032.563480198</v>
      </c>
    </row>
    <row r="4719" spans="2:4" x14ac:dyDescent="0.25">
      <c r="B4719" s="90">
        <v>4715</v>
      </c>
      <c r="C4719" s="39">
        <f t="shared" si="146"/>
        <v>14311231.453030866</v>
      </c>
      <c r="D4719" s="39">
        <f t="shared" si="147"/>
        <v>14941201.429106731</v>
      </c>
    </row>
    <row r="4720" spans="2:4" x14ac:dyDescent="0.25">
      <c r="B4720" s="90">
        <v>4716</v>
      </c>
      <c r="C4720" s="39">
        <f t="shared" si="146"/>
        <v>14313894.36532207</v>
      </c>
      <c r="D4720" s="39">
        <f t="shared" si="147"/>
        <v>14944370.294733265</v>
      </c>
    </row>
    <row r="4721" spans="2:4" x14ac:dyDescent="0.25">
      <c r="B4721" s="90">
        <v>4717</v>
      </c>
      <c r="C4721" s="39">
        <f t="shared" ref="C4721:C4784" si="148">($C$2*B4721)+$C$1</f>
        <v>14316557.277613277</v>
      </c>
      <c r="D4721" s="39">
        <f t="shared" ref="D4721:D4784" si="149">$D$2*B4721</f>
        <v>14947539.1603598</v>
      </c>
    </row>
    <row r="4722" spans="2:4" x14ac:dyDescent="0.25">
      <c r="B4722" s="90">
        <v>4718</v>
      </c>
      <c r="C4722" s="39">
        <f t="shared" si="148"/>
        <v>14319220.189904481</v>
      </c>
      <c r="D4722" s="39">
        <f t="shared" si="149"/>
        <v>14950708.025986332</v>
      </c>
    </row>
    <row r="4723" spans="2:4" x14ac:dyDescent="0.25">
      <c r="B4723" s="90">
        <v>4719</v>
      </c>
      <c r="C4723" s="39">
        <f t="shared" si="148"/>
        <v>14321883.102195686</v>
      </c>
      <c r="D4723" s="39">
        <f t="shared" si="149"/>
        <v>14953876.891612867</v>
      </c>
    </row>
    <row r="4724" spans="2:4" x14ac:dyDescent="0.25">
      <c r="B4724" s="90">
        <v>4720</v>
      </c>
      <c r="C4724" s="39">
        <f t="shared" si="148"/>
        <v>14324546.01448689</v>
      </c>
      <c r="D4724" s="39">
        <f t="shared" si="149"/>
        <v>14957045.757239401</v>
      </c>
    </row>
    <row r="4725" spans="2:4" x14ac:dyDescent="0.25">
      <c r="B4725" s="90">
        <v>4721</v>
      </c>
      <c r="C4725" s="39">
        <f t="shared" si="148"/>
        <v>14327208.926778095</v>
      </c>
      <c r="D4725" s="39">
        <f t="shared" si="149"/>
        <v>14960214.622865934</v>
      </c>
    </row>
    <row r="4726" spans="2:4" x14ac:dyDescent="0.25">
      <c r="B4726" s="90">
        <v>4722</v>
      </c>
      <c r="C4726" s="39">
        <f t="shared" si="148"/>
        <v>14329871.839069299</v>
      </c>
      <c r="D4726" s="39">
        <f t="shared" si="149"/>
        <v>14963383.488492468</v>
      </c>
    </row>
    <row r="4727" spans="2:4" x14ac:dyDescent="0.25">
      <c r="B4727" s="90">
        <v>4723</v>
      </c>
      <c r="C4727" s="39">
        <f t="shared" si="148"/>
        <v>14332534.751360506</v>
      </c>
      <c r="D4727" s="39">
        <f t="shared" si="149"/>
        <v>14966552.354119003</v>
      </c>
    </row>
    <row r="4728" spans="2:4" x14ac:dyDescent="0.25">
      <c r="B4728" s="90">
        <v>4724</v>
      </c>
      <c r="C4728" s="39">
        <f t="shared" si="148"/>
        <v>14335197.66365171</v>
      </c>
      <c r="D4728" s="39">
        <f t="shared" si="149"/>
        <v>14969721.219745535</v>
      </c>
    </row>
    <row r="4729" spans="2:4" x14ac:dyDescent="0.25">
      <c r="B4729" s="90">
        <v>4725</v>
      </c>
      <c r="C4729" s="39">
        <f t="shared" si="148"/>
        <v>14337860.575942915</v>
      </c>
      <c r="D4729" s="39">
        <f t="shared" si="149"/>
        <v>14972890.08537207</v>
      </c>
    </row>
    <row r="4730" spans="2:4" x14ac:dyDescent="0.25">
      <c r="B4730" s="90">
        <v>4726</v>
      </c>
      <c r="C4730" s="39">
        <f t="shared" si="148"/>
        <v>14340523.488234119</v>
      </c>
      <c r="D4730" s="39">
        <f t="shared" si="149"/>
        <v>14976058.950998602</v>
      </c>
    </row>
    <row r="4731" spans="2:4" x14ac:dyDescent="0.25">
      <c r="B4731" s="90">
        <v>4727</v>
      </c>
      <c r="C4731" s="39">
        <f t="shared" si="148"/>
        <v>14343186.400525324</v>
      </c>
      <c r="D4731" s="39">
        <f t="shared" si="149"/>
        <v>14979227.816625137</v>
      </c>
    </row>
    <row r="4732" spans="2:4" x14ac:dyDescent="0.25">
      <c r="B4732" s="90">
        <v>4728</v>
      </c>
      <c r="C4732" s="39">
        <f t="shared" si="148"/>
        <v>14345849.312816529</v>
      </c>
      <c r="D4732" s="39">
        <f t="shared" si="149"/>
        <v>14982396.682251671</v>
      </c>
    </row>
    <row r="4733" spans="2:4" x14ac:dyDescent="0.25">
      <c r="B4733" s="90">
        <v>4729</v>
      </c>
      <c r="C4733" s="39">
        <f t="shared" si="148"/>
        <v>14348512.225107735</v>
      </c>
      <c r="D4733" s="39">
        <f t="shared" si="149"/>
        <v>14985565.547878204</v>
      </c>
    </row>
    <row r="4734" spans="2:4" x14ac:dyDescent="0.25">
      <c r="B4734" s="90">
        <v>4730</v>
      </c>
      <c r="C4734" s="39">
        <f t="shared" si="148"/>
        <v>14351175.13739894</v>
      </c>
      <c r="D4734" s="39">
        <f t="shared" si="149"/>
        <v>14988734.413504738</v>
      </c>
    </row>
    <row r="4735" spans="2:4" x14ac:dyDescent="0.25">
      <c r="B4735" s="90">
        <v>4731</v>
      </c>
      <c r="C4735" s="39">
        <f t="shared" si="148"/>
        <v>14353838.049690144</v>
      </c>
      <c r="D4735" s="39">
        <f t="shared" si="149"/>
        <v>14991903.279131273</v>
      </c>
    </row>
    <row r="4736" spans="2:4" x14ac:dyDescent="0.25">
      <c r="B4736" s="90">
        <v>4732</v>
      </c>
      <c r="C4736" s="39">
        <f t="shared" si="148"/>
        <v>14356500.961981349</v>
      </c>
      <c r="D4736" s="39">
        <f t="shared" si="149"/>
        <v>14995072.144757805</v>
      </c>
    </row>
    <row r="4737" spans="2:4" x14ac:dyDescent="0.25">
      <c r="B4737" s="90">
        <v>4733</v>
      </c>
      <c r="C4737" s="39">
        <f t="shared" si="148"/>
        <v>14359163.874272553</v>
      </c>
      <c r="D4737" s="39">
        <f t="shared" si="149"/>
        <v>14998241.01038434</v>
      </c>
    </row>
    <row r="4738" spans="2:4" x14ac:dyDescent="0.25">
      <c r="B4738" s="90">
        <v>4734</v>
      </c>
      <c r="C4738" s="39">
        <f t="shared" si="148"/>
        <v>14361826.786563758</v>
      </c>
      <c r="D4738" s="39">
        <f t="shared" si="149"/>
        <v>15001409.876010874</v>
      </c>
    </row>
    <row r="4739" spans="2:4" x14ac:dyDescent="0.25">
      <c r="B4739" s="90">
        <v>4735</v>
      </c>
      <c r="C4739" s="39">
        <f t="shared" si="148"/>
        <v>14364489.698854962</v>
      </c>
      <c r="D4739" s="39">
        <f t="shared" si="149"/>
        <v>15004578.741637407</v>
      </c>
    </row>
    <row r="4740" spans="2:4" x14ac:dyDescent="0.25">
      <c r="B4740" s="90">
        <v>4736</v>
      </c>
      <c r="C4740" s="39">
        <f t="shared" si="148"/>
        <v>14367152.611146169</v>
      </c>
      <c r="D4740" s="39">
        <f t="shared" si="149"/>
        <v>15007747.607263941</v>
      </c>
    </row>
    <row r="4741" spans="2:4" x14ac:dyDescent="0.25">
      <c r="B4741" s="90">
        <v>4737</v>
      </c>
      <c r="C4741" s="39">
        <f t="shared" si="148"/>
        <v>14369815.523437373</v>
      </c>
      <c r="D4741" s="39">
        <f t="shared" si="149"/>
        <v>15010916.472890474</v>
      </c>
    </row>
    <row r="4742" spans="2:4" x14ac:dyDescent="0.25">
      <c r="B4742" s="90">
        <v>4738</v>
      </c>
      <c r="C4742" s="39">
        <f t="shared" si="148"/>
        <v>14372478.435728578</v>
      </c>
      <c r="D4742" s="39">
        <f t="shared" si="149"/>
        <v>15014085.338517008</v>
      </c>
    </row>
    <row r="4743" spans="2:4" x14ac:dyDescent="0.25">
      <c r="B4743" s="90">
        <v>4739</v>
      </c>
      <c r="C4743" s="39">
        <f t="shared" si="148"/>
        <v>14375141.348019782</v>
      </c>
      <c r="D4743" s="39">
        <f t="shared" si="149"/>
        <v>15017254.204143543</v>
      </c>
    </row>
    <row r="4744" spans="2:4" x14ac:dyDescent="0.25">
      <c r="B4744" s="90">
        <v>4740</v>
      </c>
      <c r="C4744" s="39">
        <f t="shared" si="148"/>
        <v>14377804.260310987</v>
      </c>
      <c r="D4744" s="39">
        <f t="shared" si="149"/>
        <v>15020423.069770075</v>
      </c>
    </row>
    <row r="4745" spans="2:4" x14ac:dyDescent="0.25">
      <c r="B4745" s="90">
        <v>4741</v>
      </c>
      <c r="C4745" s="39">
        <f t="shared" si="148"/>
        <v>14380467.172602192</v>
      </c>
      <c r="D4745" s="39">
        <f t="shared" si="149"/>
        <v>15023591.93539661</v>
      </c>
    </row>
    <row r="4746" spans="2:4" x14ac:dyDescent="0.25">
      <c r="B4746" s="90">
        <v>4742</v>
      </c>
      <c r="C4746" s="39">
        <f t="shared" si="148"/>
        <v>14383130.084893398</v>
      </c>
      <c r="D4746" s="39">
        <f t="shared" si="149"/>
        <v>15026760.801023144</v>
      </c>
    </row>
    <row r="4747" spans="2:4" x14ac:dyDescent="0.25">
      <c r="B4747" s="90">
        <v>4743</v>
      </c>
      <c r="C4747" s="39">
        <f t="shared" si="148"/>
        <v>14385792.997184603</v>
      </c>
      <c r="D4747" s="39">
        <f t="shared" si="149"/>
        <v>15029929.666649677</v>
      </c>
    </row>
    <row r="4748" spans="2:4" x14ac:dyDescent="0.25">
      <c r="B4748" s="90">
        <v>4744</v>
      </c>
      <c r="C4748" s="39">
        <f t="shared" si="148"/>
        <v>14388455.909475807</v>
      </c>
      <c r="D4748" s="39">
        <f t="shared" si="149"/>
        <v>15033098.532276211</v>
      </c>
    </row>
    <row r="4749" spans="2:4" x14ac:dyDescent="0.25">
      <c r="B4749" s="90">
        <v>4745</v>
      </c>
      <c r="C4749" s="39">
        <f t="shared" si="148"/>
        <v>14391118.821767012</v>
      </c>
      <c r="D4749" s="39">
        <f t="shared" si="149"/>
        <v>15036267.397902746</v>
      </c>
    </row>
    <row r="4750" spans="2:4" x14ac:dyDescent="0.25">
      <c r="B4750" s="90">
        <v>4746</v>
      </c>
      <c r="C4750" s="39">
        <f t="shared" si="148"/>
        <v>14393781.734058216</v>
      </c>
      <c r="D4750" s="39">
        <f t="shared" si="149"/>
        <v>15039436.263529278</v>
      </c>
    </row>
    <row r="4751" spans="2:4" x14ac:dyDescent="0.25">
      <c r="B4751" s="90">
        <v>4747</v>
      </c>
      <c r="C4751" s="39">
        <f t="shared" si="148"/>
        <v>14396444.646349421</v>
      </c>
      <c r="D4751" s="39">
        <f t="shared" si="149"/>
        <v>15042605.129155813</v>
      </c>
    </row>
    <row r="4752" spans="2:4" x14ac:dyDescent="0.25">
      <c r="B4752" s="90">
        <v>4748</v>
      </c>
      <c r="C4752" s="39">
        <f t="shared" si="148"/>
        <v>14399107.558640627</v>
      </c>
      <c r="D4752" s="39">
        <f t="shared" si="149"/>
        <v>15045773.994782345</v>
      </c>
    </row>
    <row r="4753" spans="2:4" x14ac:dyDescent="0.25">
      <c r="B4753" s="90">
        <v>4749</v>
      </c>
      <c r="C4753" s="39">
        <f t="shared" si="148"/>
        <v>14401770.470931832</v>
      </c>
      <c r="D4753" s="39">
        <f t="shared" si="149"/>
        <v>15048942.86040888</v>
      </c>
    </row>
    <row r="4754" spans="2:4" x14ac:dyDescent="0.25">
      <c r="B4754" s="90">
        <v>4750</v>
      </c>
      <c r="C4754" s="39">
        <f t="shared" si="148"/>
        <v>14404433.383223036</v>
      </c>
      <c r="D4754" s="39">
        <f t="shared" si="149"/>
        <v>15052111.726035414</v>
      </c>
    </row>
    <row r="4755" spans="2:4" x14ac:dyDescent="0.25">
      <c r="B4755" s="90">
        <v>4751</v>
      </c>
      <c r="C4755" s="39">
        <f t="shared" si="148"/>
        <v>14407096.295514241</v>
      </c>
      <c r="D4755" s="39">
        <f t="shared" si="149"/>
        <v>15055280.591661947</v>
      </c>
    </row>
    <row r="4756" spans="2:4" x14ac:dyDescent="0.25">
      <c r="B4756" s="90">
        <v>4752</v>
      </c>
      <c r="C4756" s="39">
        <f t="shared" si="148"/>
        <v>14409759.207805445</v>
      </c>
      <c r="D4756" s="39">
        <f t="shared" si="149"/>
        <v>15058449.457288481</v>
      </c>
    </row>
    <row r="4757" spans="2:4" x14ac:dyDescent="0.25">
      <c r="B4757" s="90">
        <v>4753</v>
      </c>
      <c r="C4757" s="39">
        <f t="shared" si="148"/>
        <v>14412422.12009665</v>
      </c>
      <c r="D4757" s="39">
        <f t="shared" si="149"/>
        <v>15061618.322915016</v>
      </c>
    </row>
    <row r="4758" spans="2:4" x14ac:dyDescent="0.25">
      <c r="B4758" s="90">
        <v>4754</v>
      </c>
      <c r="C4758" s="39">
        <f t="shared" si="148"/>
        <v>14415085.032387855</v>
      </c>
      <c r="D4758" s="39">
        <f t="shared" si="149"/>
        <v>15064787.188541548</v>
      </c>
    </row>
    <row r="4759" spans="2:4" x14ac:dyDescent="0.25">
      <c r="B4759" s="90">
        <v>4755</v>
      </c>
      <c r="C4759" s="39">
        <f t="shared" si="148"/>
        <v>14417747.944679061</v>
      </c>
      <c r="D4759" s="39">
        <f t="shared" si="149"/>
        <v>15067956.054168083</v>
      </c>
    </row>
    <row r="4760" spans="2:4" x14ac:dyDescent="0.25">
      <c r="B4760" s="90">
        <v>4756</v>
      </c>
      <c r="C4760" s="39">
        <f t="shared" si="148"/>
        <v>14420410.856970266</v>
      </c>
      <c r="D4760" s="39">
        <f t="shared" si="149"/>
        <v>15071124.919794617</v>
      </c>
    </row>
    <row r="4761" spans="2:4" x14ac:dyDescent="0.25">
      <c r="B4761" s="90">
        <v>4757</v>
      </c>
      <c r="C4761" s="39">
        <f t="shared" si="148"/>
        <v>14423073.76926147</v>
      </c>
      <c r="D4761" s="39">
        <f t="shared" si="149"/>
        <v>15074293.78542115</v>
      </c>
    </row>
    <row r="4762" spans="2:4" x14ac:dyDescent="0.25">
      <c r="B4762" s="90">
        <v>4758</v>
      </c>
      <c r="C4762" s="39">
        <f t="shared" si="148"/>
        <v>14425736.681552675</v>
      </c>
      <c r="D4762" s="39">
        <f t="shared" si="149"/>
        <v>15077462.651047684</v>
      </c>
    </row>
    <row r="4763" spans="2:4" x14ac:dyDescent="0.25">
      <c r="B4763" s="90">
        <v>4759</v>
      </c>
      <c r="C4763" s="39">
        <f t="shared" si="148"/>
        <v>14428399.593843879</v>
      </c>
      <c r="D4763" s="39">
        <f t="shared" si="149"/>
        <v>15080631.516674217</v>
      </c>
    </row>
    <row r="4764" spans="2:4" x14ac:dyDescent="0.25">
      <c r="B4764" s="90">
        <v>4760</v>
      </c>
      <c r="C4764" s="39">
        <f t="shared" si="148"/>
        <v>14431062.506135084</v>
      </c>
      <c r="D4764" s="39">
        <f t="shared" si="149"/>
        <v>15083800.382300751</v>
      </c>
    </row>
    <row r="4765" spans="2:4" x14ac:dyDescent="0.25">
      <c r="B4765" s="90">
        <v>4761</v>
      </c>
      <c r="C4765" s="39">
        <f t="shared" si="148"/>
        <v>14433725.41842629</v>
      </c>
      <c r="D4765" s="39">
        <f t="shared" si="149"/>
        <v>15086969.247927286</v>
      </c>
    </row>
    <row r="4766" spans="2:4" x14ac:dyDescent="0.25">
      <c r="B4766" s="90">
        <v>4762</v>
      </c>
      <c r="C4766" s="39">
        <f t="shared" si="148"/>
        <v>14436388.330717495</v>
      </c>
      <c r="D4766" s="39">
        <f t="shared" si="149"/>
        <v>15090138.113553818</v>
      </c>
    </row>
    <row r="4767" spans="2:4" x14ac:dyDescent="0.25">
      <c r="B4767" s="90">
        <v>4763</v>
      </c>
      <c r="C4767" s="39">
        <f t="shared" si="148"/>
        <v>14439051.243008699</v>
      </c>
      <c r="D4767" s="39">
        <f t="shared" si="149"/>
        <v>15093306.979180353</v>
      </c>
    </row>
    <row r="4768" spans="2:4" x14ac:dyDescent="0.25">
      <c r="B4768" s="90">
        <v>4764</v>
      </c>
      <c r="C4768" s="39">
        <f t="shared" si="148"/>
        <v>14441714.155299904</v>
      </c>
      <c r="D4768" s="39">
        <f t="shared" si="149"/>
        <v>15096475.844806887</v>
      </c>
    </row>
    <row r="4769" spans="2:4" x14ac:dyDescent="0.25">
      <c r="B4769" s="90">
        <v>4765</v>
      </c>
      <c r="C4769" s="39">
        <f t="shared" si="148"/>
        <v>14444377.067591108</v>
      </c>
      <c r="D4769" s="39">
        <f t="shared" si="149"/>
        <v>15099644.71043342</v>
      </c>
    </row>
    <row r="4770" spans="2:4" x14ac:dyDescent="0.25">
      <c r="B4770" s="90">
        <v>4766</v>
      </c>
      <c r="C4770" s="39">
        <f t="shared" si="148"/>
        <v>14447039.979882313</v>
      </c>
      <c r="D4770" s="39">
        <f t="shared" si="149"/>
        <v>15102813.576059954</v>
      </c>
    </row>
    <row r="4771" spans="2:4" x14ac:dyDescent="0.25">
      <c r="B4771" s="90">
        <v>4767</v>
      </c>
      <c r="C4771" s="39">
        <f t="shared" si="148"/>
        <v>14449702.892173517</v>
      </c>
      <c r="D4771" s="39">
        <f t="shared" si="149"/>
        <v>15105982.441686489</v>
      </c>
    </row>
    <row r="4772" spans="2:4" x14ac:dyDescent="0.25">
      <c r="B4772" s="90">
        <v>4768</v>
      </c>
      <c r="C4772" s="39">
        <f t="shared" si="148"/>
        <v>14452365.804464724</v>
      </c>
      <c r="D4772" s="39">
        <f t="shared" si="149"/>
        <v>15109151.307313021</v>
      </c>
    </row>
    <row r="4773" spans="2:4" x14ac:dyDescent="0.25">
      <c r="B4773" s="90">
        <v>4769</v>
      </c>
      <c r="C4773" s="39">
        <f t="shared" si="148"/>
        <v>14455028.716755928</v>
      </c>
      <c r="D4773" s="39">
        <f t="shared" si="149"/>
        <v>15112320.172939556</v>
      </c>
    </row>
    <row r="4774" spans="2:4" x14ac:dyDescent="0.25">
      <c r="B4774" s="90">
        <v>4770</v>
      </c>
      <c r="C4774" s="39">
        <f t="shared" si="148"/>
        <v>14457691.629047133</v>
      </c>
      <c r="D4774" s="39">
        <f t="shared" si="149"/>
        <v>15115489.038566088</v>
      </c>
    </row>
    <row r="4775" spans="2:4" x14ac:dyDescent="0.25">
      <c r="B4775" s="90">
        <v>4771</v>
      </c>
      <c r="C4775" s="39">
        <f t="shared" si="148"/>
        <v>14460354.541338338</v>
      </c>
      <c r="D4775" s="39">
        <f t="shared" si="149"/>
        <v>15118657.904192623</v>
      </c>
    </row>
    <row r="4776" spans="2:4" x14ac:dyDescent="0.25">
      <c r="B4776" s="90">
        <v>4772</v>
      </c>
      <c r="C4776" s="39">
        <f t="shared" si="148"/>
        <v>14463017.453629542</v>
      </c>
      <c r="D4776" s="39">
        <f t="shared" si="149"/>
        <v>15121826.769819157</v>
      </c>
    </row>
    <row r="4777" spans="2:4" x14ac:dyDescent="0.25">
      <c r="B4777" s="90">
        <v>4773</v>
      </c>
      <c r="C4777" s="39">
        <f t="shared" si="148"/>
        <v>14465680.365920747</v>
      </c>
      <c r="D4777" s="39">
        <f t="shared" si="149"/>
        <v>15124995.63544569</v>
      </c>
    </row>
    <row r="4778" spans="2:4" x14ac:dyDescent="0.25">
      <c r="B4778" s="90">
        <v>4774</v>
      </c>
      <c r="C4778" s="39">
        <f t="shared" si="148"/>
        <v>14468343.278211953</v>
      </c>
      <c r="D4778" s="39">
        <f t="shared" si="149"/>
        <v>15128164.501072224</v>
      </c>
    </row>
    <row r="4779" spans="2:4" x14ac:dyDescent="0.25">
      <c r="B4779" s="90">
        <v>4775</v>
      </c>
      <c r="C4779" s="39">
        <f t="shared" si="148"/>
        <v>14471006.190503158</v>
      </c>
      <c r="D4779" s="39">
        <f t="shared" si="149"/>
        <v>15131333.366698759</v>
      </c>
    </row>
    <row r="4780" spans="2:4" x14ac:dyDescent="0.25">
      <c r="B4780" s="90">
        <v>4776</v>
      </c>
      <c r="C4780" s="39">
        <f t="shared" si="148"/>
        <v>14473669.102794362</v>
      </c>
      <c r="D4780" s="39">
        <f t="shared" si="149"/>
        <v>15134502.232325291</v>
      </c>
    </row>
    <row r="4781" spans="2:4" x14ac:dyDescent="0.25">
      <c r="B4781" s="90">
        <v>4777</v>
      </c>
      <c r="C4781" s="39">
        <f t="shared" si="148"/>
        <v>14476332.015085567</v>
      </c>
      <c r="D4781" s="39">
        <f t="shared" si="149"/>
        <v>15137671.097951826</v>
      </c>
    </row>
    <row r="4782" spans="2:4" x14ac:dyDescent="0.25">
      <c r="B4782" s="90">
        <v>4778</v>
      </c>
      <c r="C4782" s="39">
        <f t="shared" si="148"/>
        <v>14478994.927376771</v>
      </c>
      <c r="D4782" s="39">
        <f t="shared" si="149"/>
        <v>15140839.96357836</v>
      </c>
    </row>
    <row r="4783" spans="2:4" x14ac:dyDescent="0.25">
      <c r="B4783" s="90">
        <v>4779</v>
      </c>
      <c r="C4783" s="39">
        <f t="shared" si="148"/>
        <v>14481657.839667976</v>
      </c>
      <c r="D4783" s="39">
        <f t="shared" si="149"/>
        <v>15144008.829204893</v>
      </c>
    </row>
    <row r="4784" spans="2:4" x14ac:dyDescent="0.25">
      <c r="B4784" s="90">
        <v>4780</v>
      </c>
      <c r="C4784" s="39">
        <f t="shared" si="148"/>
        <v>14484320.751959182</v>
      </c>
      <c r="D4784" s="39">
        <f t="shared" si="149"/>
        <v>15147177.694831427</v>
      </c>
    </row>
    <row r="4785" spans="2:4" x14ac:dyDescent="0.25">
      <c r="B4785" s="90">
        <v>4781</v>
      </c>
      <c r="C4785" s="39">
        <f t="shared" ref="C4785:C4848" si="150">($C$2*B4785)+$C$1</f>
        <v>14486983.664250387</v>
      </c>
      <c r="D4785" s="39">
        <f t="shared" ref="D4785:D4848" si="151">$D$2*B4785</f>
        <v>15150346.56045796</v>
      </c>
    </row>
    <row r="4786" spans="2:4" x14ac:dyDescent="0.25">
      <c r="B4786" s="90">
        <v>4782</v>
      </c>
      <c r="C4786" s="39">
        <f t="shared" si="150"/>
        <v>14489646.576541591</v>
      </c>
      <c r="D4786" s="39">
        <f t="shared" si="151"/>
        <v>15153515.426084494</v>
      </c>
    </row>
    <row r="4787" spans="2:4" x14ac:dyDescent="0.25">
      <c r="B4787" s="90">
        <v>4783</v>
      </c>
      <c r="C4787" s="39">
        <f t="shared" si="150"/>
        <v>14492309.488832796</v>
      </c>
      <c r="D4787" s="39">
        <f t="shared" si="151"/>
        <v>15156684.291711029</v>
      </c>
    </row>
    <row r="4788" spans="2:4" x14ac:dyDescent="0.25">
      <c r="B4788" s="90">
        <v>4784</v>
      </c>
      <c r="C4788" s="39">
        <f t="shared" si="150"/>
        <v>14494972.401124001</v>
      </c>
      <c r="D4788" s="39">
        <f t="shared" si="151"/>
        <v>15159853.157337561</v>
      </c>
    </row>
    <row r="4789" spans="2:4" x14ac:dyDescent="0.25">
      <c r="B4789" s="90">
        <v>4785</v>
      </c>
      <c r="C4789" s="39">
        <f t="shared" si="150"/>
        <v>14497635.313415205</v>
      </c>
      <c r="D4789" s="39">
        <f t="shared" si="151"/>
        <v>15163022.022964096</v>
      </c>
    </row>
    <row r="4790" spans="2:4" x14ac:dyDescent="0.25">
      <c r="B4790" s="90">
        <v>4786</v>
      </c>
      <c r="C4790" s="39">
        <f t="shared" si="150"/>
        <v>14500298.22570641</v>
      </c>
      <c r="D4790" s="39">
        <f t="shared" si="151"/>
        <v>15166190.88859063</v>
      </c>
    </row>
    <row r="4791" spans="2:4" x14ac:dyDescent="0.25">
      <c r="B4791" s="90">
        <v>4787</v>
      </c>
      <c r="C4791" s="39">
        <f t="shared" si="150"/>
        <v>14502961.137997616</v>
      </c>
      <c r="D4791" s="39">
        <f t="shared" si="151"/>
        <v>15169359.754217163</v>
      </c>
    </row>
    <row r="4792" spans="2:4" x14ac:dyDescent="0.25">
      <c r="B4792" s="90">
        <v>4788</v>
      </c>
      <c r="C4792" s="39">
        <f t="shared" si="150"/>
        <v>14505624.050288821</v>
      </c>
      <c r="D4792" s="39">
        <f t="shared" si="151"/>
        <v>15172528.619843697</v>
      </c>
    </row>
    <row r="4793" spans="2:4" x14ac:dyDescent="0.25">
      <c r="B4793" s="90">
        <v>4789</v>
      </c>
      <c r="C4793" s="39">
        <f t="shared" si="150"/>
        <v>14508286.962580025</v>
      </c>
      <c r="D4793" s="39">
        <f t="shared" si="151"/>
        <v>15175697.485470232</v>
      </c>
    </row>
    <row r="4794" spans="2:4" x14ac:dyDescent="0.25">
      <c r="B4794" s="90">
        <v>4790</v>
      </c>
      <c r="C4794" s="39">
        <f t="shared" si="150"/>
        <v>14510949.87487123</v>
      </c>
      <c r="D4794" s="39">
        <f t="shared" si="151"/>
        <v>15178866.351096764</v>
      </c>
    </row>
    <row r="4795" spans="2:4" x14ac:dyDescent="0.25">
      <c r="B4795" s="90">
        <v>4791</v>
      </c>
      <c r="C4795" s="39">
        <f t="shared" si="150"/>
        <v>14513612.787162434</v>
      </c>
      <c r="D4795" s="39">
        <f t="shared" si="151"/>
        <v>15182035.216723299</v>
      </c>
    </row>
    <row r="4796" spans="2:4" x14ac:dyDescent="0.25">
      <c r="B4796" s="90">
        <v>4792</v>
      </c>
      <c r="C4796" s="39">
        <f t="shared" si="150"/>
        <v>14516275.699453639</v>
      </c>
      <c r="D4796" s="39">
        <f t="shared" si="151"/>
        <v>15185204.082349831</v>
      </c>
    </row>
    <row r="4797" spans="2:4" x14ac:dyDescent="0.25">
      <c r="B4797" s="90">
        <v>4793</v>
      </c>
      <c r="C4797" s="39">
        <f t="shared" si="150"/>
        <v>14518938.611744845</v>
      </c>
      <c r="D4797" s="39">
        <f t="shared" si="151"/>
        <v>15188372.947976366</v>
      </c>
    </row>
    <row r="4798" spans="2:4" x14ac:dyDescent="0.25">
      <c r="B4798" s="90">
        <v>4794</v>
      </c>
      <c r="C4798" s="39">
        <f t="shared" si="150"/>
        <v>14521601.52403605</v>
      </c>
      <c r="D4798" s="39">
        <f t="shared" si="151"/>
        <v>15191541.8136029</v>
      </c>
    </row>
    <row r="4799" spans="2:4" x14ac:dyDescent="0.25">
      <c r="B4799" s="90">
        <v>4795</v>
      </c>
      <c r="C4799" s="39">
        <f t="shared" si="150"/>
        <v>14524264.436327254</v>
      </c>
      <c r="D4799" s="39">
        <f t="shared" si="151"/>
        <v>15194710.679229433</v>
      </c>
    </row>
    <row r="4800" spans="2:4" x14ac:dyDescent="0.25">
      <c r="B4800" s="90">
        <v>4796</v>
      </c>
      <c r="C4800" s="39">
        <f t="shared" si="150"/>
        <v>14526927.348618459</v>
      </c>
      <c r="D4800" s="39">
        <f t="shared" si="151"/>
        <v>15197879.544855967</v>
      </c>
    </row>
    <row r="4801" spans="2:4" x14ac:dyDescent="0.25">
      <c r="B4801" s="90">
        <v>4797</v>
      </c>
      <c r="C4801" s="39">
        <f t="shared" si="150"/>
        <v>14529590.260909664</v>
      </c>
      <c r="D4801" s="39">
        <f t="shared" si="151"/>
        <v>15201048.410482502</v>
      </c>
    </row>
    <row r="4802" spans="2:4" x14ac:dyDescent="0.25">
      <c r="B4802" s="90">
        <v>4798</v>
      </c>
      <c r="C4802" s="39">
        <f t="shared" si="150"/>
        <v>14532253.173200868</v>
      </c>
      <c r="D4802" s="39">
        <f t="shared" si="151"/>
        <v>15204217.276109034</v>
      </c>
    </row>
    <row r="4803" spans="2:4" x14ac:dyDescent="0.25">
      <c r="B4803" s="90">
        <v>4799</v>
      </c>
      <c r="C4803" s="39">
        <f t="shared" si="150"/>
        <v>14534916.085492074</v>
      </c>
      <c r="D4803" s="39">
        <f t="shared" si="151"/>
        <v>15207386.141735569</v>
      </c>
    </row>
    <row r="4804" spans="2:4" x14ac:dyDescent="0.25">
      <c r="B4804" s="90">
        <v>4800</v>
      </c>
      <c r="C4804" s="39">
        <f t="shared" si="150"/>
        <v>14537578.997783279</v>
      </c>
      <c r="D4804" s="39">
        <f t="shared" si="151"/>
        <v>15210555.007362103</v>
      </c>
    </row>
    <row r="4805" spans="2:4" x14ac:dyDescent="0.25">
      <c r="B4805" s="90">
        <v>4801</v>
      </c>
      <c r="C4805" s="39">
        <f t="shared" si="150"/>
        <v>14540241.910074484</v>
      </c>
      <c r="D4805" s="39">
        <f t="shared" si="151"/>
        <v>15213723.872988636</v>
      </c>
    </row>
    <row r="4806" spans="2:4" x14ac:dyDescent="0.25">
      <c r="B4806" s="90">
        <v>4802</v>
      </c>
      <c r="C4806" s="39">
        <f t="shared" si="150"/>
        <v>14542904.822365688</v>
      </c>
      <c r="D4806" s="39">
        <f t="shared" si="151"/>
        <v>15216892.73861517</v>
      </c>
    </row>
    <row r="4807" spans="2:4" x14ac:dyDescent="0.25">
      <c r="B4807" s="90">
        <v>4803</v>
      </c>
      <c r="C4807" s="39">
        <f t="shared" si="150"/>
        <v>14545567.734656893</v>
      </c>
      <c r="D4807" s="39">
        <f t="shared" si="151"/>
        <v>15220061.604241705</v>
      </c>
    </row>
    <row r="4808" spans="2:4" x14ac:dyDescent="0.25">
      <c r="B4808" s="90">
        <v>4804</v>
      </c>
      <c r="C4808" s="39">
        <f t="shared" si="150"/>
        <v>14548230.646948097</v>
      </c>
      <c r="D4808" s="39">
        <f t="shared" si="151"/>
        <v>15223230.469868237</v>
      </c>
    </row>
    <row r="4809" spans="2:4" x14ac:dyDescent="0.25">
      <c r="B4809" s="90">
        <v>4805</v>
      </c>
      <c r="C4809" s="39">
        <f t="shared" si="150"/>
        <v>14550893.559239302</v>
      </c>
      <c r="D4809" s="39">
        <f t="shared" si="151"/>
        <v>15226399.335494772</v>
      </c>
    </row>
    <row r="4810" spans="2:4" x14ac:dyDescent="0.25">
      <c r="B4810" s="90">
        <v>4806</v>
      </c>
      <c r="C4810" s="39">
        <f t="shared" si="150"/>
        <v>14553556.471530508</v>
      </c>
      <c r="D4810" s="39">
        <f t="shared" si="151"/>
        <v>15229568.201121304</v>
      </c>
    </row>
    <row r="4811" spans="2:4" x14ac:dyDescent="0.25">
      <c r="B4811" s="90">
        <v>4807</v>
      </c>
      <c r="C4811" s="39">
        <f t="shared" si="150"/>
        <v>14556219.383821713</v>
      </c>
      <c r="D4811" s="39">
        <f t="shared" si="151"/>
        <v>15232737.066747839</v>
      </c>
    </row>
    <row r="4812" spans="2:4" x14ac:dyDescent="0.25">
      <c r="B4812" s="90">
        <v>4808</v>
      </c>
      <c r="C4812" s="39">
        <f t="shared" si="150"/>
        <v>14558882.296112917</v>
      </c>
      <c r="D4812" s="39">
        <f t="shared" si="151"/>
        <v>15235905.932374373</v>
      </c>
    </row>
    <row r="4813" spans="2:4" x14ac:dyDescent="0.25">
      <c r="B4813" s="90">
        <v>4809</v>
      </c>
      <c r="C4813" s="39">
        <f t="shared" si="150"/>
        <v>14561545.208404122</v>
      </c>
      <c r="D4813" s="39">
        <f t="shared" si="151"/>
        <v>15239074.798000906</v>
      </c>
    </row>
    <row r="4814" spans="2:4" x14ac:dyDescent="0.25">
      <c r="B4814" s="90">
        <v>4810</v>
      </c>
      <c r="C4814" s="39">
        <f t="shared" si="150"/>
        <v>14564208.120695326</v>
      </c>
      <c r="D4814" s="39">
        <f t="shared" si="151"/>
        <v>15242243.66362744</v>
      </c>
    </row>
    <row r="4815" spans="2:4" x14ac:dyDescent="0.25">
      <c r="B4815" s="90">
        <v>4811</v>
      </c>
      <c r="C4815" s="39">
        <f t="shared" si="150"/>
        <v>14566871.032986531</v>
      </c>
      <c r="D4815" s="39">
        <f t="shared" si="151"/>
        <v>15245412.529253975</v>
      </c>
    </row>
    <row r="4816" spans="2:4" x14ac:dyDescent="0.25">
      <c r="B4816" s="90">
        <v>4812</v>
      </c>
      <c r="C4816" s="39">
        <f t="shared" si="150"/>
        <v>14569533.945277737</v>
      </c>
      <c r="D4816" s="39">
        <f t="shared" si="151"/>
        <v>15248581.394880507</v>
      </c>
    </row>
    <row r="4817" spans="2:4" x14ac:dyDescent="0.25">
      <c r="B4817" s="90">
        <v>4813</v>
      </c>
      <c r="C4817" s="39">
        <f t="shared" si="150"/>
        <v>14572196.857568942</v>
      </c>
      <c r="D4817" s="39">
        <f t="shared" si="151"/>
        <v>15251750.260507042</v>
      </c>
    </row>
    <row r="4818" spans="2:4" x14ac:dyDescent="0.25">
      <c r="B4818" s="90">
        <v>4814</v>
      </c>
      <c r="C4818" s="39">
        <f t="shared" si="150"/>
        <v>14574859.769860147</v>
      </c>
      <c r="D4818" s="39">
        <f t="shared" si="151"/>
        <v>15254919.126133576</v>
      </c>
    </row>
    <row r="4819" spans="2:4" x14ac:dyDescent="0.25">
      <c r="B4819" s="90">
        <v>4815</v>
      </c>
      <c r="C4819" s="39">
        <f t="shared" si="150"/>
        <v>14577522.682151351</v>
      </c>
      <c r="D4819" s="39">
        <f t="shared" si="151"/>
        <v>15258087.991760109</v>
      </c>
    </row>
    <row r="4820" spans="2:4" x14ac:dyDescent="0.25">
      <c r="B4820" s="90">
        <v>4816</v>
      </c>
      <c r="C4820" s="39">
        <f t="shared" si="150"/>
        <v>14580185.594442556</v>
      </c>
      <c r="D4820" s="39">
        <f t="shared" si="151"/>
        <v>15261256.857386643</v>
      </c>
    </row>
    <row r="4821" spans="2:4" x14ac:dyDescent="0.25">
      <c r="B4821" s="90">
        <v>4817</v>
      </c>
      <c r="C4821" s="39">
        <f t="shared" si="150"/>
        <v>14582848.50673376</v>
      </c>
      <c r="D4821" s="39">
        <f t="shared" si="151"/>
        <v>15264425.723013176</v>
      </c>
    </row>
    <row r="4822" spans="2:4" x14ac:dyDescent="0.25">
      <c r="B4822" s="90">
        <v>4818</v>
      </c>
      <c r="C4822" s="39">
        <f t="shared" si="150"/>
        <v>14585511.419024967</v>
      </c>
      <c r="D4822" s="39">
        <f t="shared" si="151"/>
        <v>15267594.58863971</v>
      </c>
    </row>
    <row r="4823" spans="2:4" x14ac:dyDescent="0.25">
      <c r="B4823" s="90">
        <v>4819</v>
      </c>
      <c r="C4823" s="39">
        <f t="shared" si="150"/>
        <v>14588174.331316171</v>
      </c>
      <c r="D4823" s="39">
        <f t="shared" si="151"/>
        <v>15270763.454266245</v>
      </c>
    </row>
    <row r="4824" spans="2:4" x14ac:dyDescent="0.25">
      <c r="B4824" s="90">
        <v>4820</v>
      </c>
      <c r="C4824" s="39">
        <f t="shared" si="150"/>
        <v>14590837.243607376</v>
      </c>
      <c r="D4824" s="39">
        <f t="shared" si="151"/>
        <v>15273932.319892777</v>
      </c>
    </row>
    <row r="4825" spans="2:4" x14ac:dyDescent="0.25">
      <c r="B4825" s="90">
        <v>4821</v>
      </c>
      <c r="C4825" s="39">
        <f t="shared" si="150"/>
        <v>14593500.15589858</v>
      </c>
      <c r="D4825" s="39">
        <f t="shared" si="151"/>
        <v>15277101.185519312</v>
      </c>
    </row>
    <row r="4826" spans="2:4" x14ac:dyDescent="0.25">
      <c r="B4826" s="90">
        <v>4822</v>
      </c>
      <c r="C4826" s="39">
        <f t="shared" si="150"/>
        <v>14596163.068189785</v>
      </c>
      <c r="D4826" s="39">
        <f t="shared" si="151"/>
        <v>15280270.051145846</v>
      </c>
    </row>
    <row r="4827" spans="2:4" x14ac:dyDescent="0.25">
      <c r="B4827" s="90">
        <v>4823</v>
      </c>
      <c r="C4827" s="39">
        <f t="shared" si="150"/>
        <v>14598825.980480989</v>
      </c>
      <c r="D4827" s="39">
        <f t="shared" si="151"/>
        <v>15283438.916772379</v>
      </c>
    </row>
    <row r="4828" spans="2:4" x14ac:dyDescent="0.25">
      <c r="B4828" s="90">
        <v>4824</v>
      </c>
      <c r="C4828" s="39">
        <f t="shared" si="150"/>
        <v>14601488.892772194</v>
      </c>
      <c r="D4828" s="39">
        <f t="shared" si="151"/>
        <v>15286607.782398913</v>
      </c>
    </row>
    <row r="4829" spans="2:4" x14ac:dyDescent="0.25">
      <c r="B4829" s="90">
        <v>4825</v>
      </c>
      <c r="C4829" s="39">
        <f t="shared" si="150"/>
        <v>14604151.8050634</v>
      </c>
      <c r="D4829" s="39">
        <f t="shared" si="151"/>
        <v>15289776.648025448</v>
      </c>
    </row>
    <row r="4830" spans="2:4" x14ac:dyDescent="0.25">
      <c r="B4830" s="90">
        <v>4826</v>
      </c>
      <c r="C4830" s="39">
        <f t="shared" si="150"/>
        <v>14606814.717354605</v>
      </c>
      <c r="D4830" s="39">
        <f t="shared" si="151"/>
        <v>15292945.51365198</v>
      </c>
    </row>
    <row r="4831" spans="2:4" x14ac:dyDescent="0.25">
      <c r="B4831" s="90">
        <v>4827</v>
      </c>
      <c r="C4831" s="39">
        <f t="shared" si="150"/>
        <v>14609477.62964581</v>
      </c>
      <c r="D4831" s="39">
        <f t="shared" si="151"/>
        <v>15296114.379278515</v>
      </c>
    </row>
    <row r="4832" spans="2:4" x14ac:dyDescent="0.25">
      <c r="B4832" s="90">
        <v>4828</v>
      </c>
      <c r="C4832" s="39">
        <f t="shared" si="150"/>
        <v>14612140.541937014</v>
      </c>
      <c r="D4832" s="39">
        <f t="shared" si="151"/>
        <v>15299283.244905047</v>
      </c>
    </row>
    <row r="4833" spans="2:4" x14ac:dyDescent="0.25">
      <c r="B4833" s="90">
        <v>4829</v>
      </c>
      <c r="C4833" s="39">
        <f t="shared" si="150"/>
        <v>14614803.454228219</v>
      </c>
      <c r="D4833" s="39">
        <f t="shared" si="151"/>
        <v>15302452.110531582</v>
      </c>
    </row>
    <row r="4834" spans="2:4" x14ac:dyDescent="0.25">
      <c r="B4834" s="90">
        <v>4830</v>
      </c>
      <c r="C4834" s="39">
        <f t="shared" si="150"/>
        <v>14617466.366519423</v>
      </c>
      <c r="D4834" s="39">
        <f t="shared" si="151"/>
        <v>15305620.976158116</v>
      </c>
    </row>
    <row r="4835" spans="2:4" x14ac:dyDescent="0.25">
      <c r="B4835" s="90">
        <v>4831</v>
      </c>
      <c r="C4835" s="39">
        <f t="shared" si="150"/>
        <v>14620129.27881063</v>
      </c>
      <c r="D4835" s="39">
        <f t="shared" si="151"/>
        <v>15308789.841784649</v>
      </c>
    </row>
    <row r="4836" spans="2:4" x14ac:dyDescent="0.25">
      <c r="B4836" s="90">
        <v>4832</v>
      </c>
      <c r="C4836" s="39">
        <f t="shared" si="150"/>
        <v>14622792.191101834</v>
      </c>
      <c r="D4836" s="39">
        <f t="shared" si="151"/>
        <v>15311958.707411183</v>
      </c>
    </row>
    <row r="4837" spans="2:4" x14ac:dyDescent="0.25">
      <c r="B4837" s="90">
        <v>4833</v>
      </c>
      <c r="C4837" s="39">
        <f t="shared" si="150"/>
        <v>14625455.103393039</v>
      </c>
      <c r="D4837" s="39">
        <f t="shared" si="151"/>
        <v>15315127.573037717</v>
      </c>
    </row>
    <row r="4838" spans="2:4" x14ac:dyDescent="0.25">
      <c r="B4838" s="90">
        <v>4834</v>
      </c>
      <c r="C4838" s="39">
        <f t="shared" si="150"/>
        <v>14628118.015684243</v>
      </c>
      <c r="D4838" s="39">
        <f t="shared" si="151"/>
        <v>15318296.43866425</v>
      </c>
    </row>
    <row r="4839" spans="2:4" x14ac:dyDescent="0.25">
      <c r="B4839" s="90">
        <v>4835</v>
      </c>
      <c r="C4839" s="39">
        <f t="shared" si="150"/>
        <v>14630780.927975448</v>
      </c>
      <c r="D4839" s="39">
        <f t="shared" si="151"/>
        <v>15321465.304290785</v>
      </c>
    </row>
    <row r="4840" spans="2:4" x14ac:dyDescent="0.25">
      <c r="B4840" s="90">
        <v>4836</v>
      </c>
      <c r="C4840" s="39">
        <f t="shared" si="150"/>
        <v>14633443.840266652</v>
      </c>
      <c r="D4840" s="39">
        <f t="shared" si="151"/>
        <v>15324634.169917319</v>
      </c>
    </row>
    <row r="4841" spans="2:4" x14ac:dyDescent="0.25">
      <c r="B4841" s="90">
        <v>4837</v>
      </c>
      <c r="C4841" s="39">
        <f t="shared" si="150"/>
        <v>14636106.752557859</v>
      </c>
      <c r="D4841" s="39">
        <f t="shared" si="151"/>
        <v>15327803.035543852</v>
      </c>
    </row>
    <row r="4842" spans="2:4" x14ac:dyDescent="0.25">
      <c r="B4842" s="90">
        <v>4838</v>
      </c>
      <c r="C4842" s="39">
        <f t="shared" si="150"/>
        <v>14638769.664849063</v>
      </c>
      <c r="D4842" s="39">
        <f t="shared" si="151"/>
        <v>15330971.901170386</v>
      </c>
    </row>
    <row r="4843" spans="2:4" x14ac:dyDescent="0.25">
      <c r="B4843" s="90">
        <v>4839</v>
      </c>
      <c r="C4843" s="39">
        <f t="shared" si="150"/>
        <v>14641432.577140268</v>
      </c>
      <c r="D4843" s="39">
        <f t="shared" si="151"/>
        <v>15334140.766796919</v>
      </c>
    </row>
    <row r="4844" spans="2:4" x14ac:dyDescent="0.25">
      <c r="B4844" s="90">
        <v>4840</v>
      </c>
      <c r="C4844" s="39">
        <f t="shared" si="150"/>
        <v>14644095.489431472</v>
      </c>
      <c r="D4844" s="39">
        <f t="shared" si="151"/>
        <v>15337309.632423453</v>
      </c>
    </row>
    <row r="4845" spans="2:4" x14ac:dyDescent="0.25">
      <c r="B4845" s="90">
        <v>4841</v>
      </c>
      <c r="C4845" s="39">
        <f t="shared" si="150"/>
        <v>14646758.401722677</v>
      </c>
      <c r="D4845" s="39">
        <f t="shared" si="151"/>
        <v>15340478.498049987</v>
      </c>
    </row>
    <row r="4846" spans="2:4" x14ac:dyDescent="0.25">
      <c r="B4846" s="90">
        <v>4842</v>
      </c>
      <c r="C4846" s="39">
        <f t="shared" si="150"/>
        <v>14649421.314013882</v>
      </c>
      <c r="D4846" s="39">
        <f t="shared" si="151"/>
        <v>15343647.36367652</v>
      </c>
    </row>
    <row r="4847" spans="2:4" x14ac:dyDescent="0.25">
      <c r="B4847" s="90">
        <v>4843</v>
      </c>
      <c r="C4847" s="39">
        <f t="shared" si="150"/>
        <v>14652084.226305086</v>
      </c>
      <c r="D4847" s="39">
        <f t="shared" si="151"/>
        <v>15346816.229303055</v>
      </c>
    </row>
    <row r="4848" spans="2:4" x14ac:dyDescent="0.25">
      <c r="B4848" s="90">
        <v>4844</v>
      </c>
      <c r="C4848" s="39">
        <f t="shared" si="150"/>
        <v>14654747.138596293</v>
      </c>
      <c r="D4848" s="39">
        <f t="shared" si="151"/>
        <v>15349985.094929589</v>
      </c>
    </row>
    <row r="4849" spans="2:4" x14ac:dyDescent="0.25">
      <c r="B4849" s="90">
        <v>4845</v>
      </c>
      <c r="C4849" s="39">
        <f t="shared" ref="C4849:C4912" si="152">($C$2*B4849)+$C$1</f>
        <v>14657410.050887497</v>
      </c>
      <c r="D4849" s="39">
        <f t="shared" ref="D4849:D4912" si="153">$D$2*B4849</f>
        <v>15353153.960556122</v>
      </c>
    </row>
    <row r="4850" spans="2:4" x14ac:dyDescent="0.25">
      <c r="B4850" s="90">
        <v>4846</v>
      </c>
      <c r="C4850" s="39">
        <f t="shared" si="152"/>
        <v>14660072.963178702</v>
      </c>
      <c r="D4850" s="39">
        <f t="shared" si="153"/>
        <v>15356322.826182656</v>
      </c>
    </row>
    <row r="4851" spans="2:4" x14ac:dyDescent="0.25">
      <c r="B4851" s="90">
        <v>4847</v>
      </c>
      <c r="C4851" s="39">
        <f t="shared" si="152"/>
        <v>14662735.875469906</v>
      </c>
      <c r="D4851" s="39">
        <f t="shared" si="153"/>
        <v>15359491.69180919</v>
      </c>
    </row>
    <row r="4852" spans="2:4" x14ac:dyDescent="0.25">
      <c r="B4852" s="90">
        <v>4848</v>
      </c>
      <c r="C4852" s="39">
        <f t="shared" si="152"/>
        <v>14665398.787761111</v>
      </c>
      <c r="D4852" s="39">
        <f t="shared" si="153"/>
        <v>15362660.557435723</v>
      </c>
    </row>
    <row r="4853" spans="2:4" x14ac:dyDescent="0.25">
      <c r="B4853" s="90">
        <v>4849</v>
      </c>
      <c r="C4853" s="39">
        <f t="shared" si="152"/>
        <v>14668061.700052315</v>
      </c>
      <c r="D4853" s="39">
        <f t="shared" si="153"/>
        <v>15365829.423062257</v>
      </c>
    </row>
    <row r="4854" spans="2:4" x14ac:dyDescent="0.25">
      <c r="B4854" s="90">
        <v>4850</v>
      </c>
      <c r="C4854" s="39">
        <f t="shared" si="152"/>
        <v>14670724.612343522</v>
      </c>
      <c r="D4854" s="39">
        <f t="shared" si="153"/>
        <v>15368998.28868879</v>
      </c>
    </row>
    <row r="4855" spans="2:4" x14ac:dyDescent="0.25">
      <c r="B4855" s="90">
        <v>4851</v>
      </c>
      <c r="C4855" s="39">
        <f t="shared" si="152"/>
        <v>14673387.524634726</v>
      </c>
      <c r="D4855" s="39">
        <f t="shared" si="153"/>
        <v>15372167.154315325</v>
      </c>
    </row>
    <row r="4856" spans="2:4" x14ac:dyDescent="0.25">
      <c r="B4856" s="90">
        <v>4852</v>
      </c>
      <c r="C4856" s="39">
        <f t="shared" si="152"/>
        <v>14676050.436925931</v>
      </c>
      <c r="D4856" s="39">
        <f t="shared" si="153"/>
        <v>15375336.019941859</v>
      </c>
    </row>
    <row r="4857" spans="2:4" x14ac:dyDescent="0.25">
      <c r="B4857" s="90">
        <v>4853</v>
      </c>
      <c r="C4857" s="39">
        <f t="shared" si="152"/>
        <v>14678713.349217135</v>
      </c>
      <c r="D4857" s="39">
        <f t="shared" si="153"/>
        <v>15378504.885568392</v>
      </c>
    </row>
    <row r="4858" spans="2:4" x14ac:dyDescent="0.25">
      <c r="B4858" s="90">
        <v>4854</v>
      </c>
      <c r="C4858" s="39">
        <f t="shared" si="152"/>
        <v>14681376.26150834</v>
      </c>
      <c r="D4858" s="39">
        <f t="shared" si="153"/>
        <v>15381673.751194926</v>
      </c>
    </row>
    <row r="4859" spans="2:4" x14ac:dyDescent="0.25">
      <c r="B4859" s="90">
        <v>4855</v>
      </c>
      <c r="C4859" s="39">
        <f t="shared" si="152"/>
        <v>14684039.173799545</v>
      </c>
      <c r="D4859" s="39">
        <f t="shared" si="153"/>
        <v>15384842.61682146</v>
      </c>
    </row>
    <row r="4860" spans="2:4" x14ac:dyDescent="0.25">
      <c r="B4860" s="90">
        <v>4856</v>
      </c>
      <c r="C4860" s="39">
        <f t="shared" si="152"/>
        <v>14686702.086090749</v>
      </c>
      <c r="D4860" s="39">
        <f t="shared" si="153"/>
        <v>15388011.482447993</v>
      </c>
    </row>
    <row r="4861" spans="2:4" x14ac:dyDescent="0.25">
      <c r="B4861" s="90">
        <v>4857</v>
      </c>
      <c r="C4861" s="39">
        <f t="shared" si="152"/>
        <v>14689364.998381956</v>
      </c>
      <c r="D4861" s="39">
        <f t="shared" si="153"/>
        <v>15391180.348074527</v>
      </c>
    </row>
    <row r="4862" spans="2:4" x14ac:dyDescent="0.25">
      <c r="B4862" s="90">
        <v>4858</v>
      </c>
      <c r="C4862" s="39">
        <f t="shared" si="152"/>
        <v>14692027.91067316</v>
      </c>
      <c r="D4862" s="39">
        <f t="shared" si="153"/>
        <v>15394349.213701062</v>
      </c>
    </row>
    <row r="4863" spans="2:4" x14ac:dyDescent="0.25">
      <c r="B4863" s="90">
        <v>4859</v>
      </c>
      <c r="C4863" s="39">
        <f t="shared" si="152"/>
        <v>14694690.822964365</v>
      </c>
      <c r="D4863" s="39">
        <f t="shared" si="153"/>
        <v>15397518.079327594</v>
      </c>
    </row>
    <row r="4864" spans="2:4" x14ac:dyDescent="0.25">
      <c r="B4864" s="90">
        <v>4860</v>
      </c>
      <c r="C4864" s="39">
        <f t="shared" si="152"/>
        <v>14697353.735255569</v>
      </c>
      <c r="D4864" s="39">
        <f t="shared" si="153"/>
        <v>15400686.944954129</v>
      </c>
    </row>
    <row r="4865" spans="2:4" x14ac:dyDescent="0.25">
      <c r="B4865" s="90">
        <v>4861</v>
      </c>
      <c r="C4865" s="39">
        <f t="shared" si="152"/>
        <v>14700016.647546774</v>
      </c>
      <c r="D4865" s="39">
        <f t="shared" si="153"/>
        <v>15403855.810580662</v>
      </c>
    </row>
    <row r="4866" spans="2:4" x14ac:dyDescent="0.25">
      <c r="B4866" s="90">
        <v>4862</v>
      </c>
      <c r="C4866" s="39">
        <f t="shared" si="152"/>
        <v>14702679.559837978</v>
      </c>
      <c r="D4866" s="39">
        <f t="shared" si="153"/>
        <v>15407024.676207196</v>
      </c>
    </row>
    <row r="4867" spans="2:4" x14ac:dyDescent="0.25">
      <c r="B4867" s="90">
        <v>4863</v>
      </c>
      <c r="C4867" s="39">
        <f t="shared" si="152"/>
        <v>14705342.472129185</v>
      </c>
      <c r="D4867" s="39">
        <f t="shared" si="153"/>
        <v>15410193.54183373</v>
      </c>
    </row>
    <row r="4868" spans="2:4" x14ac:dyDescent="0.25">
      <c r="B4868" s="90">
        <v>4864</v>
      </c>
      <c r="C4868" s="39">
        <f t="shared" si="152"/>
        <v>14708005.384420389</v>
      </c>
      <c r="D4868" s="39">
        <f t="shared" si="153"/>
        <v>15413362.407460263</v>
      </c>
    </row>
    <row r="4869" spans="2:4" x14ac:dyDescent="0.25">
      <c r="B4869" s="90">
        <v>4865</v>
      </c>
      <c r="C4869" s="39">
        <f t="shared" si="152"/>
        <v>14710668.296711594</v>
      </c>
      <c r="D4869" s="39">
        <f t="shared" si="153"/>
        <v>15416531.273086797</v>
      </c>
    </row>
    <row r="4870" spans="2:4" x14ac:dyDescent="0.25">
      <c r="B4870" s="90">
        <v>4866</v>
      </c>
      <c r="C4870" s="39">
        <f t="shared" si="152"/>
        <v>14713331.209002798</v>
      </c>
      <c r="D4870" s="39">
        <f t="shared" si="153"/>
        <v>15419700.138713332</v>
      </c>
    </row>
    <row r="4871" spans="2:4" x14ac:dyDescent="0.25">
      <c r="B4871" s="90">
        <v>4867</v>
      </c>
      <c r="C4871" s="39">
        <f t="shared" si="152"/>
        <v>14715994.121294003</v>
      </c>
      <c r="D4871" s="39">
        <f t="shared" si="153"/>
        <v>15422869.004339864</v>
      </c>
    </row>
    <row r="4872" spans="2:4" x14ac:dyDescent="0.25">
      <c r="B4872" s="90">
        <v>4868</v>
      </c>
      <c r="C4872" s="39">
        <f t="shared" si="152"/>
        <v>14718657.033585208</v>
      </c>
      <c r="D4872" s="39">
        <f t="shared" si="153"/>
        <v>15426037.869966399</v>
      </c>
    </row>
    <row r="4873" spans="2:4" x14ac:dyDescent="0.25">
      <c r="B4873" s="90">
        <v>4869</v>
      </c>
      <c r="C4873" s="39">
        <f t="shared" si="152"/>
        <v>14721319.945876414</v>
      </c>
      <c r="D4873" s="39">
        <f t="shared" si="153"/>
        <v>15429206.735592933</v>
      </c>
    </row>
    <row r="4874" spans="2:4" x14ac:dyDescent="0.25">
      <c r="B4874" s="90">
        <v>4870</v>
      </c>
      <c r="C4874" s="39">
        <f t="shared" si="152"/>
        <v>14723982.858167619</v>
      </c>
      <c r="D4874" s="39">
        <f t="shared" si="153"/>
        <v>15432375.601219466</v>
      </c>
    </row>
    <row r="4875" spans="2:4" x14ac:dyDescent="0.25">
      <c r="B4875" s="90">
        <v>4871</v>
      </c>
      <c r="C4875" s="39">
        <f t="shared" si="152"/>
        <v>14726645.770458823</v>
      </c>
      <c r="D4875" s="39">
        <f t="shared" si="153"/>
        <v>15435544.466846</v>
      </c>
    </row>
    <row r="4876" spans="2:4" x14ac:dyDescent="0.25">
      <c r="B4876" s="90">
        <v>4872</v>
      </c>
      <c r="C4876" s="39">
        <f t="shared" si="152"/>
        <v>14729308.682750028</v>
      </c>
      <c r="D4876" s="39">
        <f t="shared" si="153"/>
        <v>15438713.332472533</v>
      </c>
    </row>
    <row r="4877" spans="2:4" x14ac:dyDescent="0.25">
      <c r="B4877" s="90">
        <v>4873</v>
      </c>
      <c r="C4877" s="39">
        <f t="shared" si="152"/>
        <v>14731971.595041232</v>
      </c>
      <c r="D4877" s="39">
        <f t="shared" si="153"/>
        <v>15441882.198099067</v>
      </c>
    </row>
    <row r="4878" spans="2:4" x14ac:dyDescent="0.25">
      <c r="B4878" s="90">
        <v>4874</v>
      </c>
      <c r="C4878" s="39">
        <f t="shared" si="152"/>
        <v>14734634.507332437</v>
      </c>
      <c r="D4878" s="39">
        <f t="shared" si="153"/>
        <v>15445051.063725602</v>
      </c>
    </row>
    <row r="4879" spans="2:4" x14ac:dyDescent="0.25">
      <c r="B4879" s="90">
        <v>4875</v>
      </c>
      <c r="C4879" s="39">
        <f t="shared" si="152"/>
        <v>14737297.419623641</v>
      </c>
      <c r="D4879" s="39">
        <f t="shared" si="153"/>
        <v>15448219.929352134</v>
      </c>
    </row>
    <row r="4880" spans="2:4" x14ac:dyDescent="0.25">
      <c r="B4880" s="90">
        <v>4876</v>
      </c>
      <c r="C4880" s="39">
        <f t="shared" si="152"/>
        <v>14739960.331914848</v>
      </c>
      <c r="D4880" s="39">
        <f t="shared" si="153"/>
        <v>15451388.794978669</v>
      </c>
    </row>
    <row r="4881" spans="2:4" x14ac:dyDescent="0.25">
      <c r="B4881" s="90">
        <v>4877</v>
      </c>
      <c r="C4881" s="39">
        <f t="shared" si="152"/>
        <v>14742623.244206052</v>
      </c>
      <c r="D4881" s="39">
        <f t="shared" si="153"/>
        <v>15454557.660605203</v>
      </c>
    </row>
    <row r="4882" spans="2:4" x14ac:dyDescent="0.25">
      <c r="B4882" s="90">
        <v>4878</v>
      </c>
      <c r="C4882" s="39">
        <f t="shared" si="152"/>
        <v>14745286.156497257</v>
      </c>
      <c r="D4882" s="39">
        <f t="shared" si="153"/>
        <v>15457726.526231736</v>
      </c>
    </row>
    <row r="4883" spans="2:4" x14ac:dyDescent="0.25">
      <c r="B4883" s="90">
        <v>4879</v>
      </c>
      <c r="C4883" s="39">
        <f t="shared" si="152"/>
        <v>14747949.068788461</v>
      </c>
      <c r="D4883" s="39">
        <f t="shared" si="153"/>
        <v>15460895.39185827</v>
      </c>
    </row>
    <row r="4884" spans="2:4" x14ac:dyDescent="0.25">
      <c r="B4884" s="90">
        <v>4880</v>
      </c>
      <c r="C4884" s="39">
        <f t="shared" si="152"/>
        <v>14750611.981079666</v>
      </c>
      <c r="D4884" s="39">
        <f t="shared" si="153"/>
        <v>15464064.257484805</v>
      </c>
    </row>
    <row r="4885" spans="2:4" x14ac:dyDescent="0.25">
      <c r="B4885" s="90">
        <v>4881</v>
      </c>
      <c r="C4885" s="39">
        <f t="shared" si="152"/>
        <v>14753274.893370871</v>
      </c>
      <c r="D4885" s="39">
        <f t="shared" si="153"/>
        <v>15467233.123111337</v>
      </c>
    </row>
    <row r="4886" spans="2:4" x14ac:dyDescent="0.25">
      <c r="B4886" s="90">
        <v>4882</v>
      </c>
      <c r="C4886" s="39">
        <f t="shared" si="152"/>
        <v>14755937.805662077</v>
      </c>
      <c r="D4886" s="39">
        <f t="shared" si="153"/>
        <v>15470401.988737872</v>
      </c>
    </row>
    <row r="4887" spans="2:4" x14ac:dyDescent="0.25">
      <c r="B4887" s="90">
        <v>4883</v>
      </c>
      <c r="C4887" s="39">
        <f t="shared" si="152"/>
        <v>14758600.717953281</v>
      </c>
      <c r="D4887" s="39">
        <f t="shared" si="153"/>
        <v>15473570.854364404</v>
      </c>
    </row>
    <row r="4888" spans="2:4" x14ac:dyDescent="0.25">
      <c r="B4888" s="90">
        <v>4884</v>
      </c>
      <c r="C4888" s="39">
        <f t="shared" si="152"/>
        <v>14761263.630244486</v>
      </c>
      <c r="D4888" s="39">
        <f t="shared" si="153"/>
        <v>15476739.719990939</v>
      </c>
    </row>
    <row r="4889" spans="2:4" x14ac:dyDescent="0.25">
      <c r="B4889" s="90">
        <v>4885</v>
      </c>
      <c r="C4889" s="39">
        <f t="shared" si="152"/>
        <v>14763926.542535691</v>
      </c>
      <c r="D4889" s="39">
        <f t="shared" si="153"/>
        <v>15479908.585617473</v>
      </c>
    </row>
    <row r="4890" spans="2:4" x14ac:dyDescent="0.25">
      <c r="B4890" s="90">
        <v>4886</v>
      </c>
      <c r="C4890" s="39">
        <f t="shared" si="152"/>
        <v>14766589.454826895</v>
      </c>
      <c r="D4890" s="39">
        <f t="shared" si="153"/>
        <v>15483077.451244006</v>
      </c>
    </row>
    <row r="4891" spans="2:4" x14ac:dyDescent="0.25">
      <c r="B4891" s="90">
        <v>4887</v>
      </c>
      <c r="C4891" s="39">
        <f t="shared" si="152"/>
        <v>14769252.3671181</v>
      </c>
      <c r="D4891" s="39">
        <f t="shared" si="153"/>
        <v>15486246.31687054</v>
      </c>
    </row>
    <row r="4892" spans="2:4" x14ac:dyDescent="0.25">
      <c r="B4892" s="90">
        <v>4888</v>
      </c>
      <c r="C4892" s="39">
        <f t="shared" si="152"/>
        <v>14771915.279409306</v>
      </c>
      <c r="D4892" s="39">
        <f t="shared" si="153"/>
        <v>15489415.182497075</v>
      </c>
    </row>
    <row r="4893" spans="2:4" x14ac:dyDescent="0.25">
      <c r="B4893" s="90">
        <v>4889</v>
      </c>
      <c r="C4893" s="39">
        <f t="shared" si="152"/>
        <v>14774578.191700511</v>
      </c>
      <c r="D4893" s="39">
        <f t="shared" si="153"/>
        <v>15492584.048123607</v>
      </c>
    </row>
    <row r="4894" spans="2:4" x14ac:dyDescent="0.25">
      <c r="B4894" s="90">
        <v>4890</v>
      </c>
      <c r="C4894" s="39">
        <f t="shared" si="152"/>
        <v>14777241.103991715</v>
      </c>
      <c r="D4894" s="39">
        <f t="shared" si="153"/>
        <v>15495752.913750142</v>
      </c>
    </row>
    <row r="4895" spans="2:4" x14ac:dyDescent="0.25">
      <c r="B4895" s="90">
        <v>4891</v>
      </c>
      <c r="C4895" s="39">
        <f t="shared" si="152"/>
        <v>14779904.01628292</v>
      </c>
      <c r="D4895" s="39">
        <f t="shared" si="153"/>
        <v>15498921.779376676</v>
      </c>
    </row>
    <row r="4896" spans="2:4" x14ac:dyDescent="0.25">
      <c r="B4896" s="90">
        <v>4892</v>
      </c>
      <c r="C4896" s="39">
        <f t="shared" si="152"/>
        <v>14782566.928574124</v>
      </c>
      <c r="D4896" s="39">
        <f t="shared" si="153"/>
        <v>15502090.645003209</v>
      </c>
    </row>
    <row r="4897" spans="2:4" x14ac:dyDescent="0.25">
      <c r="B4897" s="90">
        <v>4893</v>
      </c>
      <c r="C4897" s="39">
        <f t="shared" si="152"/>
        <v>14785229.840865329</v>
      </c>
      <c r="D4897" s="39">
        <f t="shared" si="153"/>
        <v>15505259.510629743</v>
      </c>
    </row>
    <row r="4898" spans="2:4" x14ac:dyDescent="0.25">
      <c r="B4898" s="90">
        <v>4894</v>
      </c>
      <c r="C4898" s="39">
        <f t="shared" si="152"/>
        <v>14787892.753156533</v>
      </c>
      <c r="D4898" s="39">
        <f t="shared" si="153"/>
        <v>15508428.376256276</v>
      </c>
    </row>
    <row r="4899" spans="2:4" x14ac:dyDescent="0.25">
      <c r="B4899" s="90">
        <v>4895</v>
      </c>
      <c r="C4899" s="39">
        <f t="shared" si="152"/>
        <v>14790555.66544774</v>
      </c>
      <c r="D4899" s="39">
        <f t="shared" si="153"/>
        <v>15511597.24188281</v>
      </c>
    </row>
    <row r="4900" spans="2:4" x14ac:dyDescent="0.25">
      <c r="B4900" s="90">
        <v>4896</v>
      </c>
      <c r="C4900" s="39">
        <f t="shared" si="152"/>
        <v>14793218.577738944</v>
      </c>
      <c r="D4900" s="39">
        <f t="shared" si="153"/>
        <v>15514766.107509345</v>
      </c>
    </row>
    <row r="4901" spans="2:4" x14ac:dyDescent="0.25">
      <c r="B4901" s="90">
        <v>4897</v>
      </c>
      <c r="C4901" s="39">
        <f t="shared" si="152"/>
        <v>14795881.490030149</v>
      </c>
      <c r="D4901" s="39">
        <f t="shared" si="153"/>
        <v>15517934.973135877</v>
      </c>
    </row>
    <row r="4902" spans="2:4" x14ac:dyDescent="0.25">
      <c r="B4902" s="90">
        <v>4898</v>
      </c>
      <c r="C4902" s="39">
        <f t="shared" si="152"/>
        <v>14798544.402321354</v>
      </c>
      <c r="D4902" s="39">
        <f t="shared" si="153"/>
        <v>15521103.838762412</v>
      </c>
    </row>
    <row r="4903" spans="2:4" x14ac:dyDescent="0.25">
      <c r="B4903" s="90">
        <v>4899</v>
      </c>
      <c r="C4903" s="39">
        <f t="shared" si="152"/>
        <v>14801207.314612558</v>
      </c>
      <c r="D4903" s="39">
        <f t="shared" si="153"/>
        <v>15524272.704388946</v>
      </c>
    </row>
    <row r="4904" spans="2:4" x14ac:dyDescent="0.25">
      <c r="B4904" s="90">
        <v>4900</v>
      </c>
      <c r="C4904" s="39">
        <f t="shared" si="152"/>
        <v>14803870.226903763</v>
      </c>
      <c r="D4904" s="39">
        <f t="shared" si="153"/>
        <v>15527441.570015479</v>
      </c>
    </row>
    <row r="4905" spans="2:4" x14ac:dyDescent="0.25">
      <c r="B4905" s="90">
        <v>4901</v>
      </c>
      <c r="C4905" s="39">
        <f t="shared" si="152"/>
        <v>14806533.139194969</v>
      </c>
      <c r="D4905" s="39">
        <f t="shared" si="153"/>
        <v>15530610.435642013</v>
      </c>
    </row>
    <row r="4906" spans="2:4" x14ac:dyDescent="0.25">
      <c r="B4906" s="90">
        <v>4902</v>
      </c>
      <c r="C4906" s="39">
        <f t="shared" si="152"/>
        <v>14809196.051486174</v>
      </c>
      <c r="D4906" s="39">
        <f t="shared" si="153"/>
        <v>15533779.301268548</v>
      </c>
    </row>
    <row r="4907" spans="2:4" x14ac:dyDescent="0.25">
      <c r="B4907" s="90">
        <v>4903</v>
      </c>
      <c r="C4907" s="39">
        <f t="shared" si="152"/>
        <v>14811858.963777378</v>
      </c>
      <c r="D4907" s="39">
        <f t="shared" si="153"/>
        <v>15536948.16689508</v>
      </c>
    </row>
    <row r="4908" spans="2:4" x14ac:dyDescent="0.25">
      <c r="B4908" s="90">
        <v>4904</v>
      </c>
      <c r="C4908" s="39">
        <f t="shared" si="152"/>
        <v>14814521.876068583</v>
      </c>
      <c r="D4908" s="39">
        <f t="shared" si="153"/>
        <v>15540117.032521615</v>
      </c>
    </row>
    <row r="4909" spans="2:4" x14ac:dyDescent="0.25">
      <c r="B4909" s="90">
        <v>4905</v>
      </c>
      <c r="C4909" s="39">
        <f t="shared" si="152"/>
        <v>14817184.788359787</v>
      </c>
      <c r="D4909" s="39">
        <f t="shared" si="153"/>
        <v>15543285.898148149</v>
      </c>
    </row>
    <row r="4910" spans="2:4" x14ac:dyDescent="0.25">
      <c r="B4910" s="90">
        <v>4906</v>
      </c>
      <c r="C4910" s="39">
        <f t="shared" si="152"/>
        <v>14819847.700650992</v>
      </c>
      <c r="D4910" s="39">
        <f t="shared" si="153"/>
        <v>15546454.763774682</v>
      </c>
    </row>
    <row r="4911" spans="2:4" x14ac:dyDescent="0.25">
      <c r="B4911" s="90">
        <v>4907</v>
      </c>
      <c r="C4911" s="39">
        <f t="shared" si="152"/>
        <v>14822510.612942198</v>
      </c>
      <c r="D4911" s="39">
        <f t="shared" si="153"/>
        <v>15549623.629401216</v>
      </c>
    </row>
    <row r="4912" spans="2:4" x14ac:dyDescent="0.25">
      <c r="B4912" s="90">
        <v>4908</v>
      </c>
      <c r="C4912" s="39">
        <f t="shared" si="152"/>
        <v>14825173.525233403</v>
      </c>
      <c r="D4912" s="39">
        <f t="shared" si="153"/>
        <v>15552792.495027749</v>
      </c>
    </row>
    <row r="4913" spans="2:4" x14ac:dyDescent="0.25">
      <c r="B4913" s="90">
        <v>4909</v>
      </c>
      <c r="C4913" s="39">
        <f t="shared" ref="C4913:C4976" si="154">($C$2*B4913)+$C$1</f>
        <v>14827836.437524607</v>
      </c>
      <c r="D4913" s="39">
        <f t="shared" ref="D4913:D4976" si="155">$D$2*B4913</f>
        <v>15555961.360654283</v>
      </c>
    </row>
    <row r="4914" spans="2:4" x14ac:dyDescent="0.25">
      <c r="B4914" s="90">
        <v>4910</v>
      </c>
      <c r="C4914" s="39">
        <f t="shared" si="154"/>
        <v>14830499.349815812</v>
      </c>
      <c r="D4914" s="39">
        <f t="shared" si="155"/>
        <v>15559130.226280818</v>
      </c>
    </row>
    <row r="4915" spans="2:4" x14ac:dyDescent="0.25">
      <c r="B4915" s="90">
        <v>4911</v>
      </c>
      <c r="C4915" s="39">
        <f t="shared" si="154"/>
        <v>14833162.262107017</v>
      </c>
      <c r="D4915" s="39">
        <f t="shared" si="155"/>
        <v>15562299.09190735</v>
      </c>
    </row>
    <row r="4916" spans="2:4" x14ac:dyDescent="0.25">
      <c r="B4916" s="90">
        <v>4912</v>
      </c>
      <c r="C4916" s="39">
        <f t="shared" si="154"/>
        <v>14835825.174398221</v>
      </c>
      <c r="D4916" s="39">
        <f t="shared" si="155"/>
        <v>15565467.957533885</v>
      </c>
    </row>
    <row r="4917" spans="2:4" x14ac:dyDescent="0.25">
      <c r="B4917" s="90">
        <v>4913</v>
      </c>
      <c r="C4917" s="39">
        <f t="shared" si="154"/>
        <v>14838488.086689426</v>
      </c>
      <c r="D4917" s="39">
        <f t="shared" si="155"/>
        <v>15568636.823160419</v>
      </c>
    </row>
    <row r="4918" spans="2:4" x14ac:dyDescent="0.25">
      <c r="B4918" s="90">
        <v>4914</v>
      </c>
      <c r="C4918" s="39">
        <f t="shared" si="154"/>
        <v>14841150.998980632</v>
      </c>
      <c r="D4918" s="39">
        <f t="shared" si="155"/>
        <v>15571805.688786952</v>
      </c>
    </row>
    <row r="4919" spans="2:4" x14ac:dyDescent="0.25">
      <c r="B4919" s="90">
        <v>4915</v>
      </c>
      <c r="C4919" s="39">
        <f t="shared" si="154"/>
        <v>14843813.911271837</v>
      </c>
      <c r="D4919" s="39">
        <f t="shared" si="155"/>
        <v>15574974.554413486</v>
      </c>
    </row>
    <row r="4920" spans="2:4" x14ac:dyDescent="0.25">
      <c r="B4920" s="90">
        <v>4916</v>
      </c>
      <c r="C4920" s="39">
        <f t="shared" si="154"/>
        <v>14846476.823563041</v>
      </c>
      <c r="D4920" s="39">
        <f t="shared" si="155"/>
        <v>15578143.420040021</v>
      </c>
    </row>
    <row r="4921" spans="2:4" x14ac:dyDescent="0.25">
      <c r="B4921" s="90">
        <v>4917</v>
      </c>
      <c r="C4921" s="39">
        <f t="shared" si="154"/>
        <v>14849139.735854246</v>
      </c>
      <c r="D4921" s="39">
        <f t="shared" si="155"/>
        <v>15581312.285666553</v>
      </c>
    </row>
    <row r="4922" spans="2:4" x14ac:dyDescent="0.25">
      <c r="B4922" s="90">
        <v>4918</v>
      </c>
      <c r="C4922" s="39">
        <f t="shared" si="154"/>
        <v>14851802.64814545</v>
      </c>
      <c r="D4922" s="39">
        <f t="shared" si="155"/>
        <v>15584481.151293088</v>
      </c>
    </row>
    <row r="4923" spans="2:4" x14ac:dyDescent="0.25">
      <c r="B4923" s="90">
        <v>4919</v>
      </c>
      <c r="C4923" s="39">
        <f t="shared" si="154"/>
        <v>14854465.560436655</v>
      </c>
      <c r="D4923" s="39">
        <f t="shared" si="155"/>
        <v>15587650.01691962</v>
      </c>
    </row>
    <row r="4924" spans="2:4" x14ac:dyDescent="0.25">
      <c r="B4924" s="90">
        <v>4920</v>
      </c>
      <c r="C4924" s="39">
        <f t="shared" si="154"/>
        <v>14857128.472727861</v>
      </c>
      <c r="D4924" s="39">
        <f t="shared" si="155"/>
        <v>15590818.882546155</v>
      </c>
    </row>
    <row r="4925" spans="2:4" x14ac:dyDescent="0.25">
      <c r="B4925" s="90">
        <v>4921</v>
      </c>
      <c r="C4925" s="39">
        <f t="shared" si="154"/>
        <v>14859791.385019066</v>
      </c>
      <c r="D4925" s="39">
        <f t="shared" si="155"/>
        <v>15593987.748172689</v>
      </c>
    </row>
    <row r="4926" spans="2:4" x14ac:dyDescent="0.25">
      <c r="B4926" s="90">
        <v>4922</v>
      </c>
      <c r="C4926" s="39">
        <f t="shared" si="154"/>
        <v>14862454.29731027</v>
      </c>
      <c r="D4926" s="39">
        <f t="shared" si="155"/>
        <v>15597156.613799222</v>
      </c>
    </row>
    <row r="4927" spans="2:4" x14ac:dyDescent="0.25">
      <c r="B4927" s="90">
        <v>4923</v>
      </c>
      <c r="C4927" s="39">
        <f t="shared" si="154"/>
        <v>14865117.209601475</v>
      </c>
      <c r="D4927" s="39">
        <f t="shared" si="155"/>
        <v>15600325.479425756</v>
      </c>
    </row>
    <row r="4928" spans="2:4" x14ac:dyDescent="0.25">
      <c r="B4928" s="90">
        <v>4924</v>
      </c>
      <c r="C4928" s="39">
        <f t="shared" si="154"/>
        <v>14867780.121892679</v>
      </c>
      <c r="D4928" s="39">
        <f t="shared" si="155"/>
        <v>15603494.345052291</v>
      </c>
    </row>
    <row r="4929" spans="2:4" x14ac:dyDescent="0.25">
      <c r="B4929" s="90">
        <v>4925</v>
      </c>
      <c r="C4929" s="39">
        <f t="shared" si="154"/>
        <v>14870443.034183884</v>
      </c>
      <c r="D4929" s="39">
        <f t="shared" si="155"/>
        <v>15606663.210678823</v>
      </c>
    </row>
    <row r="4930" spans="2:4" x14ac:dyDescent="0.25">
      <c r="B4930" s="90">
        <v>4926</v>
      </c>
      <c r="C4930" s="39">
        <f t="shared" si="154"/>
        <v>14873105.946475089</v>
      </c>
      <c r="D4930" s="39">
        <f t="shared" si="155"/>
        <v>15609832.076305358</v>
      </c>
    </row>
    <row r="4931" spans="2:4" x14ac:dyDescent="0.25">
      <c r="B4931" s="90">
        <v>4927</v>
      </c>
      <c r="C4931" s="39">
        <f t="shared" si="154"/>
        <v>14875768.858766295</v>
      </c>
      <c r="D4931" s="39">
        <f t="shared" si="155"/>
        <v>15613000.941931892</v>
      </c>
    </row>
    <row r="4932" spans="2:4" x14ac:dyDescent="0.25">
      <c r="B4932" s="90">
        <v>4928</v>
      </c>
      <c r="C4932" s="39">
        <f t="shared" si="154"/>
        <v>14878431.7710575</v>
      </c>
      <c r="D4932" s="39">
        <f t="shared" si="155"/>
        <v>15616169.807558425</v>
      </c>
    </row>
    <row r="4933" spans="2:4" x14ac:dyDescent="0.25">
      <c r="B4933" s="90">
        <v>4929</v>
      </c>
      <c r="C4933" s="39">
        <f t="shared" si="154"/>
        <v>14881094.683348704</v>
      </c>
      <c r="D4933" s="39">
        <f t="shared" si="155"/>
        <v>15619338.673184959</v>
      </c>
    </row>
    <row r="4934" spans="2:4" x14ac:dyDescent="0.25">
      <c r="B4934" s="90">
        <v>4930</v>
      </c>
      <c r="C4934" s="39">
        <f t="shared" si="154"/>
        <v>14883757.595639909</v>
      </c>
      <c r="D4934" s="39">
        <f t="shared" si="155"/>
        <v>15622507.538811492</v>
      </c>
    </row>
    <row r="4935" spans="2:4" x14ac:dyDescent="0.25">
      <c r="B4935" s="90">
        <v>4931</v>
      </c>
      <c r="C4935" s="39">
        <f t="shared" si="154"/>
        <v>14886420.507931113</v>
      </c>
      <c r="D4935" s="39">
        <f t="shared" si="155"/>
        <v>15625676.404438026</v>
      </c>
    </row>
    <row r="4936" spans="2:4" x14ac:dyDescent="0.25">
      <c r="B4936" s="90">
        <v>4932</v>
      </c>
      <c r="C4936" s="39">
        <f t="shared" si="154"/>
        <v>14889083.420222318</v>
      </c>
      <c r="D4936" s="39">
        <f t="shared" si="155"/>
        <v>15628845.270064561</v>
      </c>
    </row>
    <row r="4937" spans="2:4" x14ac:dyDescent="0.25">
      <c r="B4937" s="90">
        <v>4933</v>
      </c>
      <c r="C4937" s="39">
        <f t="shared" si="154"/>
        <v>14891746.332513524</v>
      </c>
      <c r="D4937" s="39">
        <f t="shared" si="155"/>
        <v>15632014.135691093</v>
      </c>
    </row>
    <row r="4938" spans="2:4" x14ac:dyDescent="0.25">
      <c r="B4938" s="90">
        <v>4934</v>
      </c>
      <c r="C4938" s="39">
        <f t="shared" si="154"/>
        <v>14894409.244804729</v>
      </c>
      <c r="D4938" s="39">
        <f t="shared" si="155"/>
        <v>15635183.001317628</v>
      </c>
    </row>
    <row r="4939" spans="2:4" x14ac:dyDescent="0.25">
      <c r="B4939" s="90">
        <v>4935</v>
      </c>
      <c r="C4939" s="39">
        <f t="shared" si="154"/>
        <v>14897072.157095933</v>
      </c>
      <c r="D4939" s="39">
        <f t="shared" si="155"/>
        <v>15638351.866944162</v>
      </c>
    </row>
    <row r="4940" spans="2:4" x14ac:dyDescent="0.25">
      <c r="B4940" s="90">
        <v>4936</v>
      </c>
      <c r="C4940" s="39">
        <f t="shared" si="154"/>
        <v>14899735.069387138</v>
      </c>
      <c r="D4940" s="39">
        <f t="shared" si="155"/>
        <v>15641520.732570695</v>
      </c>
    </row>
    <row r="4941" spans="2:4" x14ac:dyDescent="0.25">
      <c r="B4941" s="90">
        <v>4937</v>
      </c>
      <c r="C4941" s="39">
        <f t="shared" si="154"/>
        <v>14902397.981678342</v>
      </c>
      <c r="D4941" s="39">
        <f t="shared" si="155"/>
        <v>15644689.598197229</v>
      </c>
    </row>
    <row r="4942" spans="2:4" x14ac:dyDescent="0.25">
      <c r="B4942" s="90">
        <v>4938</v>
      </c>
      <c r="C4942" s="39">
        <f t="shared" si="154"/>
        <v>14905060.893969547</v>
      </c>
      <c r="D4942" s="39">
        <f t="shared" si="155"/>
        <v>15647858.463823764</v>
      </c>
    </row>
    <row r="4943" spans="2:4" x14ac:dyDescent="0.25">
      <c r="B4943" s="90">
        <v>4939</v>
      </c>
      <c r="C4943" s="39">
        <f t="shared" si="154"/>
        <v>14907723.806260753</v>
      </c>
      <c r="D4943" s="39">
        <f t="shared" si="155"/>
        <v>15651027.329450296</v>
      </c>
    </row>
    <row r="4944" spans="2:4" x14ac:dyDescent="0.25">
      <c r="B4944" s="90">
        <v>4940</v>
      </c>
      <c r="C4944" s="39">
        <f t="shared" si="154"/>
        <v>14910386.718551958</v>
      </c>
      <c r="D4944" s="39">
        <f t="shared" si="155"/>
        <v>15654196.195076831</v>
      </c>
    </row>
    <row r="4945" spans="2:4" x14ac:dyDescent="0.25">
      <c r="B4945" s="90">
        <v>4941</v>
      </c>
      <c r="C4945" s="39">
        <f t="shared" si="154"/>
        <v>14913049.630843163</v>
      </c>
      <c r="D4945" s="39">
        <f t="shared" si="155"/>
        <v>15657365.060703363</v>
      </c>
    </row>
    <row r="4946" spans="2:4" x14ac:dyDescent="0.25">
      <c r="B4946" s="90">
        <v>4942</v>
      </c>
      <c r="C4946" s="39">
        <f t="shared" si="154"/>
        <v>14915712.543134367</v>
      </c>
      <c r="D4946" s="39">
        <f t="shared" si="155"/>
        <v>15660533.926329898</v>
      </c>
    </row>
    <row r="4947" spans="2:4" x14ac:dyDescent="0.25">
      <c r="B4947" s="90">
        <v>4943</v>
      </c>
      <c r="C4947" s="39">
        <f t="shared" si="154"/>
        <v>14918375.455425572</v>
      </c>
      <c r="D4947" s="39">
        <f t="shared" si="155"/>
        <v>15663702.791956432</v>
      </c>
    </row>
    <row r="4948" spans="2:4" x14ac:dyDescent="0.25">
      <c r="B4948" s="90">
        <v>4944</v>
      </c>
      <c r="C4948" s="39">
        <f t="shared" si="154"/>
        <v>14921038.367716776</v>
      </c>
      <c r="D4948" s="39">
        <f t="shared" si="155"/>
        <v>15666871.657582965</v>
      </c>
    </row>
    <row r="4949" spans="2:4" x14ac:dyDescent="0.25">
      <c r="B4949" s="90">
        <v>4945</v>
      </c>
      <c r="C4949" s="39">
        <f t="shared" si="154"/>
        <v>14923701.280007981</v>
      </c>
      <c r="D4949" s="39">
        <f t="shared" si="155"/>
        <v>15670040.523209499</v>
      </c>
    </row>
    <row r="4950" spans="2:4" x14ac:dyDescent="0.25">
      <c r="B4950" s="90">
        <v>4946</v>
      </c>
      <c r="C4950" s="39">
        <f t="shared" si="154"/>
        <v>14926364.192299187</v>
      </c>
      <c r="D4950" s="39">
        <f t="shared" si="155"/>
        <v>15673209.388836034</v>
      </c>
    </row>
    <row r="4951" spans="2:4" x14ac:dyDescent="0.25">
      <c r="B4951" s="90">
        <v>4947</v>
      </c>
      <c r="C4951" s="39">
        <f t="shared" si="154"/>
        <v>14929027.104590392</v>
      </c>
      <c r="D4951" s="39">
        <f t="shared" si="155"/>
        <v>15676378.254462566</v>
      </c>
    </row>
    <row r="4952" spans="2:4" x14ac:dyDescent="0.25">
      <c r="B4952" s="90">
        <v>4948</v>
      </c>
      <c r="C4952" s="39">
        <f t="shared" si="154"/>
        <v>14931690.016881596</v>
      </c>
      <c r="D4952" s="39">
        <f t="shared" si="155"/>
        <v>15679547.120089101</v>
      </c>
    </row>
    <row r="4953" spans="2:4" x14ac:dyDescent="0.25">
      <c r="B4953" s="90">
        <v>4949</v>
      </c>
      <c r="C4953" s="39">
        <f t="shared" si="154"/>
        <v>14934352.929172801</v>
      </c>
      <c r="D4953" s="39">
        <f t="shared" si="155"/>
        <v>15682715.985715635</v>
      </c>
    </row>
    <row r="4954" spans="2:4" x14ac:dyDescent="0.25">
      <c r="B4954" s="90">
        <v>4950</v>
      </c>
      <c r="C4954" s="39">
        <f t="shared" si="154"/>
        <v>14937015.841464005</v>
      </c>
      <c r="D4954" s="39">
        <f t="shared" si="155"/>
        <v>15685884.851342168</v>
      </c>
    </row>
    <row r="4955" spans="2:4" x14ac:dyDescent="0.25">
      <c r="B4955" s="90">
        <v>4951</v>
      </c>
      <c r="C4955" s="39">
        <f t="shared" si="154"/>
        <v>14939678.75375521</v>
      </c>
      <c r="D4955" s="39">
        <f t="shared" si="155"/>
        <v>15689053.716968702</v>
      </c>
    </row>
    <row r="4956" spans="2:4" x14ac:dyDescent="0.25">
      <c r="B4956" s="90">
        <v>4952</v>
      </c>
      <c r="C4956" s="39">
        <f t="shared" si="154"/>
        <v>14942341.666046416</v>
      </c>
      <c r="D4956" s="39">
        <f t="shared" si="155"/>
        <v>15692222.582595235</v>
      </c>
    </row>
    <row r="4957" spans="2:4" x14ac:dyDescent="0.25">
      <c r="B4957" s="90">
        <v>4953</v>
      </c>
      <c r="C4957" s="39">
        <f t="shared" si="154"/>
        <v>14945004.578337621</v>
      </c>
      <c r="D4957" s="39">
        <f t="shared" si="155"/>
        <v>15695391.448221769</v>
      </c>
    </row>
    <row r="4958" spans="2:4" x14ac:dyDescent="0.25">
      <c r="B4958" s="90">
        <v>4954</v>
      </c>
      <c r="C4958" s="39">
        <f t="shared" si="154"/>
        <v>14947667.490628826</v>
      </c>
      <c r="D4958" s="39">
        <f t="shared" si="155"/>
        <v>15698560.313848304</v>
      </c>
    </row>
    <row r="4959" spans="2:4" x14ac:dyDescent="0.25">
      <c r="B4959" s="90">
        <v>4955</v>
      </c>
      <c r="C4959" s="39">
        <f t="shared" si="154"/>
        <v>14950330.40292003</v>
      </c>
      <c r="D4959" s="39">
        <f t="shared" si="155"/>
        <v>15701729.179474836</v>
      </c>
    </row>
    <row r="4960" spans="2:4" x14ac:dyDescent="0.25">
      <c r="B4960" s="90">
        <v>4956</v>
      </c>
      <c r="C4960" s="39">
        <f t="shared" si="154"/>
        <v>14952993.315211235</v>
      </c>
      <c r="D4960" s="39">
        <f t="shared" si="155"/>
        <v>15704898.045101371</v>
      </c>
    </row>
    <row r="4961" spans="2:4" x14ac:dyDescent="0.25">
      <c r="B4961" s="90">
        <v>4957</v>
      </c>
      <c r="C4961" s="39">
        <f t="shared" si="154"/>
        <v>14955656.227502439</v>
      </c>
      <c r="D4961" s="39">
        <f t="shared" si="155"/>
        <v>15708066.910727905</v>
      </c>
    </row>
    <row r="4962" spans="2:4" x14ac:dyDescent="0.25">
      <c r="B4962" s="90">
        <v>4958</v>
      </c>
      <c r="C4962" s="39">
        <f t="shared" si="154"/>
        <v>14958319.139793646</v>
      </c>
      <c r="D4962" s="39">
        <f t="shared" si="155"/>
        <v>15711235.776354438</v>
      </c>
    </row>
    <row r="4963" spans="2:4" x14ac:dyDescent="0.25">
      <c r="B4963" s="90">
        <v>4959</v>
      </c>
      <c r="C4963" s="39">
        <f t="shared" si="154"/>
        <v>14960982.05208485</v>
      </c>
      <c r="D4963" s="39">
        <f t="shared" si="155"/>
        <v>15714404.641980972</v>
      </c>
    </row>
    <row r="4964" spans="2:4" x14ac:dyDescent="0.25">
      <c r="B4964" s="90">
        <v>4960</v>
      </c>
      <c r="C4964" s="39">
        <f t="shared" si="154"/>
        <v>14963644.964376055</v>
      </c>
      <c r="D4964" s="39">
        <f t="shared" si="155"/>
        <v>15717573.507607507</v>
      </c>
    </row>
    <row r="4965" spans="2:4" x14ac:dyDescent="0.25">
      <c r="B4965" s="90">
        <v>4961</v>
      </c>
      <c r="C4965" s="39">
        <f t="shared" si="154"/>
        <v>14966307.876667259</v>
      </c>
      <c r="D4965" s="39">
        <f t="shared" si="155"/>
        <v>15720742.373234039</v>
      </c>
    </row>
    <row r="4966" spans="2:4" x14ac:dyDescent="0.25">
      <c r="B4966" s="90">
        <v>4962</v>
      </c>
      <c r="C4966" s="39">
        <f t="shared" si="154"/>
        <v>14968970.788958464</v>
      </c>
      <c r="D4966" s="39">
        <f t="shared" si="155"/>
        <v>15723911.238860574</v>
      </c>
    </row>
    <row r="4967" spans="2:4" x14ac:dyDescent="0.25">
      <c r="B4967" s="90">
        <v>4963</v>
      </c>
      <c r="C4967" s="39">
        <f t="shared" si="154"/>
        <v>14971633.701249668</v>
      </c>
      <c r="D4967" s="39">
        <f t="shared" si="155"/>
        <v>15727080.104487106</v>
      </c>
    </row>
    <row r="4968" spans="2:4" x14ac:dyDescent="0.25">
      <c r="B4968" s="90">
        <v>4964</v>
      </c>
      <c r="C4968" s="39">
        <f t="shared" si="154"/>
        <v>14974296.613540873</v>
      </c>
      <c r="D4968" s="39">
        <f t="shared" si="155"/>
        <v>15730248.970113641</v>
      </c>
    </row>
    <row r="4969" spans="2:4" x14ac:dyDescent="0.25">
      <c r="B4969" s="90">
        <v>4965</v>
      </c>
      <c r="C4969" s="39">
        <f t="shared" si="154"/>
        <v>14976959.525832079</v>
      </c>
      <c r="D4969" s="39">
        <f t="shared" si="155"/>
        <v>15733417.835740175</v>
      </c>
    </row>
    <row r="4970" spans="2:4" x14ac:dyDescent="0.25">
      <c r="B4970" s="90">
        <v>4966</v>
      </c>
      <c r="C4970" s="39">
        <f t="shared" si="154"/>
        <v>14979622.438123284</v>
      </c>
      <c r="D4970" s="39">
        <f t="shared" si="155"/>
        <v>15736586.701366708</v>
      </c>
    </row>
    <row r="4971" spans="2:4" x14ac:dyDescent="0.25">
      <c r="B4971" s="90">
        <v>4967</v>
      </c>
      <c r="C4971" s="39">
        <f t="shared" si="154"/>
        <v>14982285.350414488</v>
      </c>
      <c r="D4971" s="39">
        <f t="shared" si="155"/>
        <v>15739755.566993242</v>
      </c>
    </row>
    <row r="4972" spans="2:4" x14ac:dyDescent="0.25">
      <c r="B4972" s="90">
        <v>4968</v>
      </c>
      <c r="C4972" s="39">
        <f t="shared" si="154"/>
        <v>14984948.262705693</v>
      </c>
      <c r="D4972" s="39">
        <f t="shared" si="155"/>
        <v>15742924.432619777</v>
      </c>
    </row>
    <row r="4973" spans="2:4" x14ac:dyDescent="0.25">
      <c r="B4973" s="90">
        <v>4969</v>
      </c>
      <c r="C4973" s="39">
        <f t="shared" si="154"/>
        <v>14987611.174996898</v>
      </c>
      <c r="D4973" s="39">
        <f t="shared" si="155"/>
        <v>15746093.298246309</v>
      </c>
    </row>
    <row r="4974" spans="2:4" x14ac:dyDescent="0.25">
      <c r="B4974" s="90">
        <v>4970</v>
      </c>
      <c r="C4974" s="39">
        <f t="shared" si="154"/>
        <v>14990274.087288102</v>
      </c>
      <c r="D4974" s="39">
        <f t="shared" si="155"/>
        <v>15749262.163872844</v>
      </c>
    </row>
    <row r="4975" spans="2:4" x14ac:dyDescent="0.25">
      <c r="B4975" s="90">
        <v>4971</v>
      </c>
      <c r="C4975" s="39">
        <f t="shared" si="154"/>
        <v>14992936.999579309</v>
      </c>
      <c r="D4975" s="39">
        <f t="shared" si="155"/>
        <v>15752431.029499378</v>
      </c>
    </row>
    <row r="4976" spans="2:4" x14ac:dyDescent="0.25">
      <c r="B4976" s="90">
        <v>4972</v>
      </c>
      <c r="C4976" s="39">
        <f t="shared" si="154"/>
        <v>14995599.911870513</v>
      </c>
      <c r="D4976" s="39">
        <f t="shared" si="155"/>
        <v>15755599.895125911</v>
      </c>
    </row>
    <row r="4977" spans="2:4" x14ac:dyDescent="0.25">
      <c r="B4977" s="90">
        <v>4973</v>
      </c>
      <c r="C4977" s="39">
        <f t="shared" ref="C4977:C5004" si="156">($C$2*B4977)+$C$1</f>
        <v>14998262.824161718</v>
      </c>
      <c r="D4977" s="39">
        <f t="shared" ref="D4977:D5004" si="157">$D$2*B4977</f>
        <v>15758768.760752445</v>
      </c>
    </row>
    <row r="4978" spans="2:4" x14ac:dyDescent="0.25">
      <c r="B4978" s="90">
        <v>4974</v>
      </c>
      <c r="C4978" s="39">
        <f t="shared" si="156"/>
        <v>15000925.736452922</v>
      </c>
      <c r="D4978" s="39">
        <f t="shared" si="157"/>
        <v>15761937.626378978</v>
      </c>
    </row>
    <row r="4979" spans="2:4" x14ac:dyDescent="0.25">
      <c r="B4979" s="90">
        <v>4975</v>
      </c>
      <c r="C4979" s="39">
        <f t="shared" si="156"/>
        <v>15003588.648744127</v>
      </c>
      <c r="D4979" s="39">
        <f t="shared" si="157"/>
        <v>15765106.492005512</v>
      </c>
    </row>
    <row r="4980" spans="2:4" x14ac:dyDescent="0.25">
      <c r="B4980" s="90">
        <v>4976</v>
      </c>
      <c r="C4980" s="39">
        <f t="shared" si="156"/>
        <v>15006251.561035331</v>
      </c>
      <c r="D4980" s="39">
        <f t="shared" si="157"/>
        <v>15768275.357632047</v>
      </c>
    </row>
    <row r="4981" spans="2:4" x14ac:dyDescent="0.25">
      <c r="B4981" s="90">
        <v>4977</v>
      </c>
      <c r="C4981" s="39">
        <f t="shared" si="156"/>
        <v>15008914.473326538</v>
      </c>
      <c r="D4981" s="39">
        <f t="shared" si="157"/>
        <v>15771444.223258579</v>
      </c>
    </row>
    <row r="4982" spans="2:4" x14ac:dyDescent="0.25">
      <c r="B4982" s="90">
        <v>4978</v>
      </c>
      <c r="C4982" s="39">
        <f t="shared" si="156"/>
        <v>15011577.385617742</v>
      </c>
      <c r="D4982" s="39">
        <f t="shared" si="157"/>
        <v>15774613.088885114</v>
      </c>
    </row>
    <row r="4983" spans="2:4" x14ac:dyDescent="0.25">
      <c r="B4983" s="90">
        <v>4979</v>
      </c>
      <c r="C4983" s="39">
        <f t="shared" si="156"/>
        <v>15014240.297908947</v>
      </c>
      <c r="D4983" s="39">
        <f t="shared" si="157"/>
        <v>15777781.954511648</v>
      </c>
    </row>
    <row r="4984" spans="2:4" x14ac:dyDescent="0.25">
      <c r="B4984" s="90">
        <v>4980</v>
      </c>
      <c r="C4984" s="39">
        <f t="shared" si="156"/>
        <v>15016903.210200151</v>
      </c>
      <c r="D4984" s="39">
        <f t="shared" si="157"/>
        <v>15780950.820138181</v>
      </c>
    </row>
    <row r="4985" spans="2:4" x14ac:dyDescent="0.25">
      <c r="B4985" s="90">
        <v>4981</v>
      </c>
      <c r="C4985" s="39">
        <f t="shared" si="156"/>
        <v>15019566.122491356</v>
      </c>
      <c r="D4985" s="39">
        <f t="shared" si="157"/>
        <v>15784119.685764715</v>
      </c>
    </row>
    <row r="4986" spans="2:4" x14ac:dyDescent="0.25">
      <c r="B4986" s="90">
        <v>4982</v>
      </c>
      <c r="C4986" s="39">
        <f t="shared" si="156"/>
        <v>15022229.034782561</v>
      </c>
      <c r="D4986" s="39">
        <f t="shared" si="157"/>
        <v>15787288.55139125</v>
      </c>
    </row>
    <row r="4987" spans="2:4" x14ac:dyDescent="0.25">
      <c r="B4987" s="90">
        <v>4983</v>
      </c>
      <c r="C4987" s="39">
        <f t="shared" si="156"/>
        <v>15024891.947073765</v>
      </c>
      <c r="D4987" s="39">
        <f t="shared" si="157"/>
        <v>15790457.417017782</v>
      </c>
    </row>
    <row r="4988" spans="2:4" x14ac:dyDescent="0.25">
      <c r="B4988" s="90">
        <v>4984</v>
      </c>
      <c r="C4988" s="39">
        <f t="shared" si="156"/>
        <v>15027554.859364972</v>
      </c>
      <c r="D4988" s="39">
        <f t="shared" si="157"/>
        <v>15793626.282644317</v>
      </c>
    </row>
    <row r="4989" spans="2:4" x14ac:dyDescent="0.25">
      <c r="B4989" s="90">
        <v>4985</v>
      </c>
      <c r="C4989" s="39">
        <f t="shared" si="156"/>
        <v>15030217.771656176</v>
      </c>
      <c r="D4989" s="39">
        <f t="shared" si="157"/>
        <v>15796795.148270849</v>
      </c>
    </row>
    <row r="4990" spans="2:4" x14ac:dyDescent="0.25">
      <c r="B4990" s="90">
        <v>4986</v>
      </c>
      <c r="C4990" s="39">
        <f t="shared" si="156"/>
        <v>15032880.683947381</v>
      </c>
      <c r="D4990" s="39">
        <f t="shared" si="157"/>
        <v>15799964.013897384</v>
      </c>
    </row>
    <row r="4991" spans="2:4" x14ac:dyDescent="0.25">
      <c r="B4991" s="90">
        <v>4987</v>
      </c>
      <c r="C4991" s="39">
        <f t="shared" si="156"/>
        <v>15035543.596238585</v>
      </c>
      <c r="D4991" s="39">
        <f t="shared" si="157"/>
        <v>15803132.879523918</v>
      </c>
    </row>
    <row r="4992" spans="2:4" x14ac:dyDescent="0.25">
      <c r="B4992" s="90">
        <v>4988</v>
      </c>
      <c r="C4992" s="39">
        <f t="shared" si="156"/>
        <v>15038206.50852979</v>
      </c>
      <c r="D4992" s="39">
        <f t="shared" si="157"/>
        <v>15806301.745150451</v>
      </c>
    </row>
    <row r="4993" spans="2:4" x14ac:dyDescent="0.25">
      <c r="B4993" s="90">
        <v>4989</v>
      </c>
      <c r="C4993" s="39">
        <f t="shared" si="156"/>
        <v>15040869.420820994</v>
      </c>
      <c r="D4993" s="39">
        <f t="shared" si="157"/>
        <v>15809470.610776985</v>
      </c>
    </row>
    <row r="4994" spans="2:4" x14ac:dyDescent="0.25">
      <c r="B4994" s="90">
        <v>4990</v>
      </c>
      <c r="C4994" s="39">
        <f t="shared" si="156"/>
        <v>15043532.333112201</v>
      </c>
      <c r="D4994" s="39">
        <f t="shared" si="157"/>
        <v>15812639.47640352</v>
      </c>
    </row>
    <row r="4995" spans="2:4" x14ac:dyDescent="0.25">
      <c r="B4995" s="90">
        <v>4991</v>
      </c>
      <c r="C4995" s="39">
        <f t="shared" si="156"/>
        <v>15046195.245403405</v>
      </c>
      <c r="D4995" s="39">
        <f t="shared" si="157"/>
        <v>15815808.342030052</v>
      </c>
    </row>
    <row r="4996" spans="2:4" x14ac:dyDescent="0.25">
      <c r="B4996" s="90">
        <v>4992</v>
      </c>
      <c r="C4996" s="39">
        <f t="shared" si="156"/>
        <v>15048858.15769461</v>
      </c>
      <c r="D4996" s="39">
        <f t="shared" si="157"/>
        <v>15818977.207656587</v>
      </c>
    </row>
    <row r="4997" spans="2:4" x14ac:dyDescent="0.25">
      <c r="B4997" s="90">
        <v>4993</v>
      </c>
      <c r="C4997" s="39">
        <f t="shared" si="156"/>
        <v>15051521.069985814</v>
      </c>
      <c r="D4997" s="39">
        <f t="shared" si="157"/>
        <v>15822146.073283121</v>
      </c>
    </row>
    <row r="4998" spans="2:4" x14ac:dyDescent="0.25">
      <c r="B4998" s="90">
        <v>4994</v>
      </c>
      <c r="C4998" s="39">
        <f t="shared" si="156"/>
        <v>15054183.982277019</v>
      </c>
      <c r="D4998" s="39">
        <f t="shared" si="157"/>
        <v>15825314.938909654</v>
      </c>
    </row>
    <row r="4999" spans="2:4" x14ac:dyDescent="0.25">
      <c r="B4999" s="90">
        <v>4995</v>
      </c>
      <c r="C4999" s="39">
        <f t="shared" si="156"/>
        <v>15056846.894568224</v>
      </c>
      <c r="D4999" s="39">
        <f t="shared" si="157"/>
        <v>15828483.804536188</v>
      </c>
    </row>
    <row r="5000" spans="2:4" x14ac:dyDescent="0.25">
      <c r="B5000" s="90">
        <v>4996</v>
      </c>
      <c r="C5000" s="39">
        <f t="shared" si="156"/>
        <v>15059509.80685943</v>
      </c>
      <c r="D5000" s="39">
        <f t="shared" si="157"/>
        <v>15831652.670162721</v>
      </c>
    </row>
    <row r="5001" spans="2:4" x14ac:dyDescent="0.25">
      <c r="B5001" s="90">
        <v>4997</v>
      </c>
      <c r="C5001" s="39">
        <f t="shared" si="156"/>
        <v>15062172.719150634</v>
      </c>
      <c r="D5001" s="39">
        <f t="shared" si="157"/>
        <v>15834821.535789255</v>
      </c>
    </row>
    <row r="5002" spans="2:4" x14ac:dyDescent="0.25">
      <c r="B5002" s="90">
        <v>4998</v>
      </c>
      <c r="C5002" s="39">
        <f t="shared" si="156"/>
        <v>15064835.631441839</v>
      </c>
      <c r="D5002" s="39">
        <f t="shared" si="157"/>
        <v>15837990.401415789</v>
      </c>
    </row>
    <row r="5003" spans="2:4" x14ac:dyDescent="0.25">
      <c r="B5003" s="90">
        <v>4999</v>
      </c>
      <c r="C5003" s="39">
        <f t="shared" si="156"/>
        <v>15067498.543733044</v>
      </c>
      <c r="D5003" s="39">
        <f t="shared" si="157"/>
        <v>15841159.267042322</v>
      </c>
    </row>
    <row r="5004" spans="2:4" x14ac:dyDescent="0.25">
      <c r="B5004" s="90">
        <v>5000</v>
      </c>
      <c r="C5004" s="39">
        <f t="shared" si="156"/>
        <v>15070161.456024248</v>
      </c>
      <c r="D5004" s="39">
        <f t="shared" si="157"/>
        <v>15844328.132668857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"/>
  <sheetViews>
    <sheetView showGridLines="0" zoomScale="130" zoomScaleNormal="130" workbookViewId="0">
      <selection activeCell="F7" sqref="F7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54" t="s">
        <v>150</v>
      </c>
      <c r="C2" s="255"/>
      <c r="D2" s="255"/>
      <c r="E2" s="255"/>
      <c r="F2" s="255"/>
      <c r="G2" s="256"/>
      <c r="I2" s="257" t="s">
        <v>151</v>
      </c>
      <c r="J2" s="258"/>
      <c r="L2" s="257" t="s">
        <v>152</v>
      </c>
      <c r="M2" s="258"/>
    </row>
    <row r="3" spans="2:13" x14ac:dyDescent="0.25">
      <c r="B3" s="76" t="s">
        <v>75</v>
      </c>
      <c r="C3" s="76" t="s">
        <v>46</v>
      </c>
      <c r="D3" s="76" t="s">
        <v>47</v>
      </c>
      <c r="E3" s="76" t="s">
        <v>48</v>
      </c>
      <c r="F3" s="76" t="s">
        <v>49</v>
      </c>
      <c r="G3" s="76" t="s">
        <v>50</v>
      </c>
      <c r="I3" s="99" t="s">
        <v>75</v>
      </c>
      <c r="J3" s="99" t="s">
        <v>66</v>
      </c>
      <c r="L3" s="99" t="s">
        <v>157</v>
      </c>
      <c r="M3" s="99" t="s">
        <v>2</v>
      </c>
    </row>
    <row r="4" spans="2:13" x14ac:dyDescent="0.25">
      <c r="B4" s="95" t="s">
        <v>145</v>
      </c>
      <c r="C4" s="93">
        <f>'Balance General'!D8/'Balance General'!D21</f>
        <v>1.1500533389915748</v>
      </c>
      <c r="D4" s="93">
        <f>'Balance General'!E8/'Balance General'!E21</f>
        <v>1.3462769121646407</v>
      </c>
      <c r="E4" s="93">
        <f>'Balance General'!F8/'Balance General'!F21</f>
        <v>1.5757787835936141</v>
      </c>
      <c r="F4" s="93">
        <f>'Balance General'!G8/'Balance General'!G21</f>
        <v>1.8988345904187378</v>
      </c>
      <c r="G4" s="93">
        <f>'Balance General'!H8/'Balance General'!H21</f>
        <v>2.3727053111819334</v>
      </c>
      <c r="I4" s="98" t="s">
        <v>45</v>
      </c>
      <c r="J4" s="3">
        <f>'Flujo de Caja'!C27</f>
        <v>-35091000</v>
      </c>
      <c r="L4" s="98" t="s">
        <v>153</v>
      </c>
      <c r="M4" s="59">
        <v>0.15</v>
      </c>
    </row>
    <row r="5" spans="2:13" x14ac:dyDescent="0.25">
      <c r="B5" s="95" t="s">
        <v>146</v>
      </c>
      <c r="C5" s="94">
        <f>'Balance General'!D27/'Balance General'!D16</f>
        <v>0.86222677049059604</v>
      </c>
      <c r="D5" s="94">
        <f>'Balance General'!E27/'Balance General'!E16</f>
        <v>0.74168933750333543</v>
      </c>
      <c r="E5" s="94">
        <f>'Balance General'!F27/'Balance General'!F16</f>
        <v>0.63692415316611006</v>
      </c>
      <c r="F5" s="94">
        <f>'Balance General'!G27/'Balance General'!G16</f>
        <v>0.53081240895639747</v>
      </c>
      <c r="G5" s="94">
        <f>'Balance General'!H27/'Balance General'!H16</f>
        <v>0.41456542537454411</v>
      </c>
      <c r="I5" s="98" t="s">
        <v>46</v>
      </c>
      <c r="J5" s="3">
        <f>'Flujo de Caja'!D27</f>
        <v>11076987.107918859</v>
      </c>
      <c r="L5" s="98" t="s">
        <v>154</v>
      </c>
      <c r="M5" s="3">
        <f>NPV(M4,J5:J9)</f>
        <v>219867224.99021494</v>
      </c>
    </row>
    <row r="6" spans="2:13" x14ac:dyDescent="0.25">
      <c r="B6" s="95" t="s">
        <v>147</v>
      </c>
      <c r="C6" s="94">
        <f>'Estado de Resultados'!D15/'Estado de Resultados'!D6</f>
        <v>0.13936081716637272</v>
      </c>
      <c r="D6" s="94">
        <f>'Estado de Resultados'!E15/'Estado de Resultados'!E6</f>
        <v>0.26463526104113866</v>
      </c>
      <c r="E6" s="94">
        <f>'Estado de Resultados'!F15/'Estado de Resultados'!F6</f>
        <v>0.37150812740394901</v>
      </c>
      <c r="F6" s="94">
        <f>'Estado de Resultados'!G15/'Estado de Resultados'!G6</f>
        <v>0.47825316102025661</v>
      </c>
      <c r="G6" s="94">
        <f>'Estado de Resultados'!H15/'Estado de Resultados'!H6</f>
        <v>0.58231417444561817</v>
      </c>
      <c r="I6" s="98" t="s">
        <v>47</v>
      </c>
      <c r="J6" s="3">
        <f>'Flujo de Caja'!E27</f>
        <v>30122573.867918849</v>
      </c>
      <c r="L6" s="98" t="s">
        <v>155</v>
      </c>
      <c r="M6" s="59">
        <f>IRR(J4:J9)</f>
        <v>0.94950712466037723</v>
      </c>
    </row>
    <row r="7" spans="2:13" x14ac:dyDescent="0.25">
      <c r="B7" s="96" t="s">
        <v>148</v>
      </c>
      <c r="C7" s="97">
        <f>'Estado de Resultados'!D24/'Estado de Resultados'!D6</f>
        <v>6.7833793282865804E-2</v>
      </c>
      <c r="D7" s="97">
        <f>'Estado de Resultados'!E24/'Estado de Resultados'!E6</f>
        <v>0.15394243685285097</v>
      </c>
      <c r="E7" s="97">
        <f>'Estado de Resultados'!F24/'Estado de Resultados'!F6</f>
        <v>0.2274395036176258</v>
      </c>
      <c r="F7" s="97">
        <f>'Estado de Resultados'!G24/'Estado de Resultados'!G6</f>
        <v>0.30026774017641883</v>
      </c>
      <c r="G7" s="97">
        <f>'Estado de Resultados'!H24/'Estado de Resultados'!H6</f>
        <v>0.37850421338965179</v>
      </c>
      <c r="I7" s="98" t="s">
        <v>48</v>
      </c>
      <c r="J7" s="3">
        <f>'Flujo de Caja'!F27</f>
        <v>58561120.723118812</v>
      </c>
      <c r="L7" s="98" t="s">
        <v>156</v>
      </c>
      <c r="M7" s="143">
        <f>-NPV(M4,J5:J9)/J4</f>
        <v>6.265630075809038</v>
      </c>
    </row>
    <row r="8" spans="2:13" x14ac:dyDescent="0.25">
      <c r="B8" s="95" t="s">
        <v>149</v>
      </c>
      <c r="C8" s="94">
        <f>'Estado de Resultados'!D24/'Balance General'!C36</f>
        <v>0.31566461793391054</v>
      </c>
      <c r="D8" s="94">
        <f>'Estado de Resultados'!E24/'Balance General'!D36</f>
        <v>0.1847500322764038</v>
      </c>
      <c r="E8" s="94">
        <f>'Estado de Resultados'!F24/'Balance General'!E36</f>
        <v>0.28173650606300399</v>
      </c>
      <c r="F8" s="94">
        <f>'Estado de Resultados'!G24/'Balance General'!F36</f>
        <v>0.38616305561345521</v>
      </c>
      <c r="G8" s="94">
        <f>'Estado de Resultados'!H24/'Balance General'!G36</f>
        <v>0.50844665416088042</v>
      </c>
      <c r="I8" s="98" t="s">
        <v>49</v>
      </c>
      <c r="J8" s="3">
        <f>'Flujo de Caja'!G27</f>
        <v>103554877.44555879</v>
      </c>
    </row>
    <row r="9" spans="2:13" x14ac:dyDescent="0.25">
      <c r="I9" s="98" t="s">
        <v>50</v>
      </c>
      <c r="J9" s="3">
        <f>'Flujo de Caja'!H27</f>
        <v>180509942.84674048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2026-05-25T17:23:08Z</dcterms:modified>
</cp:coreProperties>
</file>